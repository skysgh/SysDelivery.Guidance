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educationgovtnz-my.sharepoint.com/personal/sigals_moe_govt_nz/Documents/Documents/_REPOS/_SHARED_RESOURCE_REPOS/SysDelivery.Guidance/[06] Spreadsheets/10.Requirements Definition/"/>
    </mc:Choice>
  </mc:AlternateContent>
  <xr:revisionPtr revIDLastSave="2339" documentId="8_{7E6F2B30-6D7C-41F1-81DE-9E485C328AA1}" xr6:coauthVersionLast="47" xr6:coauthVersionMax="47" xr10:uidLastSave="{235CE2FC-0FBE-478E-BD76-2EC722C9132E}"/>
  <bookViews>
    <workbookView xWindow="12885" yWindow="-16320" windowWidth="29040" windowHeight="15720" tabRatio="861" firstSheet="4" activeTab="4" xr2:uid="{00000000-000D-0000-FFFF-FFFF00000000}"/>
  </bookViews>
  <sheets>
    <sheet name="LEGACY-SOURCE-RowShare" sheetId="4" r:id="rId1"/>
    <sheet name="LEGACY-REF-LOOKUPS" sheetId="1" r:id="rId2"/>
    <sheet name="INSTRUCTIONS" sheetId="64" r:id="rId3"/>
    <sheet name="REF-LOOKUPS" sheetId="9" r:id="rId4"/>
    <sheet name="REQ-ALL" sheetId="2" r:id="rId5"/>
    <sheet name="REQ-TEMPLATE" sheetId="21" r:id="rId6"/>
    <sheet name="REQ-GOVERNANCE" sheetId="35" r:id="rId7"/>
    <sheet name="REQ-BIZCASE" sheetId="24" r:id="rId8"/>
    <sheet name="REQ-DIRECTION" sheetId="34" r:id="rId9"/>
    <sheet name="REQ-DISCOVERY" sheetId="23" r:id="rId10"/>
    <sheet name="REQ-DELIVERABLES" sheetId="36" r:id="rId11"/>
    <sheet name="REQ-PREREQUISITES" sheetId="38" r:id="rId12"/>
    <sheet name="REQ-DESIRE" sheetId="25" r:id="rId13"/>
    <sheet name="REQ-DEFINITION-DELIVERY" sheetId="27" r:id="rId14"/>
    <sheet name="REQ-DEFINITION-DELIVERY-SYSTEM" sheetId="28" r:id="rId15"/>
    <sheet name="REQ-DEFINITION-Q&amp;A-AUTOMATION" sheetId="29" r:id="rId16"/>
    <sheet name="REQ-DEFINITION-INFO-SVC-SERVER" sheetId="17" r:id="rId17"/>
    <sheet name="REQ-DEFINITION-INFOSVC-CLIENT" sheetId="63" r:id="rId18"/>
    <sheet name="REQ-DESIGN" sheetId="26" r:id="rId19"/>
  </sheets>
  <definedNames>
    <definedName name="_xlnm._FilterDatabase" localSheetId="4" hidden="1">'REQ-ALL'!$J$1:$O$803</definedName>
    <definedName name="DATA_Deliverable" localSheetId="7">Table9[MINOR(DELIVERABLE):]</definedName>
    <definedName name="DATA_Deliverable" localSheetId="13">Table9[MINOR(DELIVERABLE):]</definedName>
    <definedName name="DATA_Deliverable" localSheetId="14">Table9[MINOR(DELIVERABLE):]</definedName>
    <definedName name="DATA_Deliverable" localSheetId="17">Table9[MINOR(DELIVERABLE):]</definedName>
    <definedName name="DATA_Deliverable" localSheetId="15">Table9[MINOR(DELIVERABLE):]</definedName>
    <definedName name="DATA_Deliverable" localSheetId="10">Table9[MINOR(DELIVERABLE):]</definedName>
    <definedName name="DATA_Deliverable" localSheetId="18">Table9[MINOR(DELIVERABLE):]</definedName>
    <definedName name="DATA_Deliverable" localSheetId="12">Table9[MINOR(DELIVERABLE):]</definedName>
    <definedName name="DATA_Deliverable" localSheetId="8">Table9[MINOR(DELIVERABLE):]</definedName>
    <definedName name="DATA_Deliverable" localSheetId="9">Table9[MINOR(DELIVERABLE):]</definedName>
    <definedName name="DATA_Deliverable" localSheetId="6">Table9[MINOR(DELIVERABLE):]</definedName>
    <definedName name="DATA_Deliverable" localSheetId="11">Table9[MINOR(DELIVERABLE):]</definedName>
    <definedName name="DATA_Deliverable">Table9[MINOR(DELIVERABLE):]</definedName>
    <definedName name="DATA_Phase">'REF-LOOKUPS'!$D$2:$D$20</definedName>
    <definedName name="DATA_Requirements_Short">#REF!</definedName>
    <definedName name="DATA_Stakeholders">'REF-LOOKUPS'!$F$2:$F$84</definedName>
    <definedName name="TBL_DELIVERABLE">'REF-LOOKUPS'!$E:$E</definedName>
    <definedName name="TBL_Deliverables" localSheetId="7">Table9[MINOR(DELIVERABLE):]</definedName>
    <definedName name="TBL_Deliverables" localSheetId="13">Table9[MINOR(DELIVERABLE):]</definedName>
    <definedName name="TBL_Deliverables" localSheetId="14">Table9[MINOR(DELIVERABLE):]</definedName>
    <definedName name="TBL_Deliverables" localSheetId="17">Table9[MINOR(DELIVERABLE):]</definedName>
    <definedName name="TBL_Deliverables" localSheetId="15">Table9[MINOR(DELIVERABLE):]</definedName>
    <definedName name="TBL_Deliverables" localSheetId="10">Table9[MINOR(DELIVERABLE):]</definedName>
    <definedName name="TBL_Deliverables" localSheetId="18">Table9[MINOR(DELIVERABLE):]</definedName>
    <definedName name="TBL_Deliverables" localSheetId="12">Table9[MINOR(DELIVERABLE):]</definedName>
    <definedName name="TBL_Deliverables" localSheetId="8">Table9[MINOR(DELIVERABLE):]</definedName>
    <definedName name="TBL_Deliverables" localSheetId="9">Table9[MINOR(DELIVERABLE):]</definedName>
    <definedName name="TBL_Deliverables" localSheetId="6">Table9[MINOR(DELIVERABLE):]</definedName>
    <definedName name="TBL_Deliverables" localSheetId="11">Table9[MINOR(DELIVERABLE):]</definedName>
    <definedName name="TBL_Deliverables" localSheetId="5">Table9[MINOR(DELIVERABLE):]</definedName>
    <definedName name="TBL_Deliverables">Table9[MINOR(DELIVERABLE):]</definedName>
    <definedName name="TBL_Phase" localSheetId="7">Table10[MAJOR (PHASE):]</definedName>
    <definedName name="TBL_Phase" localSheetId="13">Table10[MAJOR (PHASE):]</definedName>
    <definedName name="TBL_Phase" localSheetId="14">Table10[MAJOR (PHASE):]</definedName>
    <definedName name="TBL_Phase" localSheetId="17">Table10[MAJOR (PHASE):]</definedName>
    <definedName name="TBL_Phase" localSheetId="15">Table10[MAJOR (PHASE):]</definedName>
    <definedName name="TBL_Phase" localSheetId="10">Table10[MAJOR (PHASE):]</definedName>
    <definedName name="TBL_Phase" localSheetId="18">Table10[MAJOR (PHASE):]</definedName>
    <definedName name="TBL_Phase" localSheetId="12">Table10[MAJOR (PHASE):]</definedName>
    <definedName name="TBL_Phase" localSheetId="8">Table10[MAJOR (PHASE):]</definedName>
    <definedName name="TBL_Phase" localSheetId="9">Table10[MAJOR (PHASE):]</definedName>
    <definedName name="TBL_Phase" localSheetId="6">Table10[MAJOR (PHASE):]</definedName>
    <definedName name="TBL_Phase" localSheetId="11">Table10[MAJOR (PHASE):]</definedName>
    <definedName name="TBL_Phase" localSheetId="5">Table10[MAJOR (PHASE):]</definedName>
    <definedName name="TBL_Phase">Table10[MAJOR (PHASE):]</definedName>
    <definedName name="TBL_Qualities" localSheetId="7">Table13[Column1]</definedName>
    <definedName name="TBL_Qualities" localSheetId="13">Table13[Column1]</definedName>
    <definedName name="TBL_Qualities" localSheetId="14">Table13[Column1]</definedName>
    <definedName name="TBL_Qualities" localSheetId="17">Table13[Column1]</definedName>
    <definedName name="TBL_Qualities" localSheetId="15">Table13[Column1]</definedName>
    <definedName name="TBL_Qualities" localSheetId="10">Table13[Column1]</definedName>
    <definedName name="TBL_Qualities" localSheetId="18">Table13[Column1]</definedName>
    <definedName name="TBL_Qualities" localSheetId="12">Table13[Column1]</definedName>
    <definedName name="TBL_Qualities" localSheetId="8">Table13[Column1]</definedName>
    <definedName name="TBL_Qualities" localSheetId="9">Table13[Column1]</definedName>
    <definedName name="TBL_Qualities" localSheetId="6">Table13[Column1]</definedName>
    <definedName name="TBL_Qualities" localSheetId="11">Table13[Column1]</definedName>
    <definedName name="TBL_Qualities" localSheetId="5">Table13[Column1]</definedName>
    <definedName name="TBL_Qualities">Table13[Column1]</definedName>
    <definedName name="TBL_Requirements" localSheetId="7">DATA_Requirements[#All]</definedName>
    <definedName name="TBL_Requirements" localSheetId="13">DATA_Requirements[#All]</definedName>
    <definedName name="TBL_Requirements" localSheetId="14">DATA_Requirements[#All]</definedName>
    <definedName name="TBL_Requirements" localSheetId="17">DATA_Requirements[#All]</definedName>
    <definedName name="TBL_Requirements" localSheetId="15">DATA_Requirements[#All]</definedName>
    <definedName name="TBL_Requirements" localSheetId="10">DATA_Requirements[#All]</definedName>
    <definedName name="TBL_Requirements" localSheetId="18">DATA_Requirements[#All]</definedName>
    <definedName name="TBL_Requirements" localSheetId="12">DATA_Requirements[#All]</definedName>
    <definedName name="TBL_Requirements" localSheetId="8">DATA_Requirements[#All]</definedName>
    <definedName name="TBL_Requirements" localSheetId="9">DATA_Requirements[#All]</definedName>
    <definedName name="TBL_Requirements" localSheetId="6">DATA_Requirements[#All]</definedName>
    <definedName name="TBL_Requirements" localSheetId="11">DATA_Requirements[#All]</definedName>
    <definedName name="TBL_Requirements" localSheetId="5">DATA_Requirements[#All]</definedName>
    <definedName name="TBL_Requirements">DATA_Requirements[#All]</definedName>
    <definedName name="TBL_Stakeholders" localSheetId="7">Table11[STAKEHOLDERS]</definedName>
    <definedName name="TBL_Stakeholders" localSheetId="13">Table11[STAKEHOLDERS]</definedName>
    <definedName name="TBL_Stakeholders" localSheetId="14">Table11[STAKEHOLDERS]</definedName>
    <definedName name="TBL_Stakeholders" localSheetId="17">Table11[STAKEHOLDERS]</definedName>
    <definedName name="TBL_Stakeholders" localSheetId="15">Table11[STAKEHOLDERS]</definedName>
    <definedName name="TBL_Stakeholders" localSheetId="10">Table11[STAKEHOLDERS]</definedName>
    <definedName name="TBL_Stakeholders" localSheetId="18">Table11[STAKEHOLDERS]</definedName>
    <definedName name="TBL_Stakeholders" localSheetId="12">Table11[STAKEHOLDERS]</definedName>
    <definedName name="TBL_Stakeholders" localSheetId="8">Table11[STAKEHOLDERS]</definedName>
    <definedName name="TBL_Stakeholders" localSheetId="9">Table11[STAKEHOLDERS]</definedName>
    <definedName name="TBL_Stakeholders" localSheetId="6">Table11[STAKEHOLDERS]</definedName>
    <definedName name="TBL_Stakeholders" localSheetId="11">Table11[STAKEHOLDERS]</definedName>
    <definedName name="TBL_Stakeholders" localSheetId="5">Table11[STAKEHOLDERS]</definedName>
    <definedName name="TBL_Stakeholders">Table11[STAKEHOLDERS]</definedName>
    <definedName name="TBL_Type" localSheetId="7">Table12[TYPE]</definedName>
    <definedName name="TBL_Type" localSheetId="13">Table12[TYPE]</definedName>
    <definedName name="TBL_Type" localSheetId="14">Table12[TYPE]</definedName>
    <definedName name="TBL_Type" localSheetId="17">Table12[TYPE]</definedName>
    <definedName name="TBL_Type" localSheetId="15">Table12[TYPE]</definedName>
    <definedName name="TBL_Type" localSheetId="10">Table12[TYPE]</definedName>
    <definedName name="TBL_Type" localSheetId="18">Table12[TYPE]</definedName>
    <definedName name="TBL_Type" localSheetId="12">Table12[TYPE]</definedName>
    <definedName name="TBL_Type" localSheetId="8">Table12[TYPE]</definedName>
    <definedName name="TBL_Type" localSheetId="9">Table12[TYPE]</definedName>
    <definedName name="TBL_Type" localSheetId="6">Table12[TYPE]</definedName>
    <definedName name="TBL_Type" localSheetId="11">Table12[TYPE]</definedName>
    <definedName name="TBL_Type" localSheetId="5">Table12[TYPE]</definedName>
    <definedName name="TBL_Type">Table12[TYPE]</definedName>
  </definedNames>
  <calcPr calcId="191029" concurrentManualCount="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7" l="1"/>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6"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E309" i="17"/>
  <c r="E310" i="17"/>
  <c r="E311" i="17"/>
  <c r="E312" i="17"/>
  <c r="E313" i="17"/>
  <c r="E314" i="17"/>
  <c r="E315" i="17"/>
  <c r="E316" i="17"/>
  <c r="E317" i="17"/>
  <c r="E318" i="17"/>
  <c r="E319" i="17"/>
  <c r="E320" i="17"/>
  <c r="E321" i="17"/>
  <c r="E322" i="17"/>
  <c r="E323" i="17"/>
  <c r="E324" i="17"/>
  <c r="E325" i="17"/>
  <c r="E326" i="17"/>
  <c r="E327" i="17"/>
  <c r="E328" i="17"/>
  <c r="E329" i="17"/>
  <c r="E330" i="17"/>
  <c r="E331" i="17"/>
  <c r="E332" i="17"/>
  <c r="E333" i="17"/>
  <c r="E334" i="17"/>
  <c r="E335" i="17"/>
  <c r="E336" i="17"/>
  <c r="E337" i="17"/>
  <c r="E338" i="17"/>
  <c r="E339" i="17"/>
  <c r="E340" i="17"/>
  <c r="E341" i="17"/>
  <c r="E342" i="17"/>
  <c r="E343" i="17"/>
  <c r="E344" i="17"/>
  <c r="E345" i="17"/>
  <c r="E346" i="17"/>
  <c r="E347" i="17"/>
  <c r="E348" i="17"/>
  <c r="E349" i="17"/>
  <c r="E350" i="17"/>
  <c r="E351" i="17"/>
  <c r="E352" i="17"/>
  <c r="E353" i="17"/>
  <c r="E354" i="17"/>
  <c r="E355" i="17"/>
  <c r="E356" i="17"/>
  <c r="E357" i="17"/>
  <c r="E358" i="17"/>
  <c r="E359" i="17"/>
  <c r="E360" i="17"/>
  <c r="E361" i="17"/>
  <c r="E362" i="17"/>
  <c r="E363" i="17"/>
  <c r="E364" i="17"/>
  <c r="E365" i="17"/>
  <c r="E366" i="17"/>
  <c r="E367" i="17"/>
  <c r="E368" i="17"/>
  <c r="E369" i="17"/>
  <c r="E370" i="17"/>
  <c r="E371" i="17"/>
  <c r="E372" i="17"/>
  <c r="E373" i="17"/>
  <c r="E374" i="17"/>
  <c r="E375" i="17"/>
  <c r="E376" i="17"/>
  <c r="E377" i="17"/>
  <c r="E378" i="17"/>
  <c r="E379" i="17"/>
  <c r="E380" i="17"/>
  <c r="E381" i="17"/>
  <c r="E382" i="17"/>
  <c r="E383" i="17"/>
  <c r="E384" i="17"/>
  <c r="E385" i="17"/>
  <c r="E386" i="17"/>
  <c r="E387" i="17"/>
  <c r="E388" i="17"/>
  <c r="E389" i="17"/>
  <c r="E390" i="17"/>
  <c r="E391" i="17"/>
  <c r="E392" i="17"/>
  <c r="E393" i="17"/>
  <c r="E394" i="17"/>
  <c r="E395" i="17"/>
  <c r="E396" i="17"/>
  <c r="E397" i="17"/>
  <c r="E398" i="17"/>
  <c r="E399" i="17"/>
  <c r="E400" i="17"/>
  <c r="E401" i="17"/>
  <c r="E402" i="17"/>
  <c r="E403" i="17"/>
  <c r="E404" i="17"/>
  <c r="E405" i="17"/>
  <c r="E406" i="17"/>
  <c r="E407" i="17"/>
  <c r="E408" i="17"/>
  <c r="E409" i="17"/>
  <c r="E410" i="17"/>
  <c r="E411" i="17"/>
  <c r="E412" i="17"/>
  <c r="E413" i="17"/>
  <c r="E414" i="17"/>
  <c r="E415" i="17"/>
  <c r="E416" i="17"/>
  <c r="E417" i="17"/>
  <c r="E418" i="17"/>
  <c r="E419" i="17"/>
  <c r="E420" i="17"/>
  <c r="E421" i="17"/>
  <c r="E422" i="17"/>
  <c r="E423" i="17"/>
  <c r="E424" i="17"/>
  <c r="E425" i="17"/>
  <c r="E426" i="17"/>
  <c r="E427" i="17"/>
  <c r="E428" i="17"/>
  <c r="E429" i="17"/>
  <c r="E430" i="17"/>
  <c r="E431" i="17"/>
  <c r="E432" i="17"/>
  <c r="E433" i="17"/>
  <c r="E434" i="17"/>
  <c r="E435" i="17"/>
  <c r="E436" i="17"/>
  <c r="E437" i="17"/>
  <c r="E438" i="17"/>
  <c r="E439" i="17"/>
  <c r="E440" i="17"/>
  <c r="E441" i="17"/>
  <c r="E442" i="17"/>
  <c r="E443" i="17"/>
  <c r="E444" i="17"/>
  <c r="E445" i="17"/>
  <c r="E446" i="17"/>
  <c r="E447" i="17"/>
  <c r="E448" i="17"/>
  <c r="E449" i="17"/>
  <c r="E450" i="17"/>
  <c r="E451" i="17"/>
  <c r="E452" i="17"/>
  <c r="E453" i="17"/>
  <c r="E454" i="17"/>
  <c r="E455" i="17"/>
  <c r="E456" i="17"/>
  <c r="E457" i="17"/>
  <c r="E458" i="17"/>
  <c r="E459" i="17"/>
  <c r="E460" i="17"/>
  <c r="E461" i="17"/>
  <c r="E462" i="17"/>
  <c r="E463" i="17"/>
  <c r="E464" i="17"/>
  <c r="E465" i="17"/>
  <c r="E466" i="17"/>
  <c r="E467" i="17"/>
  <c r="E468" i="17"/>
  <c r="E469" i="17"/>
  <c r="E470" i="17"/>
  <c r="E471" i="17"/>
  <c r="E472" i="17"/>
  <c r="E473" i="17"/>
  <c r="E474" i="17"/>
  <c r="E475" i="17"/>
  <c r="E476" i="17"/>
  <c r="E477" i="17"/>
  <c r="E478" i="17"/>
  <c r="E479" i="17"/>
  <c r="E480" i="17"/>
  <c r="E481" i="17"/>
  <c r="E482" i="17"/>
  <c r="E483" i="17"/>
  <c r="E484" i="17"/>
  <c r="E485" i="17"/>
  <c r="E486" i="17"/>
  <c r="E487" i="17"/>
  <c r="E488" i="17"/>
  <c r="E489" i="17"/>
  <c r="E490" i="17"/>
  <c r="E491" i="17"/>
  <c r="E492" i="17"/>
  <c r="E493" i="17"/>
  <c r="E494" i="17"/>
  <c r="E495" i="17"/>
  <c r="E496" i="17"/>
  <c r="E497" i="17"/>
  <c r="E498" i="17"/>
  <c r="E499" i="17"/>
  <c r="E500" i="17"/>
  <c r="E501" i="17"/>
  <c r="E502" i="17"/>
  <c r="E503" i="17"/>
  <c r="E504" i="17"/>
  <c r="E505" i="17"/>
  <c r="E506" i="17"/>
  <c r="E507" i="17"/>
  <c r="E508" i="17"/>
  <c r="E509" i="17"/>
  <c r="E510" i="17"/>
  <c r="E511" i="17"/>
  <c r="E512" i="17"/>
  <c r="E513" i="17"/>
  <c r="E514" i="17"/>
  <c r="E515" i="17"/>
  <c r="E516" i="17"/>
  <c r="E517" i="17"/>
  <c r="E518" i="17"/>
  <c r="E519" i="17"/>
  <c r="E520" i="17"/>
  <c r="E521" i="17"/>
  <c r="E522" i="17"/>
  <c r="E523" i="17"/>
  <c r="E524" i="17"/>
  <c r="E525" i="17"/>
  <c r="E526" i="17"/>
  <c r="E527" i="17"/>
  <c r="E528" i="17"/>
  <c r="E529" i="17"/>
  <c r="E530" i="17"/>
  <c r="E531" i="17"/>
  <c r="E532" i="17"/>
  <c r="E533" i="17"/>
  <c r="E534" i="17"/>
  <c r="E535" i="17"/>
  <c r="E536" i="17"/>
  <c r="E537" i="17"/>
  <c r="E538" i="17"/>
  <c r="E539" i="17"/>
  <c r="E540" i="17"/>
  <c r="E541" i="17"/>
  <c r="E542" i="17"/>
  <c r="E543" i="17"/>
  <c r="E544" i="17"/>
  <c r="E545" i="17"/>
  <c r="E546" i="17"/>
  <c r="E547" i="17"/>
  <c r="E548" i="17"/>
  <c r="E549" i="17"/>
  <c r="E550" i="17"/>
  <c r="E551" i="17"/>
  <c r="E552" i="17"/>
  <c r="E553" i="17"/>
  <c r="E554" i="17"/>
  <c r="E555" i="17"/>
  <c r="E556" i="17"/>
  <c r="E557" i="17"/>
  <c r="E558" i="17"/>
  <c r="E559" i="17"/>
  <c r="E560" i="17"/>
  <c r="E561" i="17"/>
  <c r="E562" i="17"/>
  <c r="E563" i="17"/>
  <c r="E564" i="17"/>
  <c r="E565" i="17"/>
  <c r="E566" i="17"/>
  <c r="E567" i="17"/>
  <c r="E568" i="17"/>
  <c r="E569" i="17"/>
  <c r="E570" i="17"/>
  <c r="E571" i="17"/>
  <c r="E572" i="17"/>
  <c r="E573" i="17"/>
  <c r="E574" i="17"/>
  <c r="E575" i="17"/>
  <c r="E576" i="17"/>
  <c r="E577" i="17"/>
  <c r="E578" i="17"/>
  <c r="E579" i="17"/>
  <c r="E580" i="17"/>
  <c r="E581" i="17"/>
  <c r="E582" i="17"/>
  <c r="E583" i="17"/>
  <c r="E584" i="17"/>
  <c r="E585" i="17"/>
  <c r="E586" i="17"/>
  <c r="E587" i="17"/>
  <c r="E588" i="17"/>
  <c r="E589" i="17"/>
  <c r="E590" i="17"/>
  <c r="E591" i="17"/>
  <c r="E592" i="17"/>
  <c r="E593" i="17"/>
  <c r="E594" i="17"/>
  <c r="E595" i="17"/>
  <c r="E596" i="17"/>
  <c r="E597" i="17"/>
  <c r="E598" i="17"/>
  <c r="E599" i="17"/>
  <c r="E600" i="17"/>
  <c r="E601" i="17"/>
  <c r="E602" i="17"/>
  <c r="E603" i="17"/>
  <c r="E604" i="17"/>
  <c r="E605" i="17"/>
  <c r="E606" i="17"/>
  <c r="E607" i="17"/>
  <c r="E608" i="17"/>
  <c r="E609" i="17"/>
  <c r="E610" i="17"/>
  <c r="E611" i="17"/>
  <c r="E612" i="17"/>
  <c r="E613" i="17"/>
  <c r="E614" i="17"/>
  <c r="E615" i="17"/>
  <c r="E616" i="17"/>
  <c r="E617" i="17"/>
  <c r="E618" i="17"/>
  <c r="E619" i="17"/>
  <c r="E620" i="17"/>
  <c r="E621" i="17"/>
  <c r="E622" i="17"/>
  <c r="E623" i="17"/>
  <c r="E624" i="17"/>
  <c r="E625" i="17"/>
  <c r="E626" i="17"/>
  <c r="E627" i="17"/>
  <c r="E628" i="17"/>
  <c r="E629" i="17"/>
  <c r="E630" i="17"/>
  <c r="E631" i="17"/>
  <c r="E632" i="17"/>
  <c r="E633" i="17"/>
  <c r="E634" i="17"/>
  <c r="E635" i="17"/>
  <c r="E636" i="17"/>
  <c r="E637" i="17"/>
  <c r="E638" i="17"/>
  <c r="E639" i="17"/>
  <c r="E640" i="17"/>
  <c r="E641" i="17"/>
  <c r="E642" i="17"/>
  <c r="E643" i="17"/>
  <c r="E644" i="17"/>
  <c r="E645" i="17"/>
  <c r="E646" i="17"/>
  <c r="E647" i="17"/>
  <c r="E648" i="17"/>
  <c r="E649" i="17"/>
  <c r="E650" i="17"/>
  <c r="E651" i="17"/>
  <c r="E652" i="17"/>
  <c r="E653" i="17"/>
  <c r="E654" i="17"/>
  <c r="E655" i="17"/>
  <c r="E656" i="17"/>
  <c r="E657" i="17"/>
  <c r="E658" i="17"/>
  <c r="E659" i="17"/>
  <c r="E660" i="17"/>
  <c r="E661" i="17"/>
  <c r="E662" i="17"/>
  <c r="E663" i="17"/>
  <c r="E664" i="17"/>
  <c r="E665" i="17"/>
  <c r="E666" i="17"/>
  <c r="E667" i="17"/>
  <c r="E668" i="17"/>
  <c r="E669" i="17"/>
  <c r="E670" i="17"/>
  <c r="E671" i="17"/>
  <c r="E672" i="17"/>
  <c r="E673" i="17"/>
  <c r="E674" i="17"/>
  <c r="E675" i="17"/>
  <c r="E676" i="17"/>
  <c r="E677" i="17"/>
  <c r="E678" i="17"/>
  <c r="E679" i="17"/>
  <c r="E680" i="17"/>
  <c r="E681" i="17"/>
  <c r="E682" i="17"/>
  <c r="E683" i="17"/>
  <c r="E684" i="17"/>
  <c r="E685" i="17"/>
  <c r="E686" i="17"/>
  <c r="E687" i="17"/>
  <c r="E688" i="17"/>
  <c r="E689" i="17"/>
  <c r="E690" i="17"/>
  <c r="E691" i="17"/>
  <c r="E692" i="17"/>
  <c r="E693" i="17"/>
  <c r="E694" i="17"/>
  <c r="E695" i="17"/>
  <c r="E696" i="17"/>
  <c r="E697" i="17"/>
  <c r="E698" i="17"/>
  <c r="E699" i="17"/>
  <c r="E700" i="17"/>
  <c r="E701" i="17"/>
  <c r="E702" i="17"/>
  <c r="E703" i="17"/>
  <c r="E704" i="17"/>
  <c r="E705" i="17"/>
  <c r="E706" i="17"/>
  <c r="E707" i="17"/>
  <c r="E708" i="17"/>
  <c r="E709" i="17"/>
  <c r="E710" i="17"/>
  <c r="E711" i="17"/>
  <c r="E712" i="17"/>
  <c r="E713" i="17"/>
  <c r="E714" i="17"/>
  <c r="E715" i="17"/>
  <c r="E716" i="17"/>
  <c r="E717" i="17"/>
  <c r="E718" i="17"/>
  <c r="E719" i="17"/>
  <c r="E720" i="17"/>
  <c r="E721" i="17"/>
  <c r="E722" i="17"/>
  <c r="E723" i="17"/>
  <c r="E724" i="17"/>
  <c r="E725" i="17"/>
  <c r="E726" i="17"/>
  <c r="E727" i="17"/>
  <c r="E728" i="17"/>
  <c r="E729" i="17"/>
  <c r="E730" i="17"/>
  <c r="E731" i="17"/>
  <c r="E732" i="17"/>
  <c r="E733" i="17"/>
  <c r="E734" i="17"/>
  <c r="E735" i="17"/>
  <c r="E736" i="17"/>
  <c r="E737" i="17"/>
  <c r="E738" i="17"/>
  <c r="E739" i="17"/>
  <c r="E740" i="17"/>
  <c r="E741" i="17"/>
  <c r="E742" i="17"/>
  <c r="E743" i="17"/>
  <c r="E744" i="17"/>
  <c r="E745" i="17"/>
  <c r="E746" i="17"/>
  <c r="E747" i="17"/>
  <c r="E748" i="17"/>
  <c r="E749" i="17"/>
  <c r="E750" i="17"/>
  <c r="E751" i="17"/>
  <c r="E752" i="17"/>
  <c r="E753" i="17"/>
  <c r="E754" i="17"/>
  <c r="E755" i="17"/>
  <c r="E756" i="17"/>
  <c r="E757" i="17"/>
  <c r="E758" i="17"/>
  <c r="E759" i="17"/>
  <c r="E760" i="17"/>
  <c r="E761" i="17"/>
  <c r="E762" i="17"/>
  <c r="E763" i="17"/>
  <c r="E764" i="17"/>
  <c r="E765" i="17"/>
  <c r="E766" i="17"/>
  <c r="E767" i="17"/>
  <c r="E768" i="17"/>
  <c r="E769" i="17"/>
  <c r="E770" i="17"/>
  <c r="E771" i="17"/>
  <c r="E772" i="17"/>
  <c r="E773" i="17"/>
  <c r="E774" i="17"/>
  <c r="E775" i="17"/>
  <c r="E776" i="17"/>
  <c r="E777" i="17"/>
  <c r="E778" i="17"/>
  <c r="E779" i="17"/>
  <c r="E780" i="17"/>
  <c r="E781" i="17"/>
  <c r="E782" i="17"/>
  <c r="E783" i="17"/>
  <c r="E784" i="17"/>
  <c r="E785" i="17"/>
  <c r="E786" i="17"/>
  <c r="E787" i="17"/>
  <c r="E788" i="17"/>
  <c r="E789" i="17"/>
  <c r="E790" i="17"/>
  <c r="E791" i="17"/>
  <c r="E792" i="17"/>
  <c r="E793" i="17"/>
  <c r="E794" i="17"/>
  <c r="E795" i="17"/>
  <c r="E796" i="17"/>
  <c r="E797" i="17"/>
  <c r="E798" i="17"/>
  <c r="E799" i="17"/>
  <c r="E800" i="17"/>
  <c r="E801" i="17"/>
  <c r="E802" i="17"/>
  <c r="E803" i="17"/>
  <c r="E804" i="17"/>
  <c r="E805" i="17"/>
  <c r="E806" i="17"/>
  <c r="E807" i="17"/>
  <c r="E808" i="17"/>
  <c r="E809" i="17"/>
  <c r="E810" i="17"/>
  <c r="E811" i="17"/>
  <c r="E812" i="17"/>
  <c r="E813" i="17"/>
  <c r="E814" i="17"/>
  <c r="E815" i="17"/>
  <c r="E816" i="17"/>
  <c r="E817" i="17"/>
  <c r="E818" i="17"/>
  <c r="E819" i="17"/>
  <c r="E820" i="17"/>
  <c r="E821" i="17"/>
  <c r="E822" i="17"/>
  <c r="E823" i="17"/>
  <c r="E824" i="17"/>
  <c r="E825" i="17"/>
  <c r="E826" i="17"/>
  <c r="E827" i="17"/>
  <c r="E828" i="17"/>
  <c r="E829" i="17"/>
  <c r="E830" i="17"/>
  <c r="E831" i="17"/>
  <c r="E832" i="17"/>
  <c r="E833" i="17"/>
  <c r="E834" i="17"/>
  <c r="E835" i="17"/>
  <c r="E836" i="17"/>
  <c r="E837" i="17"/>
  <c r="E838" i="17"/>
  <c r="E839" i="17"/>
  <c r="E840" i="17"/>
  <c r="E841" i="17"/>
  <c r="E842" i="17"/>
  <c r="E843" i="17"/>
  <c r="E844" i="17"/>
  <c r="E3" i="35"/>
  <c r="E4" i="35"/>
  <c r="E5" i="35"/>
  <c r="E6" i="35"/>
  <c r="A18" i="64" a="1"/>
  <c r="A18" i="64" s="1"/>
  <c r="A19" i="64" a="1"/>
  <c r="A19" i="64" s="1"/>
  <c r="A20" i="64" a="1"/>
  <c r="A20" i="64" s="1"/>
  <c r="F2" i="63"/>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2" i="29"/>
  <c r="F3" i="29"/>
  <c r="F4" i="29"/>
  <c r="F5" i="29"/>
  <c r="F6" i="29"/>
  <c r="F7" i="29"/>
  <c r="F8" i="29"/>
  <c r="F9" i="29"/>
  <c r="F10" i="29"/>
  <c r="F11" i="29"/>
  <c r="F12" i="29"/>
  <c r="F13" i="29"/>
  <c r="F14" i="29"/>
  <c r="F15" i="29"/>
  <c r="F16" i="29"/>
  <c r="F17" i="29"/>
  <c r="F18" i="29"/>
  <c r="F19" i="29"/>
  <c r="F20" i="29"/>
  <c r="F21" i="29"/>
  <c r="G3" i="28"/>
  <c r="F2" i="27"/>
  <c r="F3" i="27"/>
  <c r="F4" i="27"/>
  <c r="F5" i="27"/>
  <c r="F6" i="27"/>
  <c r="F7" i="27"/>
  <c r="F8" i="27"/>
  <c r="F9" i="27"/>
  <c r="F10" i="27"/>
  <c r="F11" i="27"/>
  <c r="F3" i="25"/>
  <c r="F4" i="25"/>
  <c r="F5" i="25"/>
  <c r="F6" i="25"/>
  <c r="F7" i="25"/>
  <c r="F8" i="25"/>
  <c r="F9" i="25"/>
  <c r="F10" i="25"/>
  <c r="F11" i="25"/>
  <c r="F12" i="25"/>
  <c r="F3" i="38"/>
  <c r="F4" i="38"/>
  <c r="F5" i="38"/>
  <c r="F6" i="38"/>
  <c r="F7" i="38"/>
  <c r="F8" i="38"/>
  <c r="F9" i="38"/>
  <c r="F10" i="38"/>
  <c r="F11" i="38"/>
  <c r="F12" i="38"/>
  <c r="F13" i="38"/>
  <c r="F2" i="36"/>
  <c r="F3" i="36"/>
  <c r="F4" i="36"/>
  <c r="F5" i="36"/>
  <c r="F6" i="36"/>
  <c r="F7" i="36"/>
  <c r="F8" i="36"/>
  <c r="F9" i="36"/>
  <c r="F10" i="36"/>
  <c r="F11" i="36"/>
  <c r="F12" i="36"/>
  <c r="F13" i="36"/>
  <c r="F14" i="36"/>
  <c r="F15" i="36"/>
  <c r="F16" i="36"/>
  <c r="F17" i="36"/>
  <c r="F18" i="36"/>
  <c r="F19" i="36"/>
  <c r="F20" i="36"/>
  <c r="F21" i="36"/>
  <c r="F22" i="36"/>
  <c r="F23" i="36"/>
  <c r="F24" i="36"/>
  <c r="F25" i="36"/>
  <c r="F26" i="36"/>
  <c r="F27" i="36"/>
  <c r="F28" i="36"/>
  <c r="F29" i="36"/>
  <c r="F30" i="36"/>
  <c r="F31" i="36"/>
  <c r="F32" i="36"/>
  <c r="F33" i="36"/>
  <c r="F34" i="36"/>
  <c r="F35" i="36"/>
  <c r="F2" i="23"/>
  <c r="F3" i="23"/>
  <c r="F4" i="23"/>
  <c r="F5" i="23"/>
  <c r="F6" i="23"/>
  <c r="F7" i="23"/>
  <c r="F8" i="23"/>
  <c r="F9" i="23"/>
  <c r="F10" i="23"/>
  <c r="F11" i="23"/>
  <c r="F12" i="23"/>
  <c r="F13" i="23"/>
  <c r="F14" i="23"/>
  <c r="F15" i="23"/>
  <c r="F16" i="23"/>
  <c r="F17" i="23"/>
  <c r="F18" i="23"/>
  <c r="F19" i="23"/>
  <c r="F20" i="23"/>
  <c r="F21" i="23"/>
  <c r="F22" i="23"/>
  <c r="F23" i="23"/>
  <c r="F24" i="23"/>
  <c r="F25" i="23"/>
  <c r="F26" i="23"/>
  <c r="F2" i="34"/>
  <c r="F3" i="34"/>
  <c r="F4" i="34"/>
  <c r="F5" i="34"/>
  <c r="F6" i="34"/>
  <c r="F7" i="34"/>
  <c r="F8" i="34"/>
  <c r="F9" i="34"/>
  <c r="F10" i="34"/>
  <c r="F11" i="34"/>
  <c r="F12" i="34"/>
  <c r="F13" i="34"/>
  <c r="F14" i="34"/>
  <c r="F15" i="34"/>
  <c r="F16" i="34"/>
  <c r="F17" i="34"/>
  <c r="F18" i="34"/>
  <c r="F19" i="34"/>
  <c r="F20" i="34"/>
  <c r="F21" i="34"/>
  <c r="F22" i="34"/>
  <c r="F23" i="34"/>
  <c r="F24" i="34"/>
  <c r="F25" i="34"/>
  <c r="F2" i="24"/>
  <c r="F3" i="35"/>
  <c r="F4" i="35"/>
  <c r="F5" i="35"/>
  <c r="F6" i="35"/>
  <c r="F2" i="26"/>
  <c r="F3" i="26"/>
  <c r="F4" i="26"/>
  <c r="F5"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 i="21"/>
  <c r="E2" i="63"/>
  <c r="E5" i="27" l="1"/>
  <c r="E11" i="27"/>
  <c r="E10" i="27"/>
  <c r="E9" i="27"/>
  <c r="E8" i="27"/>
  <c r="E7" i="27"/>
  <c r="E6" i="27"/>
  <c r="E4" i="27"/>
  <c r="E2" i="27"/>
  <c r="E25" i="36"/>
  <c r="E26" i="36"/>
  <c r="E24" i="36"/>
  <c r="E23" i="36"/>
  <c r="E20" i="36"/>
  <c r="E18" i="36"/>
  <c r="E12" i="36"/>
  <c r="E14" i="36"/>
  <c r="E10" i="36"/>
  <c r="E13" i="36"/>
  <c r="E9" i="36"/>
  <c r="E4" i="36"/>
  <c r="E3" i="36"/>
  <c r="E2" i="36"/>
  <c r="E5" i="36"/>
  <c r="E27" i="36"/>
  <c r="E35" i="36"/>
  <c r="E34" i="36"/>
  <c r="E7" i="36"/>
  <c r="E8" i="36"/>
  <c r="E6" i="36"/>
  <c r="E4" i="38"/>
  <c r="E3" i="38"/>
  <c r="E17" i="36"/>
  <c r="E22" i="36"/>
  <c r="E19" i="36"/>
  <c r="E28" i="36"/>
  <c r="E33" i="36"/>
  <c r="E32" i="36"/>
  <c r="E31" i="36"/>
  <c r="E30" i="36"/>
  <c r="E29" i="36"/>
  <c r="E11" i="36"/>
  <c r="E15" i="36"/>
  <c r="E16" i="36"/>
  <c r="E21" i="36"/>
  <c r="E13" i="38"/>
  <c r="E12" i="38"/>
  <c r="E6" i="38"/>
  <c r="E9" i="38"/>
  <c r="E10" i="38"/>
  <c r="E5" i="38"/>
  <c r="E7" i="38"/>
  <c r="E8" i="38"/>
  <c r="E11" i="38"/>
  <c r="E24" i="34"/>
  <c r="E12" i="34"/>
  <c r="E15" i="34"/>
  <c r="E16" i="34"/>
  <c r="E19" i="34"/>
  <c r="E6" i="34"/>
  <c r="E8" i="34"/>
  <c r="E7" i="34"/>
  <c r="E20" i="34"/>
  <c r="E5" i="34"/>
  <c r="E9" i="34"/>
  <c r="E2" i="34"/>
  <c r="E3" i="34"/>
  <c r="E4" i="34"/>
  <c r="E10" i="34"/>
  <c r="E11" i="34"/>
  <c r="E25" i="34"/>
  <c r="E17" i="34"/>
  <c r="E18" i="34"/>
  <c r="E21" i="34"/>
  <c r="E22" i="34"/>
  <c r="E23" i="34"/>
  <c r="E13" i="34"/>
  <c r="E14" i="34"/>
  <c r="F3" i="28"/>
  <c r="E3" i="27"/>
  <c r="E2" i="26"/>
  <c r="E3" i="26"/>
  <c r="E4" i="26"/>
  <c r="E5"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2" i="29"/>
  <c r="E3" i="29"/>
  <c r="E4" i="29"/>
  <c r="E5" i="29"/>
  <c r="E6" i="29"/>
  <c r="E7" i="29"/>
  <c r="E8" i="29"/>
  <c r="E9" i="29"/>
  <c r="E10" i="29"/>
  <c r="E11" i="29"/>
  <c r="E12" i="29"/>
  <c r="E13" i="29"/>
  <c r="E14" i="29"/>
  <c r="E15" i="29"/>
  <c r="E16" i="29"/>
  <c r="E17" i="29"/>
  <c r="E18" i="29"/>
  <c r="E19" i="29"/>
  <c r="E20" i="29"/>
  <c r="E21" i="29"/>
  <c r="E3" i="25"/>
  <c r="E4" i="25"/>
  <c r="E5" i="25"/>
  <c r="E6" i="25"/>
  <c r="E7" i="25"/>
  <c r="E8" i="25"/>
  <c r="E9" i="25"/>
  <c r="E10" i="25"/>
  <c r="E11" i="25"/>
  <c r="E12" i="25"/>
  <c r="E2" i="24"/>
  <c r="E2" i="23"/>
  <c r="E3" i="23"/>
  <c r="E4" i="23"/>
  <c r="E5" i="23"/>
  <c r="E6" i="23"/>
  <c r="E7" i="23"/>
  <c r="E8" i="23"/>
  <c r="E9" i="23"/>
  <c r="E10" i="23"/>
  <c r="E11" i="23"/>
  <c r="E12" i="23"/>
  <c r="E13" i="23"/>
  <c r="E14" i="23"/>
  <c r="E15" i="23"/>
  <c r="E16" i="23"/>
  <c r="E17" i="23"/>
  <c r="E18" i="23"/>
  <c r="E19" i="23"/>
  <c r="E20" i="23"/>
  <c r="E21" i="23"/>
  <c r="E22" i="23"/>
  <c r="E23" i="23"/>
  <c r="E24" i="23"/>
  <c r="E25" i="23"/>
  <c r="E26" i="23"/>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M3" i="2"/>
  <c r="M711" i="2"/>
  <c r="L711" i="2"/>
  <c r="K711" i="2"/>
  <c r="K802" i="2"/>
  <c r="L802" i="2"/>
  <c r="M802" i="2"/>
  <c r="K689" i="2"/>
  <c r="L689" i="2"/>
  <c r="M689" i="2"/>
  <c r="K688" i="2"/>
  <c r="L688" i="2"/>
  <c r="M688" i="2"/>
  <c r="K687" i="2"/>
  <c r="L687" i="2"/>
  <c r="M687" i="2"/>
  <c r="K686" i="2"/>
  <c r="L686" i="2"/>
  <c r="M686" i="2"/>
  <c r="K685" i="2"/>
  <c r="L685" i="2"/>
  <c r="M685" i="2"/>
  <c r="K684" i="2"/>
  <c r="L684" i="2"/>
  <c r="M684" i="2"/>
  <c r="K683" i="2"/>
  <c r="L683" i="2"/>
  <c r="M683" i="2"/>
  <c r="K682" i="2"/>
  <c r="L682" i="2"/>
  <c r="M682" i="2"/>
  <c r="K681" i="2"/>
  <c r="L681" i="2"/>
  <c r="M681" i="2"/>
  <c r="K680" i="2"/>
  <c r="L680" i="2"/>
  <c r="M680" i="2"/>
  <c r="K679" i="2"/>
  <c r="L679" i="2"/>
  <c r="M679" i="2"/>
  <c r="K678" i="2"/>
  <c r="L678" i="2"/>
  <c r="M678" i="2"/>
  <c r="K172" i="2"/>
  <c r="L172" i="2"/>
  <c r="M172" i="2"/>
  <c r="K171" i="2"/>
  <c r="L171" i="2"/>
  <c r="M171" i="2"/>
  <c r="K173" i="2"/>
  <c r="L173" i="2"/>
  <c r="M173" i="2"/>
  <c r="K49" i="2"/>
  <c r="L49" i="2"/>
  <c r="M49" i="2"/>
  <c r="K18" i="2"/>
  <c r="L18" i="2"/>
  <c r="M18" i="2"/>
  <c r="K675" i="2"/>
  <c r="L675" i="2"/>
  <c r="M675" i="2"/>
  <c r="K70" i="2"/>
  <c r="L70" i="2"/>
  <c r="M70" i="2"/>
  <c r="K45" i="2"/>
  <c r="L45" i="2"/>
  <c r="M45" i="2"/>
  <c r="K48" i="2"/>
  <c r="L48" i="2"/>
  <c r="M48" i="2"/>
  <c r="K676" i="2"/>
  <c r="L676" i="2"/>
  <c r="M676" i="2"/>
  <c r="K58" i="2"/>
  <c r="L58" i="2"/>
  <c r="M58" i="2"/>
  <c r="K61" i="2"/>
  <c r="L61" i="2"/>
  <c r="M61" i="2"/>
  <c r="K47" i="2"/>
  <c r="L47" i="2"/>
  <c r="M47" i="2"/>
  <c r="K20" i="2"/>
  <c r="L20" i="2"/>
  <c r="M20" i="2"/>
  <c r="K28" i="2"/>
  <c r="L28" i="2"/>
  <c r="M28" i="2"/>
  <c r="K21" i="2"/>
  <c r="L21" i="2"/>
  <c r="M21" i="2"/>
  <c r="K29" i="2"/>
  <c r="L29" i="2"/>
  <c r="M29" i="2"/>
  <c r="K19" i="2"/>
  <c r="L19" i="2"/>
  <c r="M19" i="2"/>
  <c r="M677" i="2"/>
  <c r="L677" i="2"/>
  <c r="M753" i="2"/>
  <c r="L753" i="2"/>
  <c r="M752" i="2"/>
  <c r="L752" i="2"/>
  <c r="M751" i="2"/>
  <c r="L751" i="2"/>
  <c r="M750" i="2"/>
  <c r="L750" i="2"/>
  <c r="M754" i="2"/>
  <c r="L754" i="2"/>
  <c r="M710" i="2"/>
  <c r="L710" i="2"/>
  <c r="M803" i="2"/>
  <c r="L803" i="2"/>
  <c r="M702" i="2"/>
  <c r="L702" i="2"/>
  <c r="M707" i="2"/>
  <c r="L707" i="2"/>
  <c r="M706" i="2"/>
  <c r="L706" i="2"/>
  <c r="M705" i="2"/>
  <c r="L705" i="2"/>
  <c r="M703" i="2"/>
  <c r="L703" i="2"/>
  <c r="M704" i="2"/>
  <c r="L704" i="2"/>
  <c r="M701" i="2"/>
  <c r="L701" i="2"/>
  <c r="M700" i="2"/>
  <c r="L700" i="2"/>
  <c r="M699" i="2"/>
  <c r="L699" i="2"/>
  <c r="M698" i="2"/>
  <c r="L698" i="2"/>
  <c r="M697" i="2"/>
  <c r="L697" i="2"/>
  <c r="M696" i="2"/>
  <c r="L696" i="2"/>
  <c r="M695" i="2"/>
  <c r="L695" i="2"/>
  <c r="M694" i="2"/>
  <c r="L694" i="2"/>
  <c r="M693" i="2"/>
  <c r="L693" i="2"/>
  <c r="M692" i="2"/>
  <c r="L692" i="2"/>
  <c r="M691" i="2"/>
  <c r="L691" i="2"/>
  <c r="M690" i="2"/>
  <c r="L690" i="2"/>
  <c r="M708" i="2"/>
  <c r="L708" i="2"/>
  <c r="M709" i="2"/>
  <c r="L709" i="2"/>
  <c r="M596" i="2"/>
  <c r="L596" i="2"/>
  <c r="M314" i="2"/>
  <c r="L314" i="2"/>
  <c r="M313" i="2"/>
  <c r="L313" i="2"/>
  <c r="M312" i="2"/>
  <c r="L312" i="2"/>
  <c r="M311" i="2"/>
  <c r="L311" i="2"/>
  <c r="M310" i="2"/>
  <c r="L310" i="2"/>
  <c r="M309" i="2"/>
  <c r="L309" i="2"/>
  <c r="M308" i="2"/>
  <c r="L308" i="2"/>
  <c r="M316" i="2"/>
  <c r="L316" i="2"/>
  <c r="M315" i="2"/>
  <c r="L315" i="2"/>
  <c r="M300" i="2"/>
  <c r="L300" i="2"/>
  <c r="M594" i="2"/>
  <c r="L594" i="2"/>
  <c r="M645" i="2"/>
  <c r="L645" i="2"/>
  <c r="M643" i="2"/>
  <c r="L643" i="2"/>
  <c r="M641" i="2"/>
  <c r="L641" i="2"/>
  <c r="M638" i="2"/>
  <c r="L638" i="2"/>
  <c r="M637" i="2"/>
  <c r="L637" i="2"/>
  <c r="M636" i="2"/>
  <c r="L636" i="2"/>
  <c r="M633" i="2"/>
  <c r="L633" i="2"/>
  <c r="M307" i="2"/>
  <c r="L307" i="2"/>
  <c r="M306" i="2"/>
  <c r="L306" i="2"/>
  <c r="M600" i="2"/>
  <c r="L600" i="2"/>
  <c r="M599" i="2"/>
  <c r="L599" i="2"/>
  <c r="M598" i="2"/>
  <c r="L598" i="2"/>
  <c r="M305" i="2"/>
  <c r="L305" i="2"/>
  <c r="M304" i="2"/>
  <c r="L304" i="2"/>
  <c r="M303" i="2"/>
  <c r="L303" i="2"/>
  <c r="M302" i="2"/>
  <c r="L302" i="2"/>
  <c r="M299" i="2"/>
  <c r="L299" i="2"/>
  <c r="M298" i="2"/>
  <c r="L298" i="2"/>
  <c r="M297" i="2"/>
  <c r="L297" i="2"/>
  <c r="M296" i="2"/>
  <c r="L296" i="2"/>
  <c r="M760" i="2"/>
  <c r="L760" i="2"/>
  <c r="M602" i="2"/>
  <c r="L602" i="2"/>
  <c r="M651" i="2"/>
  <c r="L651" i="2"/>
  <c r="M650" i="2"/>
  <c r="L650" i="2"/>
  <c r="M649" i="2"/>
  <c r="L649" i="2"/>
  <c r="M648" i="2"/>
  <c r="L648" i="2"/>
  <c r="M647" i="2"/>
  <c r="L647" i="2"/>
  <c r="M646" i="2"/>
  <c r="L646" i="2"/>
  <c r="M644" i="2"/>
  <c r="L644" i="2"/>
  <c r="M642" i="2"/>
  <c r="L642" i="2"/>
  <c r="M640" i="2"/>
  <c r="L640" i="2"/>
  <c r="M639" i="2"/>
  <c r="L639" i="2"/>
  <c r="M635" i="2"/>
  <c r="L635" i="2"/>
  <c r="M634" i="2"/>
  <c r="L634" i="2"/>
  <c r="M632" i="2"/>
  <c r="L632" i="2"/>
  <c r="M631" i="2"/>
  <c r="L631" i="2"/>
  <c r="M630" i="2"/>
  <c r="L630" i="2"/>
  <c r="M629" i="2"/>
  <c r="L629" i="2"/>
  <c r="M628" i="2"/>
  <c r="L628" i="2"/>
  <c r="M627" i="2"/>
  <c r="L627" i="2"/>
  <c r="M626" i="2"/>
  <c r="L626" i="2"/>
  <c r="M625" i="2"/>
  <c r="L625" i="2"/>
  <c r="M624" i="2"/>
  <c r="L624" i="2"/>
  <c r="M623" i="2"/>
  <c r="L623" i="2"/>
  <c r="M595" i="2"/>
  <c r="L595"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593" i="2"/>
  <c r="L593" i="2"/>
  <c r="M592" i="2"/>
  <c r="L592" i="2"/>
  <c r="M591" i="2"/>
  <c r="L591" i="2"/>
  <c r="M590" i="2"/>
  <c r="L590" i="2"/>
  <c r="M589" i="2"/>
  <c r="L589" i="2"/>
  <c r="M588" i="2"/>
  <c r="L588" i="2"/>
  <c r="M587" i="2"/>
  <c r="L587" i="2"/>
  <c r="M586" i="2"/>
  <c r="L586" i="2"/>
  <c r="M585" i="2"/>
  <c r="L585" i="2"/>
  <c r="M584" i="2"/>
  <c r="L584" i="2"/>
  <c r="M583" i="2"/>
  <c r="L583" i="2"/>
  <c r="M582" i="2"/>
  <c r="L582" i="2"/>
  <c r="M581" i="2"/>
  <c r="L581" i="2"/>
  <c r="M580" i="2"/>
  <c r="L580" i="2"/>
  <c r="M579" i="2"/>
  <c r="L579" i="2"/>
  <c r="M578" i="2"/>
  <c r="L578" i="2"/>
  <c r="M577" i="2"/>
  <c r="L577" i="2"/>
  <c r="M576" i="2"/>
  <c r="L576" i="2"/>
  <c r="M575" i="2"/>
  <c r="L575" i="2"/>
  <c r="M574" i="2"/>
  <c r="L574" i="2"/>
  <c r="M573" i="2"/>
  <c r="L573" i="2"/>
  <c r="M572" i="2"/>
  <c r="L572" i="2"/>
  <c r="M571" i="2"/>
  <c r="L571" i="2"/>
  <c r="M570" i="2"/>
  <c r="L570" i="2"/>
  <c r="M569" i="2"/>
  <c r="L569" i="2"/>
  <c r="M568" i="2"/>
  <c r="L568" i="2"/>
  <c r="M567" i="2"/>
  <c r="L567" i="2"/>
  <c r="M566" i="2"/>
  <c r="L566" i="2"/>
  <c r="M565" i="2"/>
  <c r="L565" i="2"/>
  <c r="M564" i="2"/>
  <c r="L564" i="2"/>
  <c r="M563" i="2"/>
  <c r="L563" i="2"/>
  <c r="M562" i="2"/>
  <c r="L562" i="2"/>
  <c r="M561" i="2"/>
  <c r="L561" i="2"/>
  <c r="M560" i="2"/>
  <c r="L560" i="2"/>
  <c r="M559" i="2"/>
  <c r="L559" i="2"/>
  <c r="M558" i="2"/>
  <c r="L558" i="2"/>
  <c r="M557" i="2"/>
  <c r="L557" i="2"/>
  <c r="M556" i="2"/>
  <c r="L556" i="2"/>
  <c r="M555" i="2"/>
  <c r="L555" i="2"/>
  <c r="M554" i="2"/>
  <c r="L554" i="2"/>
  <c r="M553" i="2"/>
  <c r="L553" i="2"/>
  <c r="M552" i="2"/>
  <c r="L552" i="2"/>
  <c r="M551" i="2"/>
  <c r="L551" i="2"/>
  <c r="M550" i="2"/>
  <c r="L550" i="2"/>
  <c r="M549" i="2"/>
  <c r="L549" i="2"/>
  <c r="M606" i="2"/>
  <c r="L606" i="2"/>
  <c r="M601" i="2"/>
  <c r="L601" i="2"/>
  <c r="M548" i="2"/>
  <c r="L548" i="2"/>
  <c r="M547" i="2"/>
  <c r="L547" i="2"/>
  <c r="M546" i="2"/>
  <c r="L546" i="2"/>
  <c r="M545" i="2"/>
  <c r="L545" i="2"/>
  <c r="M544" i="2"/>
  <c r="L544" i="2"/>
  <c r="M543" i="2"/>
  <c r="L543" i="2"/>
  <c r="M542" i="2"/>
  <c r="L542" i="2"/>
  <c r="M541" i="2"/>
  <c r="L541" i="2"/>
  <c r="M540" i="2"/>
  <c r="L540" i="2"/>
  <c r="M539" i="2"/>
  <c r="L539" i="2"/>
  <c r="M538" i="2"/>
  <c r="L538" i="2"/>
  <c r="M537" i="2"/>
  <c r="L537" i="2"/>
  <c r="M536" i="2"/>
  <c r="L536" i="2"/>
  <c r="M535" i="2"/>
  <c r="L535" i="2"/>
  <c r="M534" i="2"/>
  <c r="L534" i="2"/>
  <c r="M533" i="2"/>
  <c r="L533" i="2"/>
  <c r="M532" i="2"/>
  <c r="L532" i="2"/>
  <c r="M531" i="2"/>
  <c r="L531" i="2"/>
  <c r="M530" i="2"/>
  <c r="L530" i="2"/>
  <c r="M529" i="2"/>
  <c r="L529" i="2"/>
  <c r="M528" i="2"/>
  <c r="L528" i="2"/>
  <c r="M527" i="2"/>
  <c r="L527" i="2"/>
  <c r="M605" i="2"/>
  <c r="L605" i="2"/>
  <c r="M604" i="2"/>
  <c r="L604" i="2"/>
  <c r="M603" i="2"/>
  <c r="L603"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3" i="2"/>
  <c r="L513" i="2"/>
  <c r="M512" i="2"/>
  <c r="L512" i="2"/>
  <c r="M511" i="2"/>
  <c r="L511" i="2"/>
  <c r="M510" i="2"/>
  <c r="L510" i="2"/>
  <c r="M509" i="2"/>
  <c r="L509" i="2"/>
  <c r="M508" i="2"/>
  <c r="L508" i="2"/>
  <c r="M507" i="2"/>
  <c r="L507" i="2"/>
  <c r="M506" i="2"/>
  <c r="L506" i="2"/>
  <c r="M505" i="2"/>
  <c r="L505" i="2"/>
  <c r="M504" i="2"/>
  <c r="L504" i="2"/>
  <c r="M503" i="2"/>
  <c r="L503" i="2"/>
  <c r="M502" i="2"/>
  <c r="L502" i="2"/>
  <c r="M501" i="2"/>
  <c r="L501" i="2"/>
  <c r="M500" i="2"/>
  <c r="L500" i="2"/>
  <c r="M499" i="2"/>
  <c r="L499" i="2"/>
  <c r="M498" i="2"/>
  <c r="L498" i="2"/>
  <c r="M497" i="2"/>
  <c r="L497" i="2"/>
  <c r="M496" i="2"/>
  <c r="L496" i="2"/>
  <c r="M495" i="2"/>
  <c r="L495" i="2"/>
  <c r="M494" i="2"/>
  <c r="L494" i="2"/>
  <c r="M493" i="2"/>
  <c r="L493" i="2"/>
  <c r="M492" i="2"/>
  <c r="L492" i="2"/>
  <c r="M491" i="2"/>
  <c r="L491" i="2"/>
  <c r="M490" i="2"/>
  <c r="L490" i="2"/>
  <c r="M489" i="2"/>
  <c r="L489" i="2"/>
  <c r="M488" i="2"/>
  <c r="L488" i="2"/>
  <c r="M487" i="2"/>
  <c r="L487" i="2"/>
  <c r="M486" i="2"/>
  <c r="L486" i="2"/>
  <c r="M485" i="2"/>
  <c r="L485" i="2"/>
  <c r="M484" i="2"/>
  <c r="L484" i="2"/>
  <c r="M483" i="2"/>
  <c r="L483" i="2"/>
  <c r="M482" i="2"/>
  <c r="L482" i="2"/>
  <c r="M481" i="2"/>
  <c r="L481" i="2"/>
  <c r="M480" i="2"/>
  <c r="L480" i="2"/>
  <c r="M479" i="2"/>
  <c r="L479" i="2"/>
  <c r="M478" i="2"/>
  <c r="L478" i="2"/>
  <c r="M477" i="2"/>
  <c r="L477" i="2"/>
  <c r="M476" i="2"/>
  <c r="L476" i="2"/>
  <c r="M475" i="2"/>
  <c r="L475" i="2"/>
  <c r="M474" i="2"/>
  <c r="L474" i="2"/>
  <c r="M473" i="2"/>
  <c r="L473" i="2"/>
  <c r="M472" i="2"/>
  <c r="L472" i="2"/>
  <c r="M471" i="2"/>
  <c r="L471" i="2"/>
  <c r="M470" i="2"/>
  <c r="L470" i="2"/>
  <c r="M469" i="2"/>
  <c r="L469" i="2"/>
  <c r="M468" i="2"/>
  <c r="L468" i="2"/>
  <c r="M467" i="2"/>
  <c r="L467" i="2"/>
  <c r="M466" i="2"/>
  <c r="L466" i="2"/>
  <c r="M465" i="2"/>
  <c r="L465" i="2"/>
  <c r="M464" i="2"/>
  <c r="L464" i="2"/>
  <c r="M463" i="2"/>
  <c r="L463" i="2"/>
  <c r="M462" i="2"/>
  <c r="L462" i="2"/>
  <c r="M461" i="2"/>
  <c r="L461" i="2"/>
  <c r="M460" i="2"/>
  <c r="L460" i="2"/>
  <c r="M459" i="2"/>
  <c r="L459" i="2"/>
  <c r="M458" i="2"/>
  <c r="L458" i="2"/>
  <c r="M457" i="2"/>
  <c r="L457" i="2"/>
  <c r="M456" i="2"/>
  <c r="L456" i="2"/>
  <c r="M455" i="2"/>
  <c r="L455" i="2"/>
  <c r="M454" i="2"/>
  <c r="L454" i="2"/>
  <c r="M453" i="2"/>
  <c r="L453" i="2"/>
  <c r="M452" i="2"/>
  <c r="L452" i="2"/>
  <c r="M451" i="2"/>
  <c r="L451" i="2"/>
  <c r="M450" i="2"/>
  <c r="L450" i="2"/>
  <c r="M449" i="2"/>
  <c r="L449" i="2"/>
  <c r="M448" i="2"/>
  <c r="L448"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33" i="2"/>
  <c r="L433" i="2"/>
  <c r="M432" i="2"/>
  <c r="L432" i="2"/>
  <c r="M431" i="2"/>
  <c r="L431" i="2"/>
  <c r="M430" i="2"/>
  <c r="L430" i="2"/>
  <c r="M429" i="2"/>
  <c r="L429" i="2"/>
  <c r="M428" i="2"/>
  <c r="L428"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319" i="2"/>
  <c r="L319" i="2"/>
  <c r="M318" i="2"/>
  <c r="L318" i="2"/>
  <c r="M301" i="2"/>
  <c r="L301" i="2"/>
  <c r="M413" i="2"/>
  <c r="L413" i="2"/>
  <c r="M295" i="2"/>
  <c r="L295" i="2"/>
  <c r="M360" i="2"/>
  <c r="L360" i="2"/>
  <c r="M359" i="2"/>
  <c r="L359" i="2"/>
  <c r="M335" i="2"/>
  <c r="L335" i="2"/>
  <c r="M333" i="2"/>
  <c r="L333" i="2"/>
  <c r="M412" i="2"/>
  <c r="L412" i="2"/>
  <c r="M411" i="2"/>
  <c r="L411" i="2"/>
  <c r="M410" i="2"/>
  <c r="L410" i="2"/>
  <c r="M409" i="2"/>
  <c r="L409" i="2"/>
  <c r="M408" i="2"/>
  <c r="L408" i="2"/>
  <c r="M407" i="2"/>
  <c r="L407" i="2"/>
  <c r="M406" i="2"/>
  <c r="L406" i="2"/>
  <c r="M405" i="2"/>
  <c r="L405" i="2"/>
  <c r="M404" i="2"/>
  <c r="L404" i="2"/>
  <c r="M403" i="2"/>
  <c r="L403" i="2"/>
  <c r="M402" i="2"/>
  <c r="L402" i="2"/>
  <c r="M401" i="2"/>
  <c r="L401" i="2"/>
  <c r="M400" i="2"/>
  <c r="L400" i="2"/>
  <c r="M399" i="2"/>
  <c r="L399" i="2"/>
  <c r="M398" i="2"/>
  <c r="L398" i="2"/>
  <c r="M397" i="2"/>
  <c r="L397" i="2"/>
  <c r="M396" i="2"/>
  <c r="L396" i="2"/>
  <c r="M395" i="2"/>
  <c r="L395" i="2"/>
  <c r="M394" i="2"/>
  <c r="L394" i="2"/>
  <c r="M393" i="2"/>
  <c r="L393" i="2"/>
  <c r="M392" i="2"/>
  <c r="L392" i="2"/>
  <c r="M391" i="2"/>
  <c r="L391" i="2"/>
  <c r="M390" i="2"/>
  <c r="L390" i="2"/>
  <c r="M389" i="2"/>
  <c r="L389" i="2"/>
  <c r="M388" i="2"/>
  <c r="L388" i="2"/>
  <c r="M387" i="2"/>
  <c r="L387" i="2"/>
  <c r="M386" i="2"/>
  <c r="L386" i="2"/>
  <c r="M385" i="2"/>
  <c r="L385" i="2"/>
  <c r="M384" i="2"/>
  <c r="L384" i="2"/>
  <c r="M383" i="2"/>
  <c r="L383" i="2"/>
  <c r="M382" i="2"/>
  <c r="L382" i="2"/>
  <c r="M381" i="2"/>
  <c r="L381" i="2"/>
  <c r="M380" i="2"/>
  <c r="L380" i="2"/>
  <c r="M379" i="2"/>
  <c r="L379" i="2"/>
  <c r="M378" i="2"/>
  <c r="L378" i="2"/>
  <c r="M377" i="2"/>
  <c r="L377" i="2"/>
  <c r="M376" i="2"/>
  <c r="L376" i="2"/>
  <c r="M375" i="2"/>
  <c r="L375" i="2"/>
  <c r="M759" i="2"/>
  <c r="L759" i="2"/>
  <c r="M757" i="2"/>
  <c r="L757" i="2"/>
  <c r="M755" i="2"/>
  <c r="L755" i="2"/>
  <c r="M673" i="2"/>
  <c r="L673" i="2"/>
  <c r="M672" i="2"/>
  <c r="L672" i="2"/>
  <c r="M671" i="2"/>
  <c r="L671" i="2"/>
  <c r="M371" i="2"/>
  <c r="L371" i="2"/>
  <c r="M370" i="2"/>
  <c r="L370" i="2"/>
  <c r="M369" i="2"/>
  <c r="L369" i="2"/>
  <c r="M368" i="2"/>
  <c r="L368" i="2"/>
  <c r="M367" i="2"/>
  <c r="L367" i="2"/>
  <c r="M366" i="2"/>
  <c r="L366" i="2"/>
  <c r="M334" i="2"/>
  <c r="L334" i="2"/>
  <c r="M365" i="2"/>
  <c r="L365" i="2"/>
  <c r="M364" i="2"/>
  <c r="L364" i="2"/>
  <c r="M674" i="2"/>
  <c r="L674" i="2"/>
  <c r="M670" i="2"/>
  <c r="L670" i="2"/>
  <c r="M669" i="2"/>
  <c r="L669" i="2"/>
  <c r="M668" i="2"/>
  <c r="L668" i="2"/>
  <c r="M667" i="2"/>
  <c r="L667" i="2"/>
  <c r="M663" i="2"/>
  <c r="L663" i="2"/>
  <c r="M666" i="2"/>
  <c r="L666" i="2"/>
  <c r="M597" i="2"/>
  <c r="L597" i="2"/>
  <c r="M665" i="2"/>
  <c r="L665" i="2"/>
  <c r="M664" i="2"/>
  <c r="L664" i="2"/>
  <c r="M662" i="2"/>
  <c r="L662" i="2"/>
  <c r="M661" i="2"/>
  <c r="L661" i="2"/>
  <c r="M660" i="2"/>
  <c r="L660" i="2"/>
  <c r="M659" i="2"/>
  <c r="L659" i="2"/>
  <c r="M658" i="2"/>
  <c r="L658" i="2"/>
  <c r="M657" i="2"/>
  <c r="L657" i="2"/>
  <c r="M358" i="2"/>
  <c r="L358" i="2"/>
  <c r="M357" i="2"/>
  <c r="L357" i="2"/>
  <c r="M356" i="2"/>
  <c r="L356" i="2"/>
  <c r="M317" i="2"/>
  <c r="L317" i="2"/>
  <c r="M320" i="2"/>
  <c r="L320" i="2"/>
  <c r="M353" i="2"/>
  <c r="L353" i="2"/>
  <c r="M352" i="2"/>
  <c r="L352" i="2"/>
  <c r="M351" i="2"/>
  <c r="L351" i="2"/>
  <c r="M350" i="2"/>
  <c r="L350" i="2"/>
  <c r="M349" i="2"/>
  <c r="L349" i="2"/>
  <c r="M763" i="2"/>
  <c r="L763" i="2"/>
  <c r="M801" i="2"/>
  <c r="L801" i="2"/>
  <c r="M800" i="2"/>
  <c r="L800" i="2"/>
  <c r="M799" i="2"/>
  <c r="L799" i="2"/>
  <c r="M798" i="2"/>
  <c r="L798" i="2"/>
  <c r="M797" i="2"/>
  <c r="L797" i="2"/>
  <c r="M796" i="2"/>
  <c r="L796" i="2"/>
  <c r="M795" i="2"/>
  <c r="L795" i="2"/>
  <c r="M794" i="2"/>
  <c r="L794" i="2"/>
  <c r="M793" i="2"/>
  <c r="L793" i="2"/>
  <c r="M792" i="2"/>
  <c r="L792" i="2"/>
  <c r="M791" i="2"/>
  <c r="L791" i="2"/>
  <c r="M790" i="2"/>
  <c r="L790" i="2"/>
  <c r="M789" i="2"/>
  <c r="L789" i="2"/>
  <c r="M788" i="2"/>
  <c r="L788" i="2"/>
  <c r="M787" i="2"/>
  <c r="L787" i="2"/>
  <c r="M786" i="2"/>
  <c r="L786" i="2"/>
  <c r="M785" i="2"/>
  <c r="L785" i="2"/>
  <c r="M784" i="2"/>
  <c r="L784" i="2"/>
  <c r="M783" i="2"/>
  <c r="L783" i="2"/>
  <c r="M782" i="2"/>
  <c r="L782" i="2"/>
  <c r="M781" i="2"/>
  <c r="L781" i="2"/>
  <c r="M780" i="2"/>
  <c r="L780" i="2"/>
  <c r="M779" i="2"/>
  <c r="L779" i="2"/>
  <c r="M778" i="2"/>
  <c r="L778" i="2"/>
  <c r="M777" i="2"/>
  <c r="L777" i="2"/>
  <c r="M776" i="2"/>
  <c r="L776" i="2"/>
  <c r="M775" i="2"/>
  <c r="L775" i="2"/>
  <c r="M774" i="2"/>
  <c r="L774" i="2"/>
  <c r="M773" i="2"/>
  <c r="L773" i="2"/>
  <c r="M772" i="2"/>
  <c r="L772" i="2"/>
  <c r="M771" i="2"/>
  <c r="L771" i="2"/>
  <c r="M770" i="2"/>
  <c r="L770" i="2"/>
  <c r="M769" i="2"/>
  <c r="L769" i="2"/>
  <c r="M768" i="2"/>
  <c r="L768" i="2"/>
  <c r="M767" i="2"/>
  <c r="L767" i="2"/>
  <c r="M766" i="2"/>
  <c r="L766" i="2"/>
  <c r="M765" i="2"/>
  <c r="L765" i="2"/>
  <c r="M764" i="2"/>
  <c r="L764" i="2"/>
  <c r="M348" i="2"/>
  <c r="L348" i="2"/>
  <c r="M374" i="2"/>
  <c r="L374" i="2"/>
  <c r="M340" i="2"/>
  <c r="L340" i="2"/>
  <c r="M362" i="2"/>
  <c r="L362" i="2"/>
  <c r="M339" i="2"/>
  <c r="L339" i="2"/>
  <c r="M361" i="2"/>
  <c r="L361" i="2"/>
  <c r="M762" i="2"/>
  <c r="L762" i="2"/>
  <c r="M761" i="2"/>
  <c r="L761" i="2"/>
  <c r="M326" i="2"/>
  <c r="L326" i="2"/>
  <c r="M325" i="2"/>
  <c r="L325" i="2"/>
  <c r="M324" i="2"/>
  <c r="L324" i="2"/>
  <c r="M323" i="2"/>
  <c r="L323" i="2"/>
  <c r="M322" i="2"/>
  <c r="L322" i="2"/>
  <c r="M321" i="2"/>
  <c r="L321" i="2"/>
  <c r="M654" i="2"/>
  <c r="L654" i="2"/>
  <c r="M373" i="2"/>
  <c r="L373" i="2"/>
  <c r="M355" i="2"/>
  <c r="L355" i="2"/>
  <c r="M354" i="2"/>
  <c r="L354" i="2"/>
  <c r="M653" i="2"/>
  <c r="L653" i="2"/>
  <c r="M652" i="2"/>
  <c r="L652" i="2"/>
  <c r="M347" i="2"/>
  <c r="L347" i="2"/>
  <c r="M363" i="2"/>
  <c r="L363" i="2"/>
  <c r="M656" i="2"/>
  <c r="L656" i="2"/>
  <c r="M346" i="2"/>
  <c r="L346" i="2"/>
  <c r="M345" i="2"/>
  <c r="L345" i="2"/>
  <c r="M344" i="2"/>
  <c r="L344" i="2"/>
  <c r="M343" i="2"/>
  <c r="L343" i="2"/>
  <c r="M342" i="2"/>
  <c r="L342" i="2"/>
  <c r="M341" i="2"/>
  <c r="L341" i="2"/>
  <c r="M372" i="2"/>
  <c r="L372" i="2"/>
  <c r="M655" i="2"/>
  <c r="L655" i="2"/>
  <c r="M331" i="2"/>
  <c r="L331" i="2"/>
  <c r="M330" i="2"/>
  <c r="L330" i="2"/>
  <c r="M329" i="2"/>
  <c r="L329" i="2"/>
  <c r="M328" i="2"/>
  <c r="L328" i="2"/>
  <c r="M327" i="2"/>
  <c r="L327" i="2"/>
  <c r="M338" i="2"/>
  <c r="L338" i="2"/>
  <c r="M337" i="2"/>
  <c r="L337" i="2"/>
  <c r="M336" i="2"/>
  <c r="L336" i="2"/>
  <c r="M332" i="2"/>
  <c r="L332" i="2"/>
  <c r="M758" i="2"/>
  <c r="L758" i="2"/>
  <c r="M294" i="2"/>
  <c r="L294" i="2"/>
  <c r="M166" i="2"/>
  <c r="L166" i="2"/>
  <c r="M145" i="2"/>
  <c r="L145" i="2"/>
  <c r="M144" i="2"/>
  <c r="L144" i="2"/>
  <c r="M176" i="2"/>
  <c r="L176" i="2"/>
  <c r="M218" i="2"/>
  <c r="L218" i="2"/>
  <c r="M217" i="2"/>
  <c r="L217" i="2"/>
  <c r="M216" i="2"/>
  <c r="L216" i="2"/>
  <c r="M190" i="2"/>
  <c r="L190" i="2"/>
  <c r="M189" i="2"/>
  <c r="L189" i="2"/>
  <c r="M177" i="2"/>
  <c r="L177" i="2"/>
  <c r="M188" i="2"/>
  <c r="L188" i="2"/>
  <c r="M187" i="2"/>
  <c r="L187" i="2"/>
  <c r="M206" i="2"/>
  <c r="L206" i="2"/>
  <c r="M186" i="2"/>
  <c r="L186" i="2"/>
  <c r="M185" i="2"/>
  <c r="L185" i="2"/>
  <c r="M184" i="2"/>
  <c r="L184" i="2"/>
  <c r="M205" i="2"/>
  <c r="L205" i="2"/>
  <c r="M204" i="2"/>
  <c r="L204" i="2"/>
  <c r="M183" i="2"/>
  <c r="L183" i="2"/>
  <c r="M182" i="2"/>
  <c r="L182" i="2"/>
  <c r="M181" i="2"/>
  <c r="L181" i="2"/>
  <c r="M180" i="2"/>
  <c r="L180" i="2"/>
  <c r="M215" i="2"/>
  <c r="L215" i="2"/>
  <c r="M214" i="2"/>
  <c r="L214" i="2"/>
  <c r="M213" i="2"/>
  <c r="L213" i="2"/>
  <c r="M212" i="2"/>
  <c r="L212" i="2"/>
  <c r="M211" i="2"/>
  <c r="L211" i="2"/>
  <c r="M210" i="2"/>
  <c r="L210" i="2"/>
  <c r="M263" i="2"/>
  <c r="L263" i="2"/>
  <c r="M262" i="2"/>
  <c r="L262" i="2"/>
  <c r="M192" i="2"/>
  <c r="L192" i="2"/>
  <c r="M191" i="2"/>
  <c r="L191" i="2"/>
  <c r="M178" i="2"/>
  <c r="L178" i="2"/>
  <c r="M193" i="2"/>
  <c r="L193" i="2"/>
  <c r="M208" i="2"/>
  <c r="L208" i="2"/>
  <c r="M197" i="2"/>
  <c r="L197" i="2"/>
  <c r="M196" i="2"/>
  <c r="L196" i="2"/>
  <c r="M195" i="2"/>
  <c r="L195" i="2"/>
  <c r="M194" i="2"/>
  <c r="L194" i="2"/>
  <c r="M179" i="2"/>
  <c r="L179" i="2"/>
  <c r="M227" i="2"/>
  <c r="L227" i="2"/>
  <c r="M226" i="2"/>
  <c r="L226" i="2"/>
  <c r="M261" i="2"/>
  <c r="L261" i="2"/>
  <c r="M260" i="2"/>
  <c r="L260" i="2"/>
  <c r="M248" i="2"/>
  <c r="L248" i="2"/>
  <c r="M259" i="2"/>
  <c r="L259" i="2"/>
  <c r="M258" i="2"/>
  <c r="L258" i="2"/>
  <c r="M257" i="2"/>
  <c r="L257" i="2"/>
  <c r="M256" i="2"/>
  <c r="L256" i="2"/>
  <c r="M266" i="2"/>
  <c r="L266" i="2"/>
  <c r="M265" i="2"/>
  <c r="L265" i="2"/>
  <c r="M264" i="2"/>
  <c r="L264" i="2"/>
  <c r="M275" i="2"/>
  <c r="L275" i="2"/>
  <c r="M274" i="2"/>
  <c r="L274" i="2"/>
  <c r="M273" i="2"/>
  <c r="L273" i="2"/>
  <c r="M272" i="2"/>
  <c r="L272" i="2"/>
  <c r="M271" i="2"/>
  <c r="L271" i="2"/>
  <c r="M270" i="2"/>
  <c r="L270" i="2"/>
  <c r="M269" i="2"/>
  <c r="L269" i="2"/>
  <c r="M268" i="2"/>
  <c r="L268" i="2"/>
  <c r="M267" i="2"/>
  <c r="L267" i="2"/>
  <c r="M255" i="2"/>
  <c r="L255" i="2"/>
  <c r="M254" i="2"/>
  <c r="L254" i="2"/>
  <c r="M245" i="2"/>
  <c r="L245" i="2"/>
  <c r="M244" i="2"/>
  <c r="L244" i="2"/>
  <c r="M243" i="2"/>
  <c r="L243" i="2"/>
  <c r="M253" i="2"/>
  <c r="L253" i="2"/>
  <c r="M252" i="2"/>
  <c r="L252" i="2"/>
  <c r="M251" i="2"/>
  <c r="L251" i="2"/>
  <c r="M250" i="2"/>
  <c r="L250" i="2"/>
  <c r="M249" i="2"/>
  <c r="L249" i="2"/>
  <c r="M247" i="2"/>
  <c r="L247" i="2"/>
  <c r="M246" i="2"/>
  <c r="L246" i="2"/>
  <c r="M242" i="2"/>
  <c r="L242" i="2"/>
  <c r="M241" i="2"/>
  <c r="L241" i="2"/>
  <c r="M240" i="2"/>
  <c r="L240" i="2"/>
  <c r="M238" i="2"/>
  <c r="L238" i="2"/>
  <c r="M239" i="2"/>
  <c r="L239" i="2"/>
  <c r="M237" i="2"/>
  <c r="L237" i="2"/>
  <c r="M236" i="2"/>
  <c r="L236" i="2"/>
  <c r="M235" i="2"/>
  <c r="L235" i="2"/>
  <c r="M234" i="2"/>
  <c r="L234" i="2"/>
  <c r="M233" i="2"/>
  <c r="L233" i="2"/>
  <c r="M232" i="2"/>
  <c r="L232" i="2"/>
  <c r="M231" i="2"/>
  <c r="L231" i="2"/>
  <c r="M230" i="2"/>
  <c r="L230" i="2"/>
  <c r="M229" i="2"/>
  <c r="L229" i="2"/>
  <c r="M228" i="2"/>
  <c r="L228" i="2"/>
  <c r="M225" i="2"/>
  <c r="L225" i="2"/>
  <c r="M224" i="2"/>
  <c r="L224" i="2"/>
  <c r="M223" i="2"/>
  <c r="L223" i="2"/>
  <c r="M222" i="2"/>
  <c r="L222" i="2"/>
  <c r="M221" i="2"/>
  <c r="L221" i="2"/>
  <c r="M220" i="2"/>
  <c r="L220" i="2"/>
  <c r="M219" i="2"/>
  <c r="L219" i="2"/>
  <c r="M209" i="2"/>
  <c r="L209" i="2"/>
  <c r="M203" i="2"/>
  <c r="L203" i="2"/>
  <c r="M202" i="2"/>
  <c r="L202" i="2"/>
  <c r="M201" i="2"/>
  <c r="L201" i="2"/>
  <c r="M200" i="2"/>
  <c r="L200" i="2"/>
  <c r="M199" i="2"/>
  <c r="L199" i="2"/>
  <c r="M198" i="2"/>
  <c r="L198" i="2"/>
  <c r="M207" i="2"/>
  <c r="L207" i="2"/>
  <c r="M175" i="2"/>
  <c r="L175" i="2"/>
  <c r="M293" i="2"/>
  <c r="L293" i="2"/>
  <c r="M292" i="2"/>
  <c r="L292" i="2"/>
  <c r="M291" i="2"/>
  <c r="L291" i="2"/>
  <c r="M290" i="2"/>
  <c r="L290"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174" i="2"/>
  <c r="L174" i="2"/>
  <c r="M158" i="2"/>
  <c r="L158" i="2"/>
  <c r="M157" i="2"/>
  <c r="L157" i="2"/>
  <c r="M152" i="2"/>
  <c r="L152" i="2"/>
  <c r="M151" i="2"/>
  <c r="L151" i="2"/>
  <c r="M156" i="2"/>
  <c r="L156" i="2"/>
  <c r="M147" i="2"/>
  <c r="L147" i="2"/>
  <c r="M154" i="2"/>
  <c r="L154" i="2"/>
  <c r="M159" i="2"/>
  <c r="L159" i="2"/>
  <c r="M146" i="2"/>
  <c r="L146" i="2"/>
  <c r="M140" i="2"/>
  <c r="L140" i="2"/>
  <c r="M153" i="2"/>
  <c r="L153" i="2"/>
  <c r="M155" i="2"/>
  <c r="L155" i="2"/>
  <c r="M149" i="2"/>
  <c r="L149" i="2"/>
  <c r="M150" i="2"/>
  <c r="L150" i="2"/>
  <c r="M161" i="2"/>
  <c r="L161" i="2"/>
  <c r="M148" i="2"/>
  <c r="L148" i="2"/>
  <c r="M160" i="2"/>
  <c r="L160" i="2"/>
  <c r="M141" i="2"/>
  <c r="L141" i="2"/>
  <c r="M163" i="2"/>
  <c r="L163" i="2"/>
  <c r="M168" i="2"/>
  <c r="L168" i="2"/>
  <c r="M170" i="2"/>
  <c r="L170" i="2"/>
  <c r="M169" i="2"/>
  <c r="L169" i="2"/>
  <c r="M167" i="2"/>
  <c r="L167" i="2"/>
  <c r="M165" i="2"/>
  <c r="L165" i="2"/>
  <c r="M142" i="2"/>
  <c r="L142" i="2"/>
  <c r="M143" i="2"/>
  <c r="L143" i="2"/>
  <c r="M164" i="2"/>
  <c r="L164" i="2"/>
  <c r="M162" i="2"/>
  <c r="L162" i="2"/>
  <c r="M119" i="2"/>
  <c r="L119" i="2"/>
  <c r="M118" i="2"/>
  <c r="L118"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0" i="2"/>
  <c r="L100" i="2"/>
  <c r="M101" i="2"/>
  <c r="L101" i="2"/>
  <c r="M99" i="2"/>
  <c r="L99" i="2"/>
  <c r="M98" i="2"/>
  <c r="L98" i="2"/>
  <c r="M97" i="2"/>
  <c r="L97" i="2"/>
  <c r="M96" i="2"/>
  <c r="L96" i="2"/>
  <c r="M95" i="2"/>
  <c r="L95" i="2"/>
  <c r="M139" i="2"/>
  <c r="L139" i="2"/>
  <c r="M138" i="2"/>
  <c r="L138" i="2"/>
  <c r="M137" i="2"/>
  <c r="L137" i="2"/>
  <c r="M136" i="2"/>
  <c r="L136" i="2"/>
  <c r="M135" i="2"/>
  <c r="L135" i="2"/>
  <c r="M134" i="2"/>
  <c r="L134" i="2"/>
  <c r="M133" i="2"/>
  <c r="L133" i="2"/>
  <c r="M132" i="2"/>
  <c r="L132" i="2"/>
  <c r="M93" i="2"/>
  <c r="L93" i="2"/>
  <c r="M756" i="2"/>
  <c r="L756" i="2"/>
  <c r="M131" i="2"/>
  <c r="L131" i="2"/>
  <c r="M130" i="2"/>
  <c r="L130" i="2"/>
  <c r="M129" i="2"/>
  <c r="L129" i="2"/>
  <c r="M128" i="2"/>
  <c r="L128" i="2"/>
  <c r="M127" i="2"/>
  <c r="L127" i="2"/>
  <c r="M126" i="2"/>
  <c r="L126" i="2"/>
  <c r="M125" i="2"/>
  <c r="L125" i="2"/>
  <c r="M124" i="2"/>
  <c r="L124" i="2"/>
  <c r="M123" i="2"/>
  <c r="L123" i="2"/>
  <c r="M122" i="2"/>
  <c r="L122" i="2"/>
  <c r="M121" i="2"/>
  <c r="L121" i="2"/>
  <c r="M120" i="2"/>
  <c r="L120" i="2"/>
  <c r="M94" i="2"/>
  <c r="L94" i="2"/>
  <c r="M92" i="2"/>
  <c r="L92" i="2"/>
  <c r="M91" i="2"/>
  <c r="L91" i="2"/>
  <c r="M90" i="2"/>
  <c r="L90" i="2"/>
  <c r="M89" i="2"/>
  <c r="L89" i="2"/>
  <c r="M88" i="2"/>
  <c r="L88" i="2"/>
  <c r="M87" i="2"/>
  <c r="L87" i="2"/>
  <c r="M86" i="2"/>
  <c r="L86" i="2"/>
  <c r="M84" i="2"/>
  <c r="L84" i="2"/>
  <c r="M85" i="2"/>
  <c r="L85" i="2"/>
  <c r="M83" i="2"/>
  <c r="L83" i="2"/>
  <c r="M16" i="2"/>
  <c r="L16" i="2"/>
  <c r="M15" i="2"/>
  <c r="L15" i="2"/>
  <c r="M12" i="2"/>
  <c r="L12" i="2"/>
  <c r="M13" i="2"/>
  <c r="L13" i="2"/>
  <c r="M9" i="2"/>
  <c r="L9" i="2"/>
  <c r="M36" i="2"/>
  <c r="L36" i="2"/>
  <c r="M14" i="2"/>
  <c r="L14" i="2"/>
  <c r="M11" i="2"/>
  <c r="L11" i="2"/>
  <c r="M10" i="2"/>
  <c r="L10" i="2"/>
  <c r="M37" i="2"/>
  <c r="L37" i="2"/>
  <c r="M56" i="2"/>
  <c r="L56" i="2"/>
  <c r="M81" i="2"/>
  <c r="L81" i="2"/>
  <c r="M82" i="2"/>
  <c r="L82" i="2"/>
  <c r="M76" i="2"/>
  <c r="L76" i="2"/>
  <c r="M75" i="2"/>
  <c r="L75" i="2"/>
  <c r="M74" i="2"/>
  <c r="L74" i="2"/>
  <c r="M73" i="2"/>
  <c r="L73" i="2"/>
  <c r="M80" i="2"/>
  <c r="L80" i="2"/>
  <c r="M30" i="2"/>
  <c r="L30" i="2"/>
  <c r="M41" i="2"/>
  <c r="L41" i="2"/>
  <c r="M43" i="2"/>
  <c r="L43" i="2"/>
  <c r="M42" i="2"/>
  <c r="L42" i="2"/>
  <c r="M40" i="2"/>
  <c r="L40" i="2"/>
  <c r="M39" i="2"/>
  <c r="L39" i="2"/>
  <c r="M6" i="2"/>
  <c r="L6" i="2"/>
  <c r="M38" i="2"/>
  <c r="L38" i="2"/>
  <c r="M26" i="2"/>
  <c r="L26" i="2"/>
  <c r="M8" i="2"/>
  <c r="L8" i="2"/>
  <c r="M31" i="2"/>
  <c r="L31" i="2"/>
  <c r="M7" i="2"/>
  <c r="L7" i="2"/>
  <c r="M27" i="2"/>
  <c r="L27" i="2"/>
  <c r="M24" i="2"/>
  <c r="L24" i="2"/>
  <c r="M77" i="2"/>
  <c r="L77" i="2"/>
  <c r="M79" i="2"/>
  <c r="L79" i="2"/>
  <c r="M32" i="2"/>
  <c r="L32" i="2"/>
  <c r="M25" i="2"/>
  <c r="L25" i="2"/>
  <c r="M72" i="2"/>
  <c r="L72" i="2"/>
  <c r="M71" i="2"/>
  <c r="L71" i="2"/>
  <c r="M66" i="2"/>
  <c r="L66" i="2"/>
  <c r="M69" i="2"/>
  <c r="L69" i="2"/>
  <c r="M68" i="2"/>
  <c r="L68" i="2"/>
  <c r="M67" i="2"/>
  <c r="L67" i="2"/>
  <c r="M65" i="2"/>
  <c r="L65" i="2"/>
  <c r="M64" i="2"/>
  <c r="L64" i="2"/>
  <c r="M63" i="2"/>
  <c r="L63" i="2"/>
  <c r="M62" i="2"/>
  <c r="L62" i="2"/>
  <c r="M33" i="2"/>
  <c r="L33" i="2"/>
  <c r="M35" i="2"/>
  <c r="L35" i="2"/>
  <c r="M23" i="2"/>
  <c r="L23" i="2"/>
  <c r="M22" i="2"/>
  <c r="L22" i="2"/>
  <c r="M17" i="2"/>
  <c r="L17" i="2"/>
  <c r="M60" i="2"/>
  <c r="L60" i="2"/>
  <c r="M78" i="2"/>
  <c r="L78" i="2"/>
  <c r="M59" i="2"/>
  <c r="L59" i="2"/>
  <c r="M57" i="2"/>
  <c r="L57" i="2"/>
  <c r="M34" i="2"/>
  <c r="L34" i="2"/>
  <c r="M50" i="2"/>
  <c r="L50" i="2"/>
  <c r="M54" i="2"/>
  <c r="L54" i="2"/>
  <c r="M52" i="2"/>
  <c r="L52" i="2"/>
  <c r="M53" i="2"/>
  <c r="L53" i="2"/>
  <c r="M51" i="2"/>
  <c r="L51" i="2"/>
  <c r="M55" i="2"/>
  <c r="L55" i="2"/>
  <c r="M46" i="2"/>
  <c r="L46" i="2"/>
  <c r="L3" i="2"/>
  <c r="M44" i="2"/>
  <c r="L44" i="2"/>
  <c r="M4" i="2"/>
  <c r="L4" i="2"/>
  <c r="M5" i="2"/>
  <c r="L5" i="2"/>
  <c r="M2" i="2"/>
  <c r="L2" i="2"/>
  <c r="K5" i="2"/>
  <c r="K4" i="2"/>
  <c r="K75" i="2"/>
  <c r="K79" i="2"/>
  <c r="K25" i="2"/>
  <c r="K64" i="2"/>
  <c r="K14" i="2"/>
  <c r="K11" i="2"/>
  <c r="K10" i="2"/>
  <c r="K37" i="2"/>
  <c r="K15" i="2"/>
  <c r="K56" i="2"/>
  <c r="K78" i="2"/>
  <c r="K36" i="2"/>
  <c r="K2" i="2"/>
  <c r="K46" i="2"/>
  <c r="K17" i="2"/>
  <c r="K22" i="2"/>
  <c r="K23" i="2"/>
  <c r="K35" i="2"/>
  <c r="K33" i="2"/>
  <c r="K9" i="2"/>
  <c r="K12" i="2"/>
  <c r="K13" i="2"/>
  <c r="K16" i="2"/>
  <c r="K677" i="2"/>
  <c r="K24" i="2"/>
  <c r="K27" i="2"/>
  <c r="K7" i="2"/>
  <c r="K31" i="2"/>
  <c r="K8" i="2"/>
  <c r="K38" i="2"/>
  <c r="K6" i="2"/>
  <c r="K39" i="2"/>
  <c r="K40" i="2"/>
  <c r="K42" i="2"/>
  <c r="K43" i="2"/>
  <c r="K41" i="2"/>
  <c r="K30" i="2"/>
  <c r="K73" i="2"/>
  <c r="K74" i="2"/>
  <c r="K76" i="2"/>
  <c r="K57" i="2"/>
  <c r="K59" i="2"/>
  <c r="K60" i="2"/>
  <c r="K62" i="2"/>
  <c r="K63" i="2"/>
  <c r="K55" i="2"/>
  <c r="K51" i="2"/>
  <c r="K53" i="2"/>
  <c r="K52" i="2"/>
  <c r="K54" i="2"/>
  <c r="K50" i="2"/>
  <c r="K34" i="2"/>
  <c r="K65" i="2"/>
  <c r="K67" i="2"/>
  <c r="K68" i="2"/>
  <c r="K69" i="2"/>
  <c r="K66" i="2"/>
  <c r="K71" i="2"/>
  <c r="K72" i="2"/>
  <c r="K32" i="2"/>
  <c r="K3" i="2"/>
  <c r="K83" i="2"/>
  <c r="K85" i="2"/>
  <c r="K84" i="2"/>
  <c r="K86" i="2"/>
  <c r="K87" i="2"/>
  <c r="K88" i="2"/>
  <c r="K92" i="2"/>
  <c r="K94" i="2"/>
  <c r="K120" i="2"/>
  <c r="K121" i="2"/>
  <c r="K122" i="2"/>
  <c r="K123" i="2"/>
  <c r="K124" i="2"/>
  <c r="K125" i="2"/>
  <c r="K126" i="2"/>
  <c r="K127" i="2"/>
  <c r="K128" i="2"/>
  <c r="K129" i="2"/>
  <c r="K130" i="2"/>
  <c r="K131" i="2"/>
  <c r="K756" i="2"/>
  <c r="K93" i="2"/>
  <c r="K132" i="2"/>
  <c r="K133" i="2"/>
  <c r="K134" i="2"/>
  <c r="K135" i="2"/>
  <c r="K136" i="2"/>
  <c r="K137" i="2"/>
  <c r="K138" i="2"/>
  <c r="K139" i="2"/>
  <c r="K95" i="2"/>
  <c r="K96" i="2"/>
  <c r="K97" i="2"/>
  <c r="K98" i="2"/>
  <c r="K99" i="2"/>
  <c r="K101" i="2"/>
  <c r="K100" i="2"/>
  <c r="K102" i="2"/>
  <c r="K103" i="2"/>
  <c r="K104" i="2"/>
  <c r="K105" i="2"/>
  <c r="K106" i="2"/>
  <c r="K107" i="2"/>
  <c r="K108" i="2"/>
  <c r="K109" i="2"/>
  <c r="K110" i="2"/>
  <c r="K111" i="2"/>
  <c r="K112" i="2"/>
  <c r="K113" i="2"/>
  <c r="K114" i="2"/>
  <c r="K115" i="2"/>
  <c r="K116" i="2"/>
  <c r="K117" i="2"/>
  <c r="K118" i="2"/>
  <c r="K119" i="2"/>
  <c r="K44" i="2"/>
  <c r="K77" i="2"/>
  <c r="K26" i="2"/>
  <c r="K80" i="2"/>
  <c r="K82" i="2"/>
  <c r="K81" i="2"/>
  <c r="K89" i="2"/>
  <c r="K90" i="2"/>
  <c r="K91" i="2"/>
  <c r="K162" i="2"/>
  <c r="K164" i="2"/>
  <c r="K143" i="2"/>
  <c r="K142" i="2"/>
  <c r="K165" i="2"/>
  <c r="K167" i="2"/>
  <c r="K169" i="2"/>
  <c r="K170" i="2"/>
  <c r="K168" i="2"/>
  <c r="K163" i="2"/>
  <c r="K141" i="2"/>
  <c r="K160" i="2"/>
  <c r="K148" i="2"/>
  <c r="K161" i="2"/>
  <c r="K150" i="2"/>
  <c r="K149" i="2"/>
  <c r="K155" i="2"/>
  <c r="K153" i="2"/>
  <c r="K140" i="2"/>
  <c r="K146" i="2"/>
  <c r="K159" i="2"/>
  <c r="K154" i="2"/>
  <c r="K147" i="2"/>
  <c r="K156" i="2"/>
  <c r="K151" i="2"/>
  <c r="K152" i="2"/>
  <c r="K157" i="2"/>
  <c r="K158" i="2"/>
  <c r="K174" i="2"/>
  <c r="K276" i="2"/>
  <c r="K277" i="2"/>
  <c r="K278" i="2"/>
  <c r="K279" i="2"/>
  <c r="K280" i="2"/>
  <c r="K281" i="2"/>
  <c r="K282" i="2"/>
  <c r="K283" i="2"/>
  <c r="K284" i="2"/>
  <c r="K285" i="2"/>
  <c r="K286" i="2"/>
  <c r="K287" i="2"/>
  <c r="K288" i="2"/>
  <c r="K289" i="2"/>
  <c r="K290" i="2"/>
  <c r="K291" i="2"/>
  <c r="K292" i="2"/>
  <c r="K293" i="2"/>
  <c r="K175" i="2"/>
  <c r="K207" i="2"/>
  <c r="K198" i="2"/>
  <c r="K199" i="2"/>
  <c r="K200" i="2"/>
  <c r="K201" i="2"/>
  <c r="K202" i="2"/>
  <c r="K203" i="2"/>
  <c r="K209" i="2"/>
  <c r="K219" i="2"/>
  <c r="K220" i="2"/>
  <c r="K221" i="2"/>
  <c r="K222" i="2"/>
  <c r="K223" i="2"/>
  <c r="K224" i="2"/>
  <c r="K225" i="2"/>
  <c r="K228" i="2"/>
  <c r="K229" i="2"/>
  <c r="K230" i="2"/>
  <c r="K231" i="2"/>
  <c r="K232" i="2"/>
  <c r="K233" i="2"/>
  <c r="K234" i="2"/>
  <c r="K235" i="2"/>
  <c r="K236" i="2"/>
  <c r="K237" i="2"/>
  <c r="K239" i="2"/>
  <c r="K238" i="2"/>
  <c r="K240" i="2"/>
  <c r="K241" i="2"/>
  <c r="K242" i="2"/>
  <c r="K246" i="2"/>
  <c r="K247" i="2"/>
  <c r="K249" i="2"/>
  <c r="K250" i="2"/>
  <c r="K251" i="2"/>
  <c r="K252" i="2"/>
  <c r="K253" i="2"/>
  <c r="K243" i="2"/>
  <c r="K244" i="2"/>
  <c r="K245" i="2"/>
  <c r="K254" i="2"/>
  <c r="K255" i="2"/>
  <c r="K267" i="2"/>
  <c r="K268" i="2"/>
  <c r="K269" i="2"/>
  <c r="K270" i="2"/>
  <c r="K271" i="2"/>
  <c r="K272" i="2"/>
  <c r="K273" i="2"/>
  <c r="K274" i="2"/>
  <c r="K275" i="2"/>
  <c r="K264" i="2"/>
  <c r="K265" i="2"/>
  <c r="K266" i="2"/>
  <c r="K256" i="2"/>
  <c r="K257" i="2"/>
  <c r="K258" i="2"/>
  <c r="K259" i="2"/>
  <c r="K248" i="2"/>
  <c r="K260" i="2"/>
  <c r="K261" i="2"/>
  <c r="K226" i="2"/>
  <c r="K227" i="2"/>
  <c r="K179" i="2"/>
  <c r="K194" i="2"/>
  <c r="K195" i="2"/>
  <c r="K196" i="2"/>
  <c r="K197" i="2"/>
  <c r="K208" i="2"/>
  <c r="K193" i="2"/>
  <c r="K178" i="2"/>
  <c r="K191" i="2"/>
  <c r="K192" i="2"/>
  <c r="K262" i="2"/>
  <c r="K263" i="2"/>
  <c r="K210" i="2"/>
  <c r="K211" i="2"/>
  <c r="K212" i="2"/>
  <c r="K213" i="2"/>
  <c r="K214" i="2"/>
  <c r="K215" i="2"/>
  <c r="K180" i="2"/>
  <c r="K181" i="2"/>
  <c r="K182" i="2"/>
  <c r="K183" i="2"/>
  <c r="K204" i="2"/>
  <c r="K205" i="2"/>
  <c r="K184" i="2"/>
  <c r="K185" i="2"/>
  <c r="K186" i="2"/>
  <c r="K206" i="2"/>
  <c r="K187" i="2"/>
  <c r="K188" i="2"/>
  <c r="K177" i="2"/>
  <c r="K189" i="2"/>
  <c r="K190" i="2"/>
  <c r="K216" i="2"/>
  <c r="K217" i="2"/>
  <c r="K218" i="2"/>
  <c r="K176" i="2"/>
  <c r="K294" i="2"/>
  <c r="K758" i="2"/>
  <c r="K336" i="2"/>
  <c r="K337" i="2"/>
  <c r="K338" i="2"/>
  <c r="K332" i="2"/>
  <c r="K327" i="2"/>
  <c r="K328" i="2"/>
  <c r="K329" i="2"/>
  <c r="K330" i="2"/>
  <c r="K331" i="2"/>
  <c r="K655" i="2"/>
  <c r="K346" i="2"/>
  <c r="K656" i="2"/>
  <c r="K363" i="2"/>
  <c r="K347" i="2"/>
  <c r="K652" i="2"/>
  <c r="K372" i="2"/>
  <c r="K341" i="2"/>
  <c r="K342" i="2"/>
  <c r="K343" i="2"/>
  <c r="K344" i="2"/>
  <c r="K345" i="2"/>
  <c r="K653" i="2"/>
  <c r="K354" i="2"/>
  <c r="K654" i="2"/>
  <c r="K355" i="2"/>
  <c r="K373" i="2"/>
  <c r="K321" i="2"/>
  <c r="K322" i="2"/>
  <c r="K323" i="2"/>
  <c r="K324" i="2"/>
  <c r="K325" i="2"/>
  <c r="K326" i="2"/>
  <c r="K761" i="2"/>
  <c r="K762" i="2"/>
  <c r="K361" i="2"/>
  <c r="K339" i="2"/>
  <c r="K362" i="2"/>
  <c r="K340" i="2"/>
  <c r="K374" i="2"/>
  <c r="K348"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349" i="2"/>
  <c r="K350" i="2"/>
  <c r="K351" i="2"/>
  <c r="K352" i="2"/>
  <c r="K353" i="2"/>
  <c r="K320" i="2"/>
  <c r="K317" i="2"/>
  <c r="K356" i="2"/>
  <c r="K357" i="2"/>
  <c r="K358" i="2"/>
  <c r="K657" i="2"/>
  <c r="K658" i="2"/>
  <c r="K659" i="2"/>
  <c r="K660" i="2"/>
  <c r="K661" i="2"/>
  <c r="K662" i="2"/>
  <c r="K664" i="2"/>
  <c r="K665" i="2"/>
  <c r="K597" i="2"/>
  <c r="K666" i="2"/>
  <c r="K663" i="2"/>
  <c r="K667" i="2"/>
  <c r="K668" i="2"/>
  <c r="K669" i="2"/>
  <c r="K670" i="2"/>
  <c r="K365" i="2"/>
  <c r="K364" i="2"/>
  <c r="K674" i="2"/>
  <c r="K334" i="2"/>
  <c r="K366" i="2"/>
  <c r="K367" i="2"/>
  <c r="K368" i="2"/>
  <c r="K369" i="2"/>
  <c r="K370" i="2"/>
  <c r="K371" i="2"/>
  <c r="K671" i="2"/>
  <c r="K672" i="2"/>
  <c r="K673" i="2"/>
  <c r="K757" i="2"/>
  <c r="K755" i="2"/>
  <c r="K759"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333" i="2"/>
  <c r="K335" i="2"/>
  <c r="K359" i="2"/>
  <c r="K360" i="2"/>
  <c r="K295" i="2"/>
  <c r="K413" i="2"/>
  <c r="K301" i="2"/>
  <c r="K318" i="2"/>
  <c r="K319"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603" i="2"/>
  <c r="K604" i="2"/>
  <c r="K605" i="2"/>
  <c r="K527" i="2"/>
  <c r="K528" i="2"/>
  <c r="K529" i="2"/>
  <c r="K530" i="2"/>
  <c r="K531" i="2"/>
  <c r="K532" i="2"/>
  <c r="K533" i="2"/>
  <c r="K534" i="2"/>
  <c r="K535" i="2"/>
  <c r="K536" i="2"/>
  <c r="K537" i="2"/>
  <c r="K538" i="2"/>
  <c r="K539" i="2"/>
  <c r="K540" i="2"/>
  <c r="K541" i="2"/>
  <c r="K542" i="2"/>
  <c r="K543" i="2"/>
  <c r="K544" i="2"/>
  <c r="K545" i="2"/>
  <c r="K546" i="2"/>
  <c r="K547" i="2"/>
  <c r="K548" i="2"/>
  <c r="K601" i="2"/>
  <c r="K606"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607" i="2"/>
  <c r="K608" i="2"/>
  <c r="K609" i="2"/>
  <c r="K610" i="2"/>
  <c r="K611" i="2"/>
  <c r="K612" i="2"/>
  <c r="K613" i="2"/>
  <c r="K614" i="2"/>
  <c r="K615" i="2"/>
  <c r="K616" i="2"/>
  <c r="K617" i="2"/>
  <c r="K618" i="2"/>
  <c r="K619" i="2"/>
  <c r="K620" i="2"/>
  <c r="K621" i="2"/>
  <c r="K622" i="2"/>
  <c r="K595" i="2"/>
  <c r="K623" i="2"/>
  <c r="K624" i="2"/>
  <c r="K625" i="2"/>
  <c r="K626" i="2"/>
  <c r="K627" i="2"/>
  <c r="K628" i="2"/>
  <c r="K629" i="2"/>
  <c r="K630" i="2"/>
  <c r="K631" i="2"/>
  <c r="K632" i="2"/>
  <c r="K634" i="2"/>
  <c r="K635" i="2"/>
  <c r="K639" i="2"/>
  <c r="K640" i="2"/>
  <c r="K642" i="2"/>
  <c r="K644" i="2"/>
  <c r="K646" i="2"/>
  <c r="K647" i="2"/>
  <c r="K648" i="2"/>
  <c r="K649" i="2"/>
  <c r="K650" i="2"/>
  <c r="K651" i="2"/>
  <c r="K602" i="2"/>
  <c r="K760" i="2"/>
  <c r="K296" i="2"/>
  <c r="K297" i="2"/>
  <c r="K298" i="2"/>
  <c r="K299" i="2"/>
  <c r="K302" i="2"/>
  <c r="K303" i="2"/>
  <c r="K304" i="2"/>
  <c r="K305" i="2"/>
  <c r="K598" i="2"/>
  <c r="K599" i="2"/>
  <c r="K600" i="2"/>
  <c r="K306" i="2"/>
  <c r="K307" i="2"/>
  <c r="K633" i="2"/>
  <c r="K636" i="2"/>
  <c r="K637" i="2"/>
  <c r="K638" i="2"/>
  <c r="K641" i="2"/>
  <c r="K643" i="2"/>
  <c r="K645" i="2"/>
  <c r="K594" i="2"/>
  <c r="K300" i="2"/>
  <c r="K315" i="2"/>
  <c r="K316" i="2"/>
  <c r="K308" i="2"/>
  <c r="K309" i="2"/>
  <c r="K310" i="2"/>
  <c r="K311" i="2"/>
  <c r="K312" i="2"/>
  <c r="K313" i="2"/>
  <c r="K314" i="2"/>
  <c r="K596" i="2"/>
  <c r="K709" i="2"/>
  <c r="K708" i="2"/>
  <c r="K690" i="2"/>
  <c r="K691" i="2"/>
  <c r="K692" i="2"/>
  <c r="K693" i="2"/>
  <c r="K694" i="2"/>
  <c r="K697" i="2"/>
  <c r="K696" i="2"/>
  <c r="K695" i="2"/>
  <c r="K698" i="2"/>
  <c r="K699" i="2"/>
  <c r="K700" i="2"/>
  <c r="K701" i="2"/>
  <c r="K144" i="2"/>
  <c r="K145" i="2"/>
  <c r="K166" i="2"/>
  <c r="K704" i="2"/>
  <c r="K703" i="2"/>
  <c r="K705" i="2"/>
  <c r="K706" i="2"/>
  <c r="K707" i="2"/>
  <c r="K702" i="2"/>
  <c r="K803" i="2"/>
  <c r="K710" i="2"/>
  <c r="K723" i="2"/>
  <c r="K722" i="2"/>
  <c r="K724" i="2"/>
  <c r="K725" i="2"/>
  <c r="K712" i="2"/>
  <c r="K713" i="2"/>
  <c r="K714" i="2"/>
  <c r="K715" i="2"/>
  <c r="K716" i="2"/>
  <c r="K717" i="2"/>
  <c r="K718" i="2"/>
  <c r="K719" i="2"/>
  <c r="K720" i="2"/>
  <c r="K721" i="2"/>
  <c r="K726" i="2"/>
  <c r="K727" i="2"/>
  <c r="K728" i="2"/>
  <c r="K729" i="2"/>
  <c r="K730" i="2"/>
  <c r="K731" i="2"/>
  <c r="K732" i="2"/>
  <c r="K733" i="2"/>
  <c r="K734" i="2"/>
  <c r="K735" i="2"/>
  <c r="K736" i="2"/>
  <c r="K737" i="2"/>
  <c r="K738" i="2"/>
  <c r="K739" i="2"/>
  <c r="K740" i="2"/>
  <c r="K741" i="2"/>
  <c r="K742" i="2"/>
  <c r="K743" i="2"/>
  <c r="K744" i="2"/>
  <c r="K745" i="2"/>
  <c r="K746" i="2"/>
  <c r="K747" i="2"/>
  <c r="K748" i="2"/>
  <c r="K749" i="2"/>
  <c r="K754" i="2"/>
  <c r="K750" i="2"/>
  <c r="K751" i="2"/>
  <c r="K752" i="2"/>
  <c r="K753" i="2"/>
  <c r="I376" i="2" a="1"/>
  <c r="I484" i="2" a="1"/>
  <c r="I22" i="2" a="1"/>
  <c r="I49" i="2" a="1"/>
  <c r="I488" i="2" a="1"/>
  <c r="I409" i="2" a="1"/>
  <c r="I792" i="2" a="1"/>
  <c r="I432" i="2" a="1"/>
  <c r="I685" i="2" a="1"/>
  <c r="I520" i="2" a="1"/>
  <c r="I105" i="2" a="1"/>
  <c r="I704" i="2" a="1"/>
  <c r="I170" i="2" a="1"/>
  <c r="I467" i="2" a="1"/>
  <c r="I354" i="2" a="1"/>
  <c r="I181" i="2" a="1"/>
  <c r="I369" i="2" a="1"/>
  <c r="I171" i="2" a="1"/>
  <c r="I507" i="2" a="1"/>
  <c r="I722" i="2" a="1"/>
  <c r="I279" i="2" a="1"/>
  <c r="I487" i="2" a="1"/>
  <c r="I754" i="2" a="1"/>
  <c r="I16" i="2" a="1"/>
  <c r="I563" i="2" a="1"/>
  <c r="I589" i="2" a="1"/>
  <c r="I744" i="2" a="1"/>
  <c r="I519" i="2" a="1"/>
  <c r="I249" i="2" a="1"/>
  <c r="I796" i="2" a="1"/>
  <c r="I52" i="2" a="1"/>
  <c r="I597" i="2" a="1"/>
  <c r="I464" i="2" a="1"/>
  <c r="I416" i="2" a="1"/>
  <c r="I315" i="2" a="1"/>
  <c r="I407" i="2" a="1"/>
  <c r="I155" i="2" a="1"/>
  <c r="I786" i="2" a="1"/>
  <c r="I30" i="2" a="1"/>
  <c r="I275" i="2" a="1"/>
  <c r="I476" i="2" a="1"/>
  <c r="I630" i="2" a="1"/>
  <c r="I724" i="2" a="1"/>
  <c r="I124" i="2" a="1"/>
  <c r="I477" i="2" a="1"/>
  <c r="I719" i="2" a="1"/>
  <c r="I637" i="2" a="1"/>
  <c r="I553" i="2" a="1"/>
  <c r="I214" i="2" a="1"/>
  <c r="I758" i="2" a="1"/>
  <c r="I177" i="2" a="1"/>
  <c r="I58" i="2" a="1"/>
  <c r="I403" i="2" a="1"/>
  <c r="I549" i="2" a="1"/>
  <c r="I537" i="2" a="1"/>
  <c r="I237" i="2" a="1"/>
  <c r="I98" i="2" a="1"/>
  <c r="I108" i="2" a="1"/>
  <c r="I629" i="2" a="1"/>
  <c r="I383" i="2" a="1"/>
  <c r="I462" i="2" a="1"/>
  <c r="I36" i="2" a="1"/>
  <c r="I209" i="2" a="1"/>
  <c r="I17" i="2" a="1"/>
  <c r="I259" i="2" a="1"/>
  <c r="I368" i="2" a="1"/>
  <c r="I331" i="2" a="1"/>
  <c r="I450" i="2" a="1"/>
  <c r="I145" i="2" a="1"/>
  <c r="I718" i="2" a="1"/>
  <c r="I110" i="2" a="1"/>
  <c r="I314" i="2" a="1"/>
  <c r="I428" i="2" a="1"/>
  <c r="I692" i="2" a="1"/>
  <c r="I143" i="2" a="1"/>
  <c r="I665" i="2" a="1"/>
  <c r="I613" i="2" a="1"/>
  <c r="I530" i="2" a="1"/>
  <c r="I452" i="2" a="1"/>
  <c r="I747" i="2" a="1"/>
  <c r="I608" i="2" a="1"/>
  <c r="I286" i="2" a="1"/>
  <c r="I178" i="2" a="1"/>
  <c r="I261" i="2" a="1"/>
  <c r="I427" i="2" a="1"/>
  <c r="I309" i="2" a="1"/>
  <c r="I680" i="2" a="1"/>
  <c r="I566" i="2" a="1"/>
  <c r="I24" i="2" a="1"/>
  <c r="I240" i="2" a="1"/>
  <c r="I6" i="2" a="1"/>
  <c r="I735" i="2" a="1"/>
  <c r="I216" i="2" a="1"/>
  <c r="I593" i="2" a="1"/>
  <c r="I447" i="2" a="1"/>
  <c r="I301" i="2" a="1"/>
  <c r="I773" i="2" a="1"/>
  <c r="I80" i="2" a="1"/>
  <c r="I655" i="2" a="1"/>
  <c r="I686" i="2" a="1"/>
  <c r="I794" i="2" a="1"/>
  <c r="I449" i="2" a="1"/>
  <c r="I402" i="2" a="1"/>
  <c r="I319" i="2" a="1"/>
  <c r="I596" i="2" a="1"/>
  <c r="I148" i="2" a="1"/>
  <c r="I391" i="2" a="1"/>
  <c r="I638" i="2" a="1"/>
  <c r="I411" i="2" a="1"/>
  <c r="I667" i="2" a="1"/>
  <c r="I726" i="2" a="1"/>
  <c r="I347" i="2" a="1"/>
  <c r="I343" i="2" a="1"/>
  <c r="I683" i="2" a="1"/>
  <c r="I48" i="2" a="1"/>
  <c r="I96" i="2" a="1"/>
  <c r="I652" i="2" a="1"/>
  <c r="I122" i="2" a="1"/>
  <c r="I203" i="2" a="1"/>
  <c r="I740" i="2" a="1"/>
  <c r="I190" i="2" a="1"/>
  <c r="I405" i="2" a="1"/>
  <c r="I784" i="2" a="1"/>
  <c r="I508" i="2" a="1"/>
  <c r="I66" i="2" a="1"/>
  <c r="I525" i="2" a="1"/>
  <c r="I47" i="2" a="1"/>
  <c r="I254" i="2" a="1"/>
  <c r="I154" i="2" a="1"/>
  <c r="I555" i="2" a="1"/>
  <c r="I658" i="2" a="1"/>
  <c r="I104" i="2" a="1"/>
  <c r="I643" i="2" a="1"/>
  <c r="I400" i="2" a="1"/>
  <c r="I531" i="2" a="1"/>
  <c r="I107" i="2" a="1"/>
  <c r="I430" i="2" a="1"/>
  <c r="I231" i="2" a="1"/>
  <c r="I604" i="2" a="1"/>
  <c r="I554" i="2" a="1"/>
  <c r="I372" i="2" a="1"/>
  <c r="I56" i="2" a="1"/>
  <c r="I226" i="2" a="1"/>
  <c r="I44" i="2" a="1"/>
  <c r="I626" i="2" a="1"/>
  <c r="I120" i="2" a="1"/>
  <c r="I498" i="2" a="1"/>
  <c r="I482" i="2" a="1"/>
  <c r="I433" i="2" a="1"/>
  <c r="I772" i="2" a="1"/>
  <c r="I466" i="2" a="1"/>
  <c r="I570" i="2" a="1"/>
  <c r="I785" i="2" a="1"/>
  <c r="I244" i="2" a="1"/>
  <c r="I509" i="2" a="1"/>
  <c r="I211" i="2" a="1"/>
  <c r="I528" i="2" a="1"/>
  <c r="I783" i="2" a="1"/>
  <c r="I334" i="2" a="1"/>
  <c r="I288" i="2" a="1"/>
  <c r="I536" i="2" a="1"/>
  <c r="I358" i="2" a="1"/>
  <c r="I196" i="2" a="1"/>
  <c r="I790" i="2" a="1"/>
  <c r="I522" i="2" a="1"/>
  <c r="I793" i="2" a="1"/>
  <c r="I41" i="2" a="1"/>
  <c r="I187" i="2" a="1"/>
  <c r="I32" i="2" a="1"/>
  <c r="I585" i="2" a="1"/>
  <c r="I736" i="2" a="1"/>
  <c r="I222" i="2" a="1"/>
  <c r="I682" i="2" a="1"/>
  <c r="I696" i="2" a="1"/>
  <c r="I295" i="2" a="1"/>
  <c r="I674" i="2" a="1"/>
  <c r="I327" i="2" a="1"/>
  <c r="I326" i="2" a="1"/>
  <c r="I167" i="2" a="1"/>
  <c r="I590" i="2" a="1"/>
  <c r="I172" i="2" a="1"/>
  <c r="I737" i="2" a="1"/>
  <c r="I247" i="2" a="1"/>
  <c r="I756" i="2" a="1"/>
  <c r="I3" i="2" a="1"/>
  <c r="I624" i="2" a="1"/>
  <c r="I337" i="2" a="1"/>
  <c r="I490" i="2" a="1"/>
  <c r="I517" i="2" a="1"/>
  <c r="I398" i="2" a="1"/>
  <c r="I162" i="2" a="1"/>
  <c r="I460" i="2" a="1"/>
  <c r="I640" i="2" a="1"/>
  <c r="I529" i="2" a="1"/>
  <c r="I501" i="2" a="1"/>
  <c r="I15" i="2" a="1"/>
  <c r="I312" i="2" a="1"/>
  <c r="I175" i="2" a="1"/>
  <c r="I12" i="2" a="1"/>
  <c r="I750" i="2" a="1"/>
  <c r="I338" i="2" a="1"/>
  <c r="I404" i="2" a="1"/>
  <c r="I235" i="2" a="1"/>
  <c r="I607" i="2" a="1"/>
  <c r="I412" i="2" a="1"/>
  <c r="I364" i="2" a="1"/>
  <c r="I218" i="2" a="1"/>
  <c r="I723" i="2" a="1"/>
  <c r="I716" i="2" a="1"/>
  <c r="I802" i="2" a="1"/>
  <c r="I233" i="2" a="1"/>
  <c r="I581" i="2" a="1"/>
  <c r="I645" i="2" a="1"/>
  <c r="I88" i="2" a="1"/>
  <c r="I641" i="2" a="1"/>
  <c r="I86" i="2" a="1"/>
  <c r="I439" i="2" a="1"/>
  <c r="I257" i="2" a="1"/>
  <c r="I281" i="2" a="1"/>
  <c r="I245" i="2" a="1"/>
  <c r="I502" i="2" a="1"/>
  <c r="I550" i="2" a="1"/>
  <c r="I408" i="2" a="1"/>
  <c r="I541" i="2" a="1"/>
  <c r="I151" i="2" a="1"/>
  <c r="I253" i="2" a="1"/>
  <c r="I514" i="2" a="1"/>
  <c r="I246" i="2" a="1"/>
  <c r="I280" i="2" a="1"/>
  <c r="I776" i="2" a="1"/>
  <c r="I265" i="2" a="1"/>
  <c r="I742" i="2" a="1"/>
  <c r="I138" i="2" a="1"/>
  <c r="I206" i="2" a="1"/>
  <c r="I762" i="2" a="1"/>
  <c r="I251" i="2" a="1"/>
  <c r="I117" i="2" a="1"/>
  <c r="I329" i="2" a="1"/>
  <c r="I243" i="2" a="1"/>
  <c r="I269" i="2" a="1"/>
  <c r="I25" i="2" a="1"/>
  <c r="I323" i="2" a="1"/>
  <c r="I8" i="2" a="1"/>
  <c r="I212" i="2" a="1"/>
  <c r="I465" i="2" a="1"/>
  <c r="I165" i="2" a="1"/>
  <c r="I748" i="2" a="1"/>
  <c r="I111" i="2" a="1"/>
  <c r="I339" i="2" a="1"/>
  <c r="I208" i="2" a="1"/>
  <c r="I287" i="2" a="1"/>
  <c r="I46" i="2" a="1"/>
  <c r="I551" i="2" a="1"/>
  <c r="I644" i="2" a="1"/>
  <c r="I648" i="2" a="1"/>
  <c r="I112" i="2" a="1"/>
  <c r="I55" i="2" a="1"/>
  <c r="I513" i="2" a="1"/>
  <c r="I371" i="2" a="1"/>
  <c r="I4" i="2" a="1"/>
  <c r="I649" i="2" a="1"/>
  <c r="I547" i="2" a="1"/>
  <c r="I157" i="2" a="1"/>
  <c r="I53" i="2" a="1"/>
  <c r="I659" i="2" a="1"/>
  <c r="I2" i="2" a="1"/>
  <c r="I533" i="2" a="1"/>
  <c r="I506" i="2" a="1"/>
  <c r="I152" i="2" a="1"/>
  <c r="I752" i="2" a="1"/>
  <c r="I775" i="2" a="1"/>
  <c r="I714" i="2" a="1"/>
  <c r="I732" i="2" a="1"/>
  <c r="I552" i="2" a="1"/>
  <c r="I161" i="2" a="1"/>
  <c r="I468" i="2" a="1"/>
  <c r="I62" i="2" a="1"/>
  <c r="I451" i="2" a="1"/>
  <c r="I230" i="2" a="1"/>
  <c r="I92" i="2" a="1"/>
  <c r="I320" i="2" a="1"/>
  <c r="I158" i="2" a="1"/>
  <c r="I764" i="2" a="1"/>
  <c r="I64" i="2" a="1"/>
  <c r="I81" i="2" a="1"/>
  <c r="I505" i="2" a="1"/>
  <c r="I91" i="2" a="1"/>
  <c r="I582" i="2" a="1"/>
  <c r="I510" i="2" a="1"/>
  <c r="I443" i="2" a="1"/>
  <c r="I39" i="2" a="1"/>
  <c r="I381" i="2" a="1"/>
  <c r="I591" i="2" a="1"/>
  <c r="I396" i="2" a="1"/>
  <c r="I282" i="2" a="1"/>
  <c r="I141" i="2" a="1"/>
  <c r="I84" i="2" a="1"/>
  <c r="I495" i="2" a="1"/>
  <c r="I603" i="2" a="1"/>
  <c r="I250" i="2" a="1"/>
  <c r="I621" i="2" a="1"/>
  <c r="I195" i="2" a="1"/>
  <c r="I717" i="2" a="1"/>
  <c r="I352" i="2" a="1"/>
  <c r="I406" i="2" a="1"/>
  <c r="I169" i="2" a="1"/>
  <c r="I720" i="2" a="1"/>
  <c r="I688" i="2" a="1"/>
  <c r="I224" i="2" a="1"/>
  <c r="I363" i="2" a="1"/>
  <c r="I479" i="2" a="1"/>
  <c r="I95" i="2" a="1"/>
  <c r="I628" i="2" a="1"/>
  <c r="I463" i="2" a="1"/>
  <c r="I103" i="2" a="1"/>
  <c r="I200" i="2" a="1"/>
  <c r="I19" i="2" a="1"/>
  <c r="I803" i="2" a="1"/>
  <c r="I217" i="2" a="1"/>
  <c r="I544" i="2" a="1"/>
  <c r="I198" i="2" a="1"/>
  <c r="I429" i="2" a="1"/>
  <c r="I359" i="2" a="1"/>
  <c r="I631" i="2" a="1"/>
  <c r="I186" i="2" a="1"/>
  <c r="I558" i="2" a="1"/>
  <c r="I34" i="2" a="1"/>
  <c r="I392" i="2" a="1"/>
  <c r="I168" i="2" a="1"/>
  <c r="I557" i="2" a="1"/>
  <c r="I617" i="2" a="1"/>
  <c r="I545" i="2" a="1"/>
  <c r="I657" i="2" a="1"/>
  <c r="I660" i="2" a="1"/>
  <c r="I302" i="2" a="1"/>
  <c r="I625" i="2" a="1"/>
  <c r="I561" i="2" a="1"/>
  <c r="I708" i="2" a="1"/>
  <c r="I264" i="2" a="1"/>
  <c r="I350" i="2" a="1"/>
  <c r="I668" i="2" a="1"/>
  <c r="I35" i="2" a="1"/>
  <c r="I83" i="2" a="1"/>
  <c r="I410" i="2" a="1"/>
  <c r="I779" i="2" a="1"/>
  <c r="I355" i="2" a="1"/>
  <c r="I584" i="2" a="1"/>
  <c r="I266" i="2" a="1"/>
  <c r="I10" i="2" a="1"/>
  <c r="I23" i="2" a="1"/>
  <c r="I7" i="2" a="1"/>
  <c r="I70" i="2" a="1"/>
  <c r="I258" i="2" a="1"/>
  <c r="I440" i="2" a="1"/>
  <c r="I712" i="2" a="1"/>
  <c r="I296" i="2" a="1"/>
  <c r="I435" i="2" a="1"/>
  <c r="I242" i="2" a="1"/>
  <c r="I431" i="2" a="1"/>
  <c r="I568" i="2" a="1"/>
  <c r="I521" i="2" a="1"/>
  <c r="I271" i="2" a="1"/>
  <c r="I227" i="2" a="1"/>
  <c r="I114" i="2" a="1"/>
  <c r="I115" i="2" a="1"/>
  <c r="I292" i="2" a="1"/>
  <c r="I123" i="2" a="1"/>
  <c r="I65" i="2" a="1"/>
  <c r="I260" i="2" a="1"/>
  <c r="I635" i="2" a="1"/>
  <c r="I526" i="2" a="1"/>
  <c r="I121" i="2" a="1"/>
  <c r="I434" i="2" a="1"/>
  <c r="I73" i="2" a="1"/>
  <c r="I540" i="2" a="1"/>
  <c r="I305" i="2" a="1"/>
  <c r="I456" i="2" a="1"/>
  <c r="I318" i="2" a="1"/>
  <c r="I598" i="2" a="1"/>
  <c r="I248" i="2" a="1"/>
  <c r="I377" i="2" a="1"/>
  <c r="I274" i="2" a="1"/>
  <c r="I755" i="2" a="1"/>
  <c r="I632" i="2" a="1"/>
  <c r="I33" i="2" a="1"/>
  <c r="I78" i="2" a="1"/>
  <c r="I523" i="2" a="1"/>
  <c r="I753" i="2" a="1"/>
  <c r="I322" i="2" a="1"/>
  <c r="I219" i="2" a="1"/>
  <c r="I252" i="2" a="1"/>
  <c r="I20" i="2" a="1"/>
  <c r="I588" i="2" a="1"/>
  <c r="I140" i="2" a="1"/>
  <c r="I87" i="2" a="1"/>
  <c r="I546" i="2" a="1"/>
  <c r="I663" i="2" a="1"/>
  <c r="I763" i="2" a="1"/>
  <c r="I184" i="2" a="1"/>
  <c r="I623" i="2" a="1"/>
  <c r="I778" i="2" a="1"/>
  <c r="I128" i="2" a="1"/>
  <c r="I40" i="2" a="1"/>
  <c r="I100" i="2" a="1"/>
  <c r="I37" i="2" a="1"/>
  <c r="I702" i="2" a="1"/>
  <c r="I800" i="2" a="1"/>
  <c r="I496" i="2" a="1"/>
  <c r="I782" i="2" a="1"/>
  <c r="I18" i="2" a="1"/>
  <c r="I689" i="2" a="1"/>
  <c r="I113" i="2" a="1"/>
  <c r="I444" i="2" a="1"/>
  <c r="I423" i="2" a="1"/>
  <c r="I801" i="2" a="1"/>
  <c r="I304" i="2" a="1"/>
  <c r="I27" i="2" a="1"/>
  <c r="I390" i="2" a="1"/>
  <c r="I59" i="2" a="1"/>
  <c r="I580" i="2" a="1"/>
  <c r="I130" i="2" a="1"/>
  <c r="I54" i="2" a="1"/>
  <c r="I150" i="2" a="1"/>
  <c r="I662" i="2" a="1"/>
  <c r="I639" i="2" a="1"/>
  <c r="I567" i="2" a="1"/>
  <c r="I93" i="2" a="1"/>
  <c r="I306" i="2" a="1"/>
  <c r="I749" i="2" a="1"/>
  <c r="I139" i="2" a="1"/>
  <c r="I454" i="2" a="1"/>
  <c r="I276" i="2" a="1"/>
  <c r="I324" i="2" a="1"/>
  <c r="I459" i="2" a="1"/>
  <c r="I661" i="2" a="1"/>
  <c r="I771" i="2" a="1"/>
  <c r="I285" i="2" a="1"/>
  <c r="I698" i="2" a="1"/>
  <c r="I743" i="2" a="1"/>
  <c r="I780" i="2" a="1"/>
  <c r="I356" i="2" a="1"/>
  <c r="I374" i="2" a="1"/>
  <c r="I176" i="2" a="1"/>
  <c r="I382" i="2" a="1"/>
  <c r="I388" i="2" a="1"/>
  <c r="I798" i="2" a="1"/>
  <c r="I61" i="2" a="1"/>
  <c r="I21" i="2" a="1"/>
  <c r="I385" i="2" a="1"/>
  <c r="I471" i="2" a="1"/>
  <c r="I90" i="2" a="1"/>
  <c r="I620" i="2" a="1"/>
  <c r="I5" i="2" a="1"/>
  <c r="I221" i="2" a="1"/>
  <c r="I651" i="2" a="1"/>
  <c r="I455" i="2" a="1"/>
  <c r="I43" i="2" a="1"/>
  <c r="I577" i="2" a="1"/>
  <c r="I146" i="2" a="1"/>
  <c r="I413" i="2" a="1"/>
  <c r="I746" i="2" a="1"/>
  <c r="I475" i="2" a="1"/>
  <c r="I654" i="2" a="1"/>
  <c r="I595" i="2" a="1"/>
  <c r="I332" i="2" a="1"/>
  <c r="I270" i="2" a="1"/>
  <c r="I303" i="2" a="1"/>
  <c r="I294" i="2" a="1"/>
  <c r="I71" i="2" a="1"/>
  <c r="I79" i="2" a="1"/>
  <c r="I676" i="2" a="1"/>
  <c r="I11" i="2" a="1"/>
  <c r="I715" i="2" a="1"/>
  <c r="I342" i="2" a="1"/>
  <c r="I562" i="2" a="1"/>
  <c r="I182" i="2" a="1"/>
  <c r="I160" i="2" a="1"/>
  <c r="I612" i="2" a="1"/>
  <c r="I414" i="2" a="1"/>
  <c r="I499" i="2" a="1"/>
  <c r="I26" i="2" a="1"/>
  <c r="I469" i="2" a="1"/>
  <c r="I664" i="2" a="1"/>
  <c r="I489" i="2" a="1"/>
  <c r="I751" i="2" a="1"/>
  <c r="I770" i="2" a="1"/>
  <c r="I705" i="2" a="1"/>
  <c r="I131" i="2" a="1"/>
  <c r="I273" i="2" a="1"/>
  <c r="I386" i="2" a="1"/>
  <c r="I174" i="2" a="1"/>
  <c r="I353" i="2" a="1"/>
  <c r="I291" i="2" a="1"/>
  <c r="I365" i="2" a="1"/>
  <c r="I602" i="2" a="1"/>
  <c r="I77" i="2" a="1"/>
  <c r="I135" i="2" a="1"/>
  <c r="I29" i="2" a="1"/>
  <c r="I262" i="2" a="1"/>
  <c r="I728" i="2" a="1"/>
  <c r="I268" i="2" a="1"/>
  <c r="I163" i="2" a="1"/>
  <c r="I225" i="2" a="1"/>
  <c r="I609" i="2" a="1"/>
  <c r="I69" i="2" a="1"/>
  <c r="I636" i="2" a="1"/>
  <c r="I307" i="2" a="1"/>
  <c r="I777" i="2" a="1"/>
  <c r="I583" i="2" a="1"/>
  <c r="I194" i="2" a="1"/>
  <c r="I534" i="2" a="1"/>
  <c r="I164" i="2" a="1"/>
  <c r="I422" i="2" a="1"/>
  <c r="I238" i="2" a="1"/>
  <c r="I503" i="2" a="1"/>
  <c r="I760" i="2" a="1"/>
  <c r="I373" i="2" a="1"/>
  <c r="I759" i="2" a="1"/>
  <c r="I325" i="2" a="1"/>
  <c r="I575" i="2" a="1"/>
  <c r="I483" i="2" a="1"/>
  <c r="I565" i="2" a="1"/>
  <c r="I677" i="2" a="1"/>
  <c r="I532" i="2" a="1"/>
  <c r="I543" i="2" a="1"/>
  <c r="I734" i="2" a="1"/>
  <c r="I106" i="2" a="1"/>
  <c r="I618" i="2" a="1"/>
  <c r="I599" i="2" a="1"/>
  <c r="I367" i="2" a="1"/>
  <c r="I101" i="2" a="1"/>
  <c r="I642" i="2" a="1"/>
  <c r="I670" i="2" a="1"/>
  <c r="I299" i="2" a="1"/>
  <c r="I494" i="2" a="1"/>
  <c r="I116" i="2" a="1"/>
  <c r="I290" i="2" a="1"/>
  <c r="I524" i="2" a="1"/>
  <c r="I769" i="2" a="1"/>
  <c r="I340" i="2" a="1"/>
  <c r="I795" i="2" a="1"/>
  <c r="I448" i="2" a="1"/>
  <c r="I600" i="2" a="1"/>
  <c r="I179" i="2" a="1"/>
  <c r="I136" i="2" a="1"/>
  <c r="I768" i="2" a="1"/>
  <c r="I592" i="2" a="1"/>
  <c r="I204" i="2" a="1"/>
  <c r="I739" i="2" a="1"/>
  <c r="I518" i="2" a="1"/>
  <c r="I442" i="2" a="1"/>
  <c r="I420" i="2" a="1"/>
  <c r="I185" i="2" a="1"/>
  <c r="I587" i="2" a="1"/>
  <c r="I38" i="2" a="1"/>
  <c r="I361" i="2" a="1"/>
  <c r="I733" i="2" a="1"/>
  <c r="I542" i="2" a="1"/>
  <c r="I445" i="2" a="1"/>
  <c r="I13" i="2" a="1"/>
  <c r="I578" i="2" a="1"/>
  <c r="I441" i="2" a="1"/>
  <c r="I687" i="2" a="1"/>
  <c r="I646" i="2" a="1"/>
  <c r="I344" i="2" a="1"/>
  <c r="I486" i="2" a="1"/>
  <c r="I757" i="2" a="1"/>
  <c r="I497" i="2" a="1"/>
  <c r="I425" i="2" a="1"/>
  <c r="I357" i="2" a="1"/>
  <c r="I28" i="2" a="1"/>
  <c r="I132" i="2" a="1"/>
  <c r="I527" i="2" a="1"/>
  <c r="I9" i="2" a="1"/>
  <c r="I634" i="2" a="1"/>
  <c r="I159" i="2" a="1"/>
  <c r="I560" i="2" a="1"/>
  <c r="I293" i="2" a="1"/>
  <c r="I393" i="2" a="1"/>
  <c r="I349" i="2" a="1"/>
  <c r="I695" i="2" a="1"/>
  <c r="I277" i="2" a="1"/>
  <c r="I426" i="2" a="1"/>
  <c r="I791" i="2" a="1"/>
  <c r="I741" i="2" a="1"/>
  <c r="I321" i="2" a="1"/>
  <c r="I42" i="2" a="1"/>
  <c r="I470" i="2" a="1"/>
  <c r="I341" i="2" a="1"/>
  <c r="I60" i="2" a="1"/>
  <c r="I500" i="2" a="1"/>
  <c r="I706" i="2" a="1"/>
  <c r="I493" i="2" a="1"/>
  <c r="I129" i="2" a="1"/>
  <c r="I94" i="2" a="1"/>
  <c r="I127" i="2" a="1"/>
  <c r="I711" i="2" a="1"/>
  <c r="I564" i="2" a="1"/>
  <c r="I397" i="2" a="1"/>
  <c r="I362" i="2" a="1"/>
  <c r="I713" i="2" a="1"/>
  <c r="I239" i="2" a="1"/>
  <c r="I594" i="2" a="1"/>
  <c r="I284" i="2" a="1"/>
  <c r="I202" i="2" a="1"/>
  <c r="I180" i="2" a="1"/>
  <c r="I97" i="2" a="1"/>
  <c r="I75" i="2" a="1"/>
  <c r="I781" i="2" a="1"/>
  <c r="I149" i="2" a="1"/>
  <c r="I166" i="2" a="1"/>
  <c r="I335" i="2" a="1"/>
  <c r="I366" i="2" a="1"/>
  <c r="I401" i="2" a="1"/>
  <c r="I389" i="2" a="1"/>
  <c r="I241" i="2" a="1"/>
  <c r="I461" i="2" a="1"/>
  <c r="I516" i="2" a="1"/>
  <c r="I223" i="2" a="1"/>
  <c r="I378" i="2" a="1"/>
  <c r="I738" i="2" a="1"/>
  <c r="I548" i="2" a="1"/>
  <c r="I375" i="2" a="1"/>
  <c r="I424" i="2" a="1"/>
  <c r="I457" i="2" a="1"/>
  <c r="I579" i="2" a="1"/>
  <c r="I119" i="2" a="1"/>
  <c r="I611" i="2" a="1"/>
  <c r="I765" i="2" a="1"/>
  <c r="I671" i="2" a="1"/>
  <c r="I333" i="2" a="1"/>
  <c r="I289" i="2" a="1"/>
  <c r="I647" i="2" a="1"/>
  <c r="I188" i="2" a="1"/>
  <c r="I193" i="2" a="1"/>
  <c r="I614" i="2" a="1"/>
  <c r="I569" i="2" a="1"/>
  <c r="I82" i="2" a="1"/>
  <c r="I700" i="2" a="1"/>
  <c r="I458" i="2" a="1"/>
  <c r="I419" i="2" a="1"/>
  <c r="I788" i="2" a="1"/>
  <c r="I761" i="2" a="1"/>
  <c r="I267" i="2" a="1"/>
  <c r="I727" i="2" a="1"/>
  <c r="I370" i="2" a="1"/>
  <c r="I102" i="2" a="1"/>
  <c r="I678" i="2" a="1"/>
  <c r="I57" i="2" a="1"/>
  <c r="I232" i="2" a="1"/>
  <c r="I697" i="2" a="1"/>
  <c r="I256" i="2" a="1"/>
  <c r="I766" i="2" a="1"/>
  <c r="I173" i="2" a="1"/>
  <c r="I328" i="2" a="1"/>
  <c r="I615" i="2" a="1"/>
  <c r="I137" i="2" a="1"/>
  <c r="I707" i="2" a="1"/>
  <c r="I694" i="2" a="1"/>
  <c r="I89" i="2" a="1"/>
  <c r="I263" i="2" a="1"/>
  <c r="I586" i="2" a="1"/>
  <c r="I387" i="2" a="1"/>
  <c r="I153" i="2" a="1"/>
  <c r="I729" i="2" a="1"/>
  <c r="I472" i="2" a="1"/>
  <c r="I346" i="2" a="1"/>
  <c r="I142" i="2" a="1"/>
  <c r="I453" i="2" a="1"/>
  <c r="I610" i="2" a="1"/>
  <c r="I627" i="2" a="1"/>
  <c r="I394" i="2" a="1"/>
  <c r="I399" i="2" a="1"/>
  <c r="I787" i="2" a="1"/>
  <c r="I474" i="2" a="1"/>
  <c r="I74" i="2" a="1"/>
  <c r="I228" i="2" a="1"/>
  <c r="I125" i="2" a="1"/>
  <c r="I436" i="2" a="1"/>
  <c r="I183" i="2" a="1"/>
  <c r="I438" i="2" a="1"/>
  <c r="I731" i="2" a="1"/>
  <c r="I317" i="2" a="1"/>
  <c r="I189" i="2" a="1"/>
  <c r="I85" i="2" a="1"/>
  <c r="I31" i="2" a="1"/>
  <c r="I201" i="2" a="1"/>
  <c r="I311" i="2" a="1"/>
  <c r="I310" i="2" a="1"/>
  <c r="I197" i="2" a="1"/>
  <c r="I679" i="2" a="1"/>
  <c r="I395" i="2" a="1"/>
  <c r="I134" i="2" a="1"/>
  <c r="I576" i="2" a="1"/>
  <c r="I76" i="2" a="1"/>
  <c r="I199" i="2" a="1"/>
  <c r="I684" i="2" a="1"/>
  <c r="I701" i="2" a="1"/>
  <c r="I191" i="2" a="1"/>
  <c r="I205" i="2" a="1"/>
  <c r="I133" i="2" a="1"/>
  <c r="I207" i="2" a="1"/>
  <c r="I147" i="2" a="1"/>
  <c r="I236" i="2" a="1"/>
  <c r="I681" i="2" a="1"/>
  <c r="I272" i="2" a="1"/>
  <c r="I571" i="2" a="1"/>
  <c r="I210" i="2" a="1"/>
  <c r="I308" i="2" a="1"/>
  <c r="I709" i="2" a="1"/>
  <c r="I118" i="2" a="1"/>
  <c r="I384" i="2" a="1"/>
  <c r="I512" i="2" a="1"/>
  <c r="I710" i="2" a="1"/>
  <c r="I481" i="2" a="1"/>
  <c r="I109" i="2" a="1"/>
  <c r="I297" i="2" a="1"/>
  <c r="I538" i="2" a="1"/>
  <c r="I574" i="2" a="1"/>
  <c r="I63" i="2" a="1"/>
  <c r="I380" i="2" a="1"/>
  <c r="I360" i="2" a="1"/>
  <c r="I699" i="2" a="1"/>
  <c r="I539" i="2" a="1"/>
  <c r="I616" i="2" a="1"/>
  <c r="I418" i="2" a="1"/>
  <c r="I437" i="2" a="1"/>
  <c r="I666" i="2" a="1"/>
  <c r="I67" i="2" a="1"/>
  <c r="I220" i="2" a="1"/>
  <c r="I653" i="2" a="1"/>
  <c r="I789" i="2" a="1"/>
  <c r="I721" i="2" a="1"/>
  <c r="I348" i="2" a="1"/>
  <c r="I799" i="2" a="1"/>
  <c r="I690" i="2" a="1"/>
  <c r="I601" i="2" a="1"/>
  <c r="I330" i="2" a="1"/>
  <c r="I656" i="2" a="1"/>
  <c r="I480" i="2" a="1"/>
  <c r="I478" i="2" a="1"/>
  <c r="I72" i="2" a="1"/>
  <c r="I774" i="2" a="1"/>
  <c r="I379" i="2" a="1"/>
  <c r="I797" i="2" a="1"/>
  <c r="I725" i="2" a="1"/>
  <c r="I491" i="2" a="1"/>
  <c r="I45" i="2" a="1"/>
  <c r="I669" i="2" a="1"/>
  <c r="I229" i="2" a="1"/>
  <c r="I298" i="2" a="1"/>
  <c r="I650" i="2" a="1"/>
  <c r="I345" i="2" a="1"/>
  <c r="I673" i="2" a="1"/>
  <c r="I68" i="2" a="1"/>
  <c r="I675" i="2" a="1"/>
  <c r="I336" i="2" a="1"/>
  <c r="I492" i="2" a="1"/>
  <c r="I693" i="2" a="1"/>
  <c r="I573" i="2" a="1"/>
  <c r="I351" i="2" a="1"/>
  <c r="I156" i="2" a="1"/>
  <c r="I703" i="2" a="1"/>
  <c r="I14" i="2" a="1"/>
  <c r="I421" i="2" a="1"/>
  <c r="I572" i="2" a="1"/>
  <c r="I485" i="2" a="1"/>
  <c r="I234" i="2" a="1"/>
  <c r="I313" i="2" a="1"/>
  <c r="I535" i="2" a="1"/>
  <c r="I278" i="2" a="1"/>
  <c r="I213" i="2" a="1"/>
  <c r="I255" i="2" a="1"/>
  <c r="I691" i="2" a="1"/>
  <c r="I126" i="2" a="1"/>
  <c r="I144" i="2" a="1"/>
  <c r="I504" i="2" a="1"/>
  <c r="I99" i="2" a="1"/>
  <c r="I745" i="2" a="1"/>
  <c r="I51" i="2" a="1"/>
  <c r="I559" i="2" a="1"/>
  <c r="I417" i="2" a="1"/>
  <c r="I515" i="2" a="1"/>
  <c r="I473" i="2" a="1"/>
  <c r="I622" i="2" a="1"/>
  <c r="I730" i="2" a="1"/>
  <c r="I633" i="2" a="1"/>
  <c r="I300" i="2" a="1"/>
  <c r="I711" i="2" l="1"/>
  <c r="I802" i="2"/>
  <c r="I53" i="2"/>
  <c r="I748" i="2"/>
  <c r="I540" i="2"/>
  <c r="I473" i="2"/>
  <c r="I436" i="2"/>
  <c r="I339" i="2"/>
  <c r="I743" i="2"/>
  <c r="I646" i="2"/>
  <c r="I568" i="2"/>
  <c r="I504" i="2"/>
  <c r="I468" i="2"/>
  <c r="I396" i="2"/>
  <c r="I369" i="2"/>
  <c r="I797" i="2"/>
  <c r="I701" i="2"/>
  <c r="I610" i="2"/>
  <c r="I531" i="2"/>
  <c r="I499" i="2"/>
  <c r="I427" i="2"/>
  <c r="I391" i="2"/>
  <c r="I364" i="2"/>
  <c r="I760" i="2"/>
  <c r="I401" i="2"/>
  <c r="I734" i="2"/>
  <c r="I637" i="2"/>
  <c r="I560" i="2"/>
  <c r="I459" i="2"/>
  <c r="I668" i="2"/>
  <c r="I256" i="2"/>
  <c r="I685" i="2"/>
  <c r="I692" i="2"/>
  <c r="I591" i="2"/>
  <c r="I555" i="2"/>
  <c r="I490" i="2"/>
  <c r="I418" i="2"/>
  <c r="I378" i="2"/>
  <c r="I721" i="2"/>
  <c r="I629" i="2"/>
  <c r="I586" i="2"/>
  <c r="I521" i="2"/>
  <c r="I450" i="2"/>
  <c r="I295" i="2"/>
  <c r="I170" i="2"/>
  <c r="I314" i="2"/>
  <c r="I677" i="2"/>
  <c r="I331" i="2"/>
  <c r="I624" i="2"/>
  <c r="I548" i="2"/>
  <c r="I481" i="2"/>
  <c r="I412" i="2"/>
  <c r="I319" i="2"/>
  <c r="I129" i="2"/>
  <c r="I712" i="2"/>
  <c r="I338" i="2"/>
  <c r="I577" i="2"/>
  <c r="I512" i="2"/>
  <c r="I441" i="2"/>
  <c r="I407" i="2"/>
  <c r="I24" i="2"/>
  <c r="I689" i="2"/>
  <c r="I681" i="2"/>
  <c r="I751" i="2"/>
  <c r="I747" i="2"/>
  <c r="I738" i="2"/>
  <c r="I729" i="2"/>
  <c r="I716" i="2"/>
  <c r="I725" i="2"/>
  <c r="I705" i="2"/>
  <c r="I696" i="2"/>
  <c r="I675" i="2"/>
  <c r="I330" i="2"/>
  <c r="I649" i="2"/>
  <c r="I641" i="2"/>
  <c r="I632" i="2"/>
  <c r="I628" i="2"/>
  <c r="I620" i="2"/>
  <c r="I614" i="2"/>
  <c r="I602" i="2"/>
  <c r="I590" i="2"/>
  <c r="I581" i="2"/>
  <c r="I572" i="2"/>
  <c r="I563" i="2"/>
  <c r="I559" i="2"/>
  <c r="I550" i="2"/>
  <c r="I544" i="2"/>
  <c r="I535" i="2"/>
  <c r="I530" i="2"/>
  <c r="I516" i="2"/>
  <c r="I508" i="2"/>
  <c r="I503" i="2"/>
  <c r="I494" i="2"/>
  <c r="I485" i="2"/>
  <c r="I477" i="2"/>
  <c r="I472" i="2"/>
  <c r="I463" i="2"/>
  <c r="I454" i="2"/>
  <c r="I445" i="2"/>
  <c r="I440" i="2"/>
  <c r="I431" i="2"/>
  <c r="I422" i="2"/>
  <c r="I417" i="2"/>
  <c r="I406" i="2"/>
  <c r="I390" i="2"/>
  <c r="I384" i="2"/>
  <c r="I377" i="2"/>
  <c r="I305" i="2"/>
  <c r="I299" i="2"/>
  <c r="I368" i="2"/>
  <c r="I661" i="2"/>
  <c r="I325" i="2"/>
  <c r="I354" i="2"/>
  <c r="I794" i="2"/>
  <c r="I781" i="2"/>
  <c r="I251" i="2"/>
  <c r="I203" i="2"/>
  <c r="I124" i="2"/>
  <c r="I81" i="2"/>
  <c r="I684" i="2"/>
  <c r="I676" i="2"/>
  <c r="I750" i="2"/>
  <c r="I742" i="2"/>
  <c r="I733" i="2"/>
  <c r="I720" i="2"/>
  <c r="I715" i="2"/>
  <c r="I710" i="2"/>
  <c r="I700" i="2"/>
  <c r="I691" i="2"/>
  <c r="I597" i="2"/>
  <c r="I337" i="2"/>
  <c r="I645" i="2"/>
  <c r="I636" i="2"/>
  <c r="I631" i="2"/>
  <c r="I623" i="2"/>
  <c r="I609" i="2"/>
  <c r="I594" i="2"/>
  <c r="I585" i="2"/>
  <c r="I576" i="2"/>
  <c r="I567" i="2"/>
  <c r="I562" i="2"/>
  <c r="I554" i="2"/>
  <c r="I547" i="2"/>
  <c r="I539" i="2"/>
  <c r="I534" i="2"/>
  <c r="I604" i="2"/>
  <c r="I520" i="2"/>
  <c r="I507" i="2"/>
  <c r="I498" i="2"/>
  <c r="I489" i="2"/>
  <c r="I480" i="2"/>
  <c r="I476" i="2"/>
  <c r="I467" i="2"/>
  <c r="I458" i="2"/>
  <c r="I449" i="2"/>
  <c r="I444" i="2"/>
  <c r="I435" i="2"/>
  <c r="I426" i="2"/>
  <c r="I416" i="2"/>
  <c r="I360" i="2"/>
  <c r="I411" i="2"/>
  <c r="I405" i="2"/>
  <c r="I400" i="2"/>
  <c r="I395" i="2"/>
  <c r="I389" i="2"/>
  <c r="I312" i="2"/>
  <c r="I318" i="2"/>
  <c r="I304" i="2"/>
  <c r="I673" i="2"/>
  <c r="I667" i="2"/>
  <c r="I660" i="2"/>
  <c r="I346" i="2"/>
  <c r="I793" i="2"/>
  <c r="I778" i="2"/>
  <c r="I287" i="2"/>
  <c r="I198" i="2"/>
  <c r="I156" i="2"/>
  <c r="I12" i="2"/>
  <c r="I71" i="2"/>
  <c r="I688" i="2"/>
  <c r="I680" i="2"/>
  <c r="I753" i="2"/>
  <c r="I746" i="2"/>
  <c r="I737" i="2"/>
  <c r="I728" i="2"/>
  <c r="I719" i="2"/>
  <c r="I724" i="2"/>
  <c r="I704" i="2"/>
  <c r="I695" i="2"/>
  <c r="I690" i="2"/>
  <c r="I329" i="2"/>
  <c r="I648" i="2"/>
  <c r="I640" i="2"/>
  <c r="I635" i="2"/>
  <c r="I627" i="2"/>
  <c r="I613" i="2"/>
  <c r="I608" i="2"/>
  <c r="I589" i="2"/>
  <c r="I580" i="2"/>
  <c r="I571" i="2"/>
  <c r="I566" i="2"/>
  <c r="I558" i="2"/>
  <c r="I549" i="2"/>
  <c r="I543" i="2"/>
  <c r="I538" i="2"/>
  <c r="I529" i="2"/>
  <c r="I524" i="2"/>
  <c r="I515" i="2"/>
  <c r="I502" i="2"/>
  <c r="I493" i="2"/>
  <c r="I484" i="2"/>
  <c r="I479" i="2"/>
  <c r="I471" i="2"/>
  <c r="I462" i="2"/>
  <c r="I453" i="2"/>
  <c r="I448" i="2"/>
  <c r="I439" i="2"/>
  <c r="I430" i="2"/>
  <c r="I421" i="2"/>
  <c r="I410" i="2"/>
  <c r="I394" i="2"/>
  <c r="I382" i="2"/>
  <c r="I376" i="2"/>
  <c r="I311" i="2"/>
  <c r="I297" i="2"/>
  <c r="I367" i="2"/>
  <c r="I322" i="2"/>
  <c r="I654" i="2"/>
  <c r="I792" i="2"/>
  <c r="I777" i="2"/>
  <c r="I282" i="2"/>
  <c r="I240" i="2"/>
  <c r="I152" i="2"/>
  <c r="I113" i="2"/>
  <c r="I66" i="2"/>
  <c r="I683" i="2"/>
  <c r="I679" i="2"/>
  <c r="I754" i="2"/>
  <c r="I741" i="2"/>
  <c r="I732" i="2"/>
  <c r="I727" i="2"/>
  <c r="I714" i="2"/>
  <c r="I803" i="2"/>
  <c r="I699" i="2"/>
  <c r="I694" i="2"/>
  <c r="I596" i="2"/>
  <c r="I336" i="2"/>
  <c r="I644" i="2"/>
  <c r="I639" i="2"/>
  <c r="I630" i="2"/>
  <c r="I595" i="2"/>
  <c r="I617" i="2"/>
  <c r="I612" i="2"/>
  <c r="I593" i="2"/>
  <c r="I584" i="2"/>
  <c r="I575" i="2"/>
  <c r="I570" i="2"/>
  <c r="I561" i="2"/>
  <c r="I553" i="2"/>
  <c r="I546" i="2"/>
  <c r="I542" i="2"/>
  <c r="I533" i="2"/>
  <c r="I603" i="2"/>
  <c r="I519" i="2"/>
  <c r="I514" i="2"/>
  <c r="I506" i="2"/>
  <c r="I497" i="2"/>
  <c r="I488" i="2"/>
  <c r="I483" i="2"/>
  <c r="I475" i="2"/>
  <c r="I466" i="2"/>
  <c r="I457" i="2"/>
  <c r="I452" i="2"/>
  <c r="I443" i="2"/>
  <c r="I434" i="2"/>
  <c r="I425" i="2"/>
  <c r="I420" i="2"/>
  <c r="I359" i="2"/>
  <c r="I409" i="2"/>
  <c r="I404" i="2"/>
  <c r="I399" i="2"/>
  <c r="I393" i="2"/>
  <c r="I388" i="2"/>
  <c r="I381" i="2"/>
  <c r="I306" i="2"/>
  <c r="I303" i="2"/>
  <c r="I296" i="2"/>
  <c r="I665" i="2"/>
  <c r="I659" i="2"/>
  <c r="I351" i="2"/>
  <c r="I776" i="2"/>
  <c r="I235" i="2"/>
  <c r="I191" i="2"/>
  <c r="I108" i="2"/>
  <c r="I40" i="2"/>
  <c r="I687" i="2"/>
  <c r="I682" i="2"/>
  <c r="I745" i="2"/>
  <c r="I736" i="2"/>
  <c r="I731" i="2"/>
  <c r="I718" i="2"/>
  <c r="I723" i="2"/>
  <c r="I703" i="2"/>
  <c r="I698" i="2"/>
  <c r="I708" i="2"/>
  <c r="I328" i="2"/>
  <c r="I647" i="2"/>
  <c r="I643" i="2"/>
  <c r="I634" i="2"/>
  <c r="I626" i="2"/>
  <c r="I618" i="2"/>
  <c r="I616" i="2"/>
  <c r="I588" i="2"/>
  <c r="I579" i="2"/>
  <c r="I574" i="2"/>
  <c r="I565" i="2"/>
  <c r="I557" i="2"/>
  <c r="I545" i="2"/>
  <c r="I537" i="2"/>
  <c r="I528" i="2"/>
  <c r="I523" i="2"/>
  <c r="I518" i="2"/>
  <c r="I510" i="2"/>
  <c r="I501" i="2"/>
  <c r="I492" i="2"/>
  <c r="I487" i="2"/>
  <c r="I478" i="2"/>
  <c r="I470" i="2"/>
  <c r="I461" i="2"/>
  <c r="I456" i="2"/>
  <c r="I447" i="2"/>
  <c r="I438" i="2"/>
  <c r="I429" i="2"/>
  <c r="I424" i="2"/>
  <c r="I335" i="2"/>
  <c r="I398" i="2"/>
  <c r="I310" i="2"/>
  <c r="I600" i="2"/>
  <c r="I334" i="2"/>
  <c r="I671" i="2"/>
  <c r="I664" i="2"/>
  <c r="I342" i="2"/>
  <c r="I788" i="2"/>
  <c r="I272" i="2"/>
  <c r="I187" i="2"/>
  <c r="I142" i="2"/>
  <c r="I32" i="2"/>
  <c r="I55" i="2"/>
  <c r="I686" i="2"/>
  <c r="I678" i="2"/>
  <c r="I749" i="2"/>
  <c r="I740" i="2"/>
  <c r="I735" i="2"/>
  <c r="I726" i="2"/>
  <c r="I713" i="2"/>
  <c r="I707" i="2"/>
  <c r="I702" i="2"/>
  <c r="I693" i="2"/>
  <c r="I332" i="2"/>
  <c r="I651" i="2"/>
  <c r="I638" i="2"/>
  <c r="I622" i="2"/>
  <c r="I611" i="2"/>
  <c r="I592" i="2"/>
  <c r="I583" i="2"/>
  <c r="I578" i="2"/>
  <c r="I569" i="2"/>
  <c r="I552" i="2"/>
  <c r="I601" i="2"/>
  <c r="I541" i="2"/>
  <c r="I532" i="2"/>
  <c r="I526" i="2"/>
  <c r="I522" i="2"/>
  <c r="I513" i="2"/>
  <c r="I505" i="2"/>
  <c r="I496" i="2"/>
  <c r="I491" i="2"/>
  <c r="I482" i="2"/>
  <c r="I474" i="2"/>
  <c r="I465" i="2"/>
  <c r="I460" i="2"/>
  <c r="I451" i="2"/>
  <c r="I442" i="2"/>
  <c r="I433" i="2"/>
  <c r="I428" i="2"/>
  <c r="I419" i="2"/>
  <c r="I414" i="2"/>
  <c r="I333" i="2"/>
  <c r="I408" i="2"/>
  <c r="I403" i="2"/>
  <c r="I397" i="2"/>
  <c r="I392" i="2"/>
  <c r="I386" i="2"/>
  <c r="I380" i="2"/>
  <c r="I315" i="2"/>
  <c r="I301" i="2"/>
  <c r="I371" i="2"/>
  <c r="I365" i="2"/>
  <c r="I657" i="2"/>
  <c r="I356" i="2"/>
  <c r="I799" i="2"/>
  <c r="I267" i="2"/>
  <c r="I224" i="2"/>
  <c r="I756" i="2"/>
  <c r="I97" i="2"/>
  <c r="I752" i="2"/>
  <c r="I744" i="2"/>
  <c r="I739" i="2"/>
  <c r="I730" i="2"/>
  <c r="I717" i="2"/>
  <c r="I722" i="2"/>
  <c r="I706" i="2"/>
  <c r="I697" i="2"/>
  <c r="I709" i="2"/>
  <c r="I327" i="2"/>
  <c r="I650" i="2"/>
  <c r="I642" i="2"/>
  <c r="I633" i="2"/>
  <c r="I625" i="2"/>
  <c r="I621" i="2"/>
  <c r="I615" i="2"/>
  <c r="I607" i="2"/>
  <c r="I587" i="2"/>
  <c r="I582" i="2"/>
  <c r="I573" i="2"/>
  <c r="I564" i="2"/>
  <c r="I551" i="2"/>
  <c r="I536" i="2"/>
  <c r="I527" i="2"/>
  <c r="I525" i="2"/>
  <c r="I517" i="2"/>
  <c r="I509" i="2"/>
  <c r="I500" i="2"/>
  <c r="I495" i="2"/>
  <c r="I486" i="2"/>
  <c r="I469" i="2"/>
  <c r="I464" i="2"/>
  <c r="I455" i="2"/>
  <c r="I437" i="2"/>
  <c r="I432" i="2"/>
  <c r="I423" i="2"/>
  <c r="I413" i="2"/>
  <c r="I402" i="2"/>
  <c r="I385" i="2"/>
  <c r="I308" i="2"/>
  <c r="I599" i="2"/>
  <c r="I300" i="2"/>
  <c r="I669" i="2"/>
  <c r="I663" i="2"/>
  <c r="I326" i="2"/>
  <c r="I374" i="2"/>
  <c r="I783" i="2"/>
  <c r="I765" i="2"/>
  <c r="I219" i="2"/>
  <c r="I175" i="2"/>
  <c r="I92" i="2"/>
  <c r="I31" i="2"/>
  <c r="I387" i="2"/>
  <c r="I383" i="2"/>
  <c r="I379" i="2"/>
  <c r="I375" i="2"/>
  <c r="I313" i="2"/>
  <c r="I309" i="2"/>
  <c r="I307" i="2"/>
  <c r="I598" i="2"/>
  <c r="I302" i="2"/>
  <c r="I298" i="2"/>
  <c r="I370" i="2"/>
  <c r="I366" i="2"/>
  <c r="I674" i="2"/>
  <c r="I670" i="2"/>
  <c r="I666" i="2"/>
  <c r="I662" i="2"/>
  <c r="I658" i="2"/>
  <c r="I324" i="2"/>
  <c r="I358" i="2"/>
  <c r="I373" i="2"/>
  <c r="I353" i="2"/>
  <c r="I349" i="2"/>
  <c r="I363" i="2"/>
  <c r="I344" i="2"/>
  <c r="I340" i="2"/>
  <c r="I372" i="2"/>
  <c r="I652" i="2"/>
  <c r="I791" i="2"/>
  <c r="I786" i="2"/>
  <c r="I775" i="2"/>
  <c r="I770" i="2"/>
  <c r="I759" i="2"/>
  <c r="I292" i="2"/>
  <c r="I281" i="2"/>
  <c r="I276" i="2"/>
  <c r="I266" i="2"/>
  <c r="I261" i="2"/>
  <c r="I250" i="2"/>
  <c r="I245" i="2"/>
  <c r="I234" i="2"/>
  <c r="I229" i="2"/>
  <c r="I218" i="2"/>
  <c r="I213" i="2"/>
  <c r="I197" i="2"/>
  <c r="I178" i="2"/>
  <c r="I206" i="2"/>
  <c r="I204" i="2"/>
  <c r="I169" i="2"/>
  <c r="I174" i="2"/>
  <c r="I151" i="2"/>
  <c r="I160" i="2"/>
  <c r="I139" i="2"/>
  <c r="I134" i="2"/>
  <c r="I123" i="2"/>
  <c r="I118" i="2"/>
  <c r="I107" i="2"/>
  <c r="I102" i="2"/>
  <c r="I91" i="2"/>
  <c r="I86" i="2"/>
  <c r="I11" i="2"/>
  <c r="I36" i="2"/>
  <c r="I79" i="2"/>
  <c r="I21" i="2"/>
  <c r="I23" i="2"/>
  <c r="I76" i="2"/>
  <c r="I65" i="2"/>
  <c r="I60" i="2"/>
  <c r="I49" i="2"/>
  <c r="I44" i="2"/>
  <c r="I801" i="2"/>
  <c r="I796" i="2"/>
  <c r="I785" i="2"/>
  <c r="I780" i="2"/>
  <c r="I769" i="2"/>
  <c r="I764" i="2"/>
  <c r="I291" i="2"/>
  <c r="I286" i="2"/>
  <c r="I294" i="2"/>
  <c r="I271" i="2"/>
  <c r="I260" i="2"/>
  <c r="I255" i="2"/>
  <c r="I244" i="2"/>
  <c r="I239" i="2"/>
  <c r="I228" i="2"/>
  <c r="I223" i="2"/>
  <c r="I212" i="2"/>
  <c r="I202" i="2"/>
  <c r="I193" i="2"/>
  <c r="I190" i="2"/>
  <c r="I183" i="2"/>
  <c r="I176" i="2"/>
  <c r="I159" i="2"/>
  <c r="I155" i="2"/>
  <c r="I146" i="2"/>
  <c r="I141" i="2"/>
  <c r="I133" i="2"/>
  <c r="I128" i="2"/>
  <c r="I117" i="2"/>
  <c r="I112" i="2"/>
  <c r="I101" i="2"/>
  <c r="I96" i="2"/>
  <c r="I85" i="2"/>
  <c r="I80" i="2"/>
  <c r="I30" i="2"/>
  <c r="I39" i="2"/>
  <c r="I20" i="2"/>
  <c r="I33" i="2"/>
  <c r="I75" i="2"/>
  <c r="I70" i="2"/>
  <c r="I59" i="2"/>
  <c r="I54" i="2"/>
  <c r="I5" i="2"/>
  <c r="I323" i="2"/>
  <c r="I357" i="2"/>
  <c r="I355" i="2"/>
  <c r="I352" i="2"/>
  <c r="I348" i="2"/>
  <c r="I656" i="2"/>
  <c r="I343" i="2"/>
  <c r="I362" i="2"/>
  <c r="I655" i="2"/>
  <c r="I795" i="2"/>
  <c r="I790" i="2"/>
  <c r="I779" i="2"/>
  <c r="I774" i="2"/>
  <c r="I763" i="2"/>
  <c r="I758" i="2"/>
  <c r="I285" i="2"/>
  <c r="I280" i="2"/>
  <c r="I270" i="2"/>
  <c r="I265" i="2"/>
  <c r="I254" i="2"/>
  <c r="I249" i="2"/>
  <c r="I238" i="2"/>
  <c r="I233" i="2"/>
  <c r="I222" i="2"/>
  <c r="I217" i="2"/>
  <c r="I201" i="2"/>
  <c r="I196" i="2"/>
  <c r="I189" i="2"/>
  <c r="I186" i="2"/>
  <c r="I173" i="2"/>
  <c r="I168" i="2"/>
  <c r="I154" i="2"/>
  <c r="I150" i="2"/>
  <c r="I164" i="2"/>
  <c r="I138" i="2"/>
  <c r="I127" i="2"/>
  <c r="I122" i="2"/>
  <c r="I111" i="2"/>
  <c r="I106" i="2"/>
  <c r="I95" i="2"/>
  <c r="I90" i="2"/>
  <c r="I16" i="2"/>
  <c r="I13" i="2"/>
  <c r="I6" i="2"/>
  <c r="I34" i="2"/>
  <c r="I27" i="2"/>
  <c r="I17" i="2"/>
  <c r="I69" i="2"/>
  <c r="I64" i="2"/>
  <c r="I48" i="2"/>
  <c r="I800" i="2"/>
  <c r="I789" i="2"/>
  <c r="I784" i="2"/>
  <c r="I773" i="2"/>
  <c r="I768" i="2"/>
  <c r="I757" i="2"/>
  <c r="I290" i="2"/>
  <c r="I279" i="2"/>
  <c r="I275" i="2"/>
  <c r="I264" i="2"/>
  <c r="I259" i="2"/>
  <c r="I248" i="2"/>
  <c r="I243" i="2"/>
  <c r="I232" i="2"/>
  <c r="I227" i="2"/>
  <c r="I216" i="2"/>
  <c r="I211" i="2"/>
  <c r="I195" i="2"/>
  <c r="I208" i="2"/>
  <c r="I185" i="2"/>
  <c r="I182" i="2"/>
  <c r="I167" i="2"/>
  <c r="I140" i="2"/>
  <c r="I149" i="2"/>
  <c r="I145" i="2"/>
  <c r="I137" i="2"/>
  <c r="I132" i="2"/>
  <c r="I121" i="2"/>
  <c r="I116" i="2"/>
  <c r="I105" i="2"/>
  <c r="I100" i="2"/>
  <c r="I89" i="2"/>
  <c r="I84" i="2"/>
  <c r="I10" i="2"/>
  <c r="I41" i="2"/>
  <c r="I25" i="2"/>
  <c r="I19" i="2"/>
  <c r="I22" i="2"/>
  <c r="I74" i="2"/>
  <c r="I63" i="2"/>
  <c r="I58" i="2"/>
  <c r="I47" i="2"/>
  <c r="I4" i="2"/>
  <c r="I762" i="2"/>
  <c r="I289" i="2"/>
  <c r="I284" i="2"/>
  <c r="I274" i="2"/>
  <c r="I269" i="2"/>
  <c r="I258" i="2"/>
  <c r="I253" i="2"/>
  <c r="I242" i="2"/>
  <c r="I237" i="2"/>
  <c r="I226" i="2"/>
  <c r="I221" i="2"/>
  <c r="I210" i="2"/>
  <c r="I200" i="2"/>
  <c r="I207" i="2"/>
  <c r="I177" i="2"/>
  <c r="I181" i="2"/>
  <c r="I172" i="2"/>
  <c r="I158" i="2"/>
  <c r="I153" i="2"/>
  <c r="I144" i="2"/>
  <c r="I163" i="2"/>
  <c r="I131" i="2"/>
  <c r="I126" i="2"/>
  <c r="I115" i="2"/>
  <c r="I110" i="2"/>
  <c r="I99" i="2"/>
  <c r="I94" i="2"/>
  <c r="I83" i="2"/>
  <c r="I15" i="2"/>
  <c r="I43" i="2"/>
  <c r="I38" i="2"/>
  <c r="I8" i="2"/>
  <c r="I35" i="2"/>
  <c r="I73" i="2"/>
  <c r="I68" i="2"/>
  <c r="I57" i="2"/>
  <c r="I52" i="2"/>
  <c r="I3" i="2"/>
  <c r="I772" i="2"/>
  <c r="I761" i="2"/>
  <c r="I755" i="2"/>
  <c r="I278" i="2"/>
  <c r="I268" i="2"/>
  <c r="I263" i="2"/>
  <c r="I252" i="2"/>
  <c r="I247" i="2"/>
  <c r="I236" i="2"/>
  <c r="I231" i="2"/>
  <c r="I220" i="2"/>
  <c r="I199" i="2"/>
  <c r="I194" i="2"/>
  <c r="I188" i="2"/>
  <c r="I184" i="2"/>
  <c r="I171" i="2"/>
  <c r="I166" i="2"/>
  <c r="I161" i="2"/>
  <c r="I148" i="2"/>
  <c r="I162" i="2"/>
  <c r="I136" i="2"/>
  <c r="I125" i="2"/>
  <c r="I120" i="2"/>
  <c r="I109" i="2"/>
  <c r="I104" i="2"/>
  <c r="I93" i="2"/>
  <c r="I88" i="2"/>
  <c r="I14" i="2"/>
  <c r="I9" i="2"/>
  <c r="I26" i="2"/>
  <c r="I29" i="2"/>
  <c r="I18" i="2"/>
  <c r="I78" i="2"/>
  <c r="I67" i="2"/>
  <c r="I62" i="2"/>
  <c r="I51" i="2"/>
  <c r="I46" i="2"/>
  <c r="I321" i="2"/>
  <c r="I317" i="2"/>
  <c r="I320" i="2"/>
  <c r="I350" i="2"/>
  <c r="I347" i="2"/>
  <c r="I345" i="2"/>
  <c r="I341" i="2"/>
  <c r="I361" i="2"/>
  <c r="I653" i="2"/>
  <c r="I798" i="2"/>
  <c r="I787" i="2"/>
  <c r="I782" i="2"/>
  <c r="I771" i="2"/>
  <c r="I766" i="2"/>
  <c r="I293" i="2"/>
  <c r="I288" i="2"/>
  <c r="I277" i="2"/>
  <c r="I273" i="2"/>
  <c r="I262" i="2"/>
  <c r="I257" i="2"/>
  <c r="I246" i="2"/>
  <c r="I241" i="2"/>
  <c r="I230" i="2"/>
  <c r="I225" i="2"/>
  <c r="I214" i="2"/>
  <c r="I209" i="2"/>
  <c r="I179" i="2"/>
  <c r="I205" i="2"/>
  <c r="I180" i="2"/>
  <c r="I165" i="2"/>
  <c r="I157" i="2"/>
  <c r="I147" i="2"/>
  <c r="I143" i="2"/>
  <c r="I135" i="2"/>
  <c r="I130" i="2"/>
  <c r="I119" i="2"/>
  <c r="I114" i="2"/>
  <c r="I103" i="2"/>
  <c r="I98" i="2"/>
  <c r="I87" i="2"/>
  <c r="I82" i="2"/>
  <c r="I37" i="2"/>
  <c r="I42" i="2"/>
  <c r="I28" i="2"/>
  <c r="I7" i="2"/>
  <c r="I77" i="2"/>
  <c r="I72" i="2"/>
  <c r="I61" i="2"/>
  <c r="I56" i="2"/>
  <c r="I45" i="2"/>
  <c r="I2" i="2"/>
  <c r="I50" i="2" a="1"/>
  <c r="I619" i="2" a="1"/>
  <c r="I511" i="2" a="1"/>
  <c r="I556" i="2" a="1"/>
  <c r="I446" i="2" a="1"/>
  <c r="I605" i="2" a="1"/>
  <c r="I767" i="2" a="1"/>
  <c r="I415" i="2" a="1"/>
  <c r="I672" i="2" a="1"/>
  <c r="I316" i="2" a="1"/>
  <c r="I215" i="2" a="1"/>
  <c r="I192" i="2" a="1"/>
  <c r="I606" i="2" a="1"/>
  <c r="I283" i="2" a="1"/>
  <c r="I283" i="2" l="1"/>
  <c r="I767" i="2"/>
  <c r="I606" i="2"/>
  <c r="I605" i="2"/>
  <c r="I192" i="2"/>
  <c r="I446" i="2"/>
  <c r="I215" i="2"/>
  <c r="I556" i="2"/>
  <c r="I316" i="2"/>
  <c r="I511" i="2"/>
  <c r="I672" i="2"/>
  <c r="I619" i="2"/>
  <c r="I415" i="2"/>
  <c r="I5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<sst xmlns="http://schemas.openxmlformats.org/spreadsheetml/2006/main" count="12283" uniqueCount="5277">
  <si>
    <t>Path</t>
  </si>
  <si>
    <t>Status</t>
  </si>
  <si>
    <t>Version</t>
  </si>
  <si>
    <t>SourceDb</t>
  </si>
  <si>
    <t>SourceIds</t>
  </si>
  <si>
    <t>System Type</t>
  </si>
  <si>
    <t>System Platform</t>
  </si>
  <si>
    <t>Concern</t>
  </si>
  <si>
    <t>Quality</t>
  </si>
  <si>
    <t>Stakeholder</t>
  </si>
  <si>
    <t>Statement Type</t>
  </si>
  <si>
    <t>Diagram Title</t>
  </si>
  <si>
    <t>Statement</t>
  </si>
  <si>
    <t>Rationale</t>
  </si>
  <si>
    <t>Information</t>
  </si>
  <si>
    <t>Instructions</t>
  </si>
  <si>
    <t>Information For Client</t>
  </si>
  <si>
    <t>Stakeholder Story</t>
  </si>
  <si>
    <t>Acceptance Type</t>
  </si>
  <si>
    <t>Acceptance By</t>
  </si>
  <si>
    <t>Acceptance Information</t>
  </si>
  <si>
    <t>Comments</t>
  </si>
  <si>
    <t>Concerns/Design/Environment</t>
  </si>
  <si>
    <t>Reviewing</t>
  </si>
  <si>
    <t>CPDB</t>
  </si>
  <si>
    <t>CPDB/SA-001</t>
  </si>
  <si>
    <t>All</t>
  </si>
  <si>
    <t>Concerns/Development/Platform</t>
  </si>
  <si>
    <t>Qualities/ISO-25010/Usability/Supportability</t>
  </si>
  <si>
    <t>Stakeholders/Architects/Solution Architects</t>
  </si>
  <si>
    <t>RFP/Q</t>
  </si>
  <si>
    <t>Cloud Service Model</t>
  </si>
  <si>
    <t>Please describe whether the proposed solution is a cloud-based solution, and if so, which cloud service model(s) best describe the proposed solution's new components:&amp;nbsp;&lt;br /&gt;&lt;br /&gt;&lt;ul&gt;&lt;li&gt;Software As a Service Client Service (SaaS);&amp;nbsp;&lt;/li&gt;&lt;li&gt;Functions As a Service Client Service (FaaS);&lt;/li&gt;&lt;/ul&gt;&lt;ul&gt;&lt;li&gt;Platform As a Service Client Service (PaaS);&lt;/li&gt;&lt;li&gt;Containers As a Service Client Service (CaaS);&lt;/li&gt;&lt;li&gt;Infrastructure As a Service Client Service (IaaS).&lt;/li&gt;&lt;/ul&gt;</t>
  </si>
  <si>
    <t>&lt;div&gt;Evaluate whether the solution aligns with System wide cloud first strategy except where risky or expensive; SaaS before PaaS before IaaS&lt;/div&gt;</t>
  </si>
  <si>
    <t>&lt;span&gt;Solutions should align with the Organisation's strategic direction for IT systems: ISO-27001 Level 2+ "Cloud First" environments, (On-Premise Last).&lt;/span&gt;&lt;p&gt;&lt;br /&gt;&lt;p&gt;Cloud services provide higher value by being capable of providing access to more stakeholders, from more locations than a LAN, while providing a lower cost of integration with other current and future planned, cloud hosted, services.&lt;/p&gt;&lt;p&gt;A&amp;nbsp;proposed&amp;nbsp;solution's components may be a combination of one or more of the above models.&lt;/p&gt;&lt;p&gt;A solution may integrate with existing services of the organisation&amp;nbsp; - it is not required to categorize the type of existing components.&lt;/p&gt;&lt;p&gt;Note that, as per the organisation's design principles, SaaS is preferred to PaaS for internal only services.&amp;nbsp;&lt;/p&gt;&lt;p&gt;IaaS is not a valued option for the organisation as hosting IaaS services in public clouds is more costly than on-premise virtual hosting -- both of which are contrary to the organisation's strategic objective of using cloud services before using on-premise products.&lt;/p&gt;&lt;/p&gt;</t>
  </si>
  <si>
    <t>Evaluation</t>
  </si>
  <si>
    <t>Evaluation Panel</t>
  </si>
  <si>
    <t>&lt;font face="Calibri Light" size=2 color=black&gt;Prefer that the system meets organisation's Design Principles of SaaS before PaaS before Containers before IaaS.</t>
  </si>
  <si>
    <t>Draft</t>
  </si>
  <si>
    <t>########</t>
  </si>
  <si>
    <t>CPDB/SA-002</t>
  </si>
  <si>
    <t>SaaS</t>
  </si>
  <si>
    <t>Qualities/ISO-25010/Reliability/Maturity</t>
  </si>
  <si>
    <t>Cloud Service Characteristics</t>
  </si>
  <si>
    <t>If your product is cloud based, please summarize if and how your solution provides the following NIST defined cloud characteristics:&amp;nbsp;&lt;br /&gt;&lt;br /&gt;&lt;ul&gt;&lt;li&gt;&lt;span&gt;on-demand self-service,&amp;nbsp;&lt;/span&gt;&lt;/li&gt;&lt;li&gt;&lt;span&gt;broad network access,&amp;nbsp;&lt;/span&gt;&lt;/li&gt;&lt;li&gt;&lt;span&gt;resource pooling,&amp;nbsp;&lt;/span&gt;&lt;/li&gt;&lt;li&gt;&lt;span&gt;rapid elasticity,&amp;nbsp;&lt;/span&gt;&lt;/li&gt;&lt;li&gt;&lt;span&gt;measured service.&lt;/span&gt;&lt;/li&gt;&lt;/ul&gt;</t>
  </si>
  <si>
    <t>&lt;font color="#000000" face="Calibri Light" size="2"&gt;Ensure the solution can remain Available and performant in a quantifiable&amp;nbsp;manner, while deployed on physically secure infrastructure, managed in an appropriate manner by trained resources.</t>
  </si>
  <si>
    <t>This question is to ensure solutions are not being hosted in insecure environments (such As a Service Client vendor's on-premise servers, or smaller, local, data-centres without the technology and processes that are part of obtaining ISO-27001 accreditation.&lt;p&gt;The question also is a double-check that the solution is capable of dynamic horizontal scaling, including using load-balancing, caching, sessionless tokens, and the use of mementos/cookies that do not have an affinity for a specific server.&lt;/p&gt;</t>
  </si>
  <si>
    <t>&lt;font face="Calibri Light" size=2 color=black&gt;Prefer that the proposed solution demonstrates mature design and qualities appropriate for the specified environment.</t>
  </si>
  <si>
    <t>Concerns/Design/Components</t>
  </si>
  <si>
    <t>CPDB/SA-003</t>
  </si>
  <si>
    <t>Concerns/Development/Integration;Concerns/Development/Technology</t>
  </si>
  <si>
    <t>Qualities/ISO-25010/Maintainability/Modularity</t>
  </si>
  <si>
    <t>Solution Proposal/Deployment/Components</t>
  </si>
  <si>
    <t>Please describe the solution's key components, including their integration with common organisation systems.&lt;p&gt;Common systems that are often important to consider and explain integration with include one or more of the following:&lt;/p&gt;&lt;p&gt;- Identity Providers (internal network directories, such as AD, and/or external ones, such as AAD, Google Identity, etc.),&lt;/p&gt;&lt;p&gt;- Notifications (SMTP),&amp;nbsp;&lt;/p&gt;&lt;p&gt;- Malware Detection Services,&amp;nbsp;&lt;/p&gt;&lt;p&gt;- Rule Engines,&amp;nbsp;&lt;/p&gt;&lt;p&gt;- Electronic Document Management System,&amp;nbsp;&lt;/p&gt;&lt;p&gt;- Financial Management Information Systems (FMIS),&amp;nbsp;&lt;/p&gt;&lt;p&gt;&lt;span&gt;- Human Resource Systems&lt;/span&gt;&lt;/p&gt;&lt;p&gt;&lt;span&gt;- Analytics Service&lt;/span&gt;&lt;/p&gt;&lt;p&gt;&lt;span&gt;- Reporting Systems&lt;/span&gt;&lt;/p&gt;&lt;p&gt;&lt;span&gt;- Data warehouses&lt;/span&gt;&lt;/p&gt;</t>
  </si>
  <si>
    <t>&lt;font face="Calibri Light" size="2" color="black"&gt;Evaluate whether the proposed solution's components align with the organisation's design principles and can be integrated with the organisation's current and planned services and technologies.</t>
  </si>
  <si>
    <t>&lt;font color="black" face="Calibri Light"&gt;Consider providing one or more diagrams and supporting schedules, which documents the deployable components of the solution and the integration required between them.&lt;br /&gt;&lt;br /&gt;&lt;font color="black" face="Calibri Light"&gt;Group the components by deployment units. &lt;p&gt;&lt;font color="black" face="Calibri Light"&gt;&lt;p&gt;&lt;font color="black" face="Calibri Light"&gt;Include details of how the required functionality will be grouped / delivered via user interfaces for different user groups.&lt;br /&gt;&lt;br /&gt;&lt;font color="black" face="Calibri Light"&gt;As a Service Client guide, the following types of components should be shown separately:&lt;br /&gt;&lt;br /&gt;&lt;font color="black" face="Calibri Light"&gt;• distinct user interfaces (particularly those with different user experience or delivery technology e.g. web UIs, native apps etc.)&lt;br /&gt;&lt;font color="black" face="Calibri Light"&gt;• distinct APIs or services used in integration&lt;br /&gt;&lt;font color="black" face="Calibri Light"&gt;• modules that are licensed separately&lt;br /&gt;&lt;font color="black" face="Calibri Light"&gt;• components that are managed or deployed separately or have different system requirements (for on premises configurations)&lt;br /&gt;&lt;font color="black" face="Calibri Light"&gt;• system management components&lt;/p&gt;&lt;/p&gt;</t>
  </si>
  <si>
    <t xml:space="preserve">&lt;font face="Calibri Light" size=2 color=black&gt;Validate that the proposed solution's components can be integrated &amp;#45;- for reasonable effort and expense &amp;#45;- with existing and planned services. </t>
  </si>
  <si>
    <t>Concerns/Design/Qualities/Functionality/Completeness</t>
  </si>
  <si>
    <t>SSDB</t>
  </si>
  <si>
    <t>CPDB/SA-004</t>
  </si>
  <si>
    <t>Undefined</t>
  </si>
  <si>
    <t>Qualities/ISO-25010/Functionality/Completeness</t>
  </si>
  <si>
    <t>Solution Proposal/Functional/Logical</t>
  </si>
  <si>
    <t>Please demonstrate, using text and/or simple diagrams, how the functionality of the multiple stakeholder groups, can be mapped to and satisfied by the proposed solution's components and capabilities and services&lt;span&gt;.&lt;/span&gt;</t>
  </si>
  <si>
    <t>A solution is used by multiple stakeholders</t>
  </si>
  <si>
    <t>&lt;span&gt;Consider addressing the functions of more than just the business service provider stakeholders. For example, all of the following stakeholders have operations that must be addressed by a system: &lt;/span&gt;&lt;ul&gt;&lt;li&gt;customer support services, who provide general assistance, but may hand have to hand off to business support service specialists;&lt;/li&gt;&lt;li&gt;&lt;span&gt;business support services;&lt;/span&gt;&lt;/li&gt;&lt;li&gt;&lt;span&gt;operations support services, who will have to deploy updates to the system; report on normal/abnormal behaviour of the system;&lt;/span&gt;&lt;/li&gt;&lt;/ul&gt;</t>
  </si>
  <si>
    <t>N/A</t>
  </si>
  <si>
    <t>&lt;font face="Calibri Light" size="2" color="black"&gt;Evaluate the response according to the following functional Qualities:&lt;ul&gt;&lt;li&gt;&lt;font face="Calibri Light" size="2" color="black"&gt;Qualities/ISO-25010/Functionality/Completeness ,&amp;nbsp;&lt;/li&gt;&lt;li&gt;&lt;font face="Calibri Light" size="2" color="black"&gt;Qualities/ISO-25010/Functionality/Appropriateness&lt;/li&gt;&lt;li&gt;&lt;font face="Calibri Light" size="2" color="black"&gt;Qualities/ISO-25010/Functionality/Correctness&lt;/li&gt;&lt;/ul&gt;&lt;p&gt;&lt;font color="#000000" face="Calibri Light" size="2"&gt;&lt;/p&gt;&lt;p&gt;&lt;font color="#000000" face="Calibri Light" size="2"&gt;while not decreasing the ability to meet other ISO-25010 Qualities such:&lt;/p&gt;&lt;ul&gt;&lt;li&gt;Qualities/ISO-25010/Security&lt;/li&gt;&lt;li&gt;Qualities/ISO-25010/Performance&lt;/li&gt;&lt;li&gt;&lt;span&gt;Qualities/ISO-25010/Reliability&lt;/span&gt;&lt;/li&gt;&lt;li&gt;Qualities/ISO-25010/Compatibility&lt;/li&gt;&lt;li&gt;Qualities/ISO-25010/Portability&lt;/li&gt;&lt;li&gt;Qualities/ISO-25010/Maintainability&lt;/li&gt;&lt;/ul&gt;</t>
  </si>
  <si>
    <t>Concerns/Maintenance</t>
  </si>
  <si>
    <t>CPDB/SA-005</t>
  </si>
  <si>
    <t>System Component Details</t>
  </si>
  <si>
    <t>Please describe the solution's key components (as per the component/service diagram requested earlier):&lt;br /&gt;• Its purpose&lt;br /&gt;• Whether it is a bespoke or 3rd party vendor component (and if so, include name and version for understanding effort to maintain the system).&lt;br /&gt;&lt;font face="Calibri Light" size="2"&gt;&lt;font color="#000000"&gt;• If a 3rd party component, whether it is used in a standard out of the box manner, or is customized&amp;nbsp;within vendor parameters, or is customized&amp;nbsp;outside of vendor parameters.</t>
  </si>
  <si>
    <t>&lt;font face="Calibri Light" size="2" color="black"&gt;Informing question - e.g. for RFI/RFP or build phase.</t>
  </si>
  <si>
    <t>&lt;font face="Calibri Light" size="2" color="black"&gt;Evaluate the response for its ability to meet the following quality objectives:&lt;p&gt;&lt;ul&gt;&lt;li&gt;&lt;font color="#000000" face="Calibri Light" size="2"&gt;Qualities/ISO-25010/Maintainability/Modularity&lt;/li&gt;&lt;li&gt;&lt;font color="#000000" face="Calibri Light" size="2"&gt;Qualities/ISO-25010/Maintainability/Analysability&lt;/li&gt;&lt;/ul&gt;&lt;/p&gt;&lt;li&gt;&lt;font color="#000000" face="Calibri Light" size="2"&gt;Qualities/ISO-25010/Maintainability/Testability&lt;/li&gt;&lt;li&gt;&lt;font color="#000000" face="Calibri Light" size="2"&gt;Qualities/ISO-25010/Security/Confidentiality (in transit and at rest)&lt;/li&gt;</t>
  </si>
  <si>
    <t>Concerns/Design/Qualities/Compatibility/Interoperability</t>
  </si>
  <si>
    <t>CPDB/SA-006</t>
  </si>
  <si>
    <t>Qualities/ISO-25010/Compatibility/Interoperability</t>
  </si>
  <si>
    <t>Common Services</t>
  </si>
  <si>
    <t>Please describe which of the following common services your proposed solution can already be integrated with, using which protocols (OIDC, SAML, SMTP, REST, etc.), and if not, why the service is considered as not relevant to the proposed solution:&amp;nbsp;&lt;p&gt;&lt;font color="#000000" face="Calibri Light" size="2"&gt;* An OIDC-based Identity Provider&lt;/p&gt;&lt;p&gt;* Azure Active Directory for access control&lt;br /&gt;* a Message Transfer Agent (via SMTP) for issuing notifications&lt;br /&gt;* Office365 for document storage&lt;/p&gt;&lt;p&gt;&lt;font color="#000000" face="Calibri Light" size="2"&gt;* REST-based Malware Service&lt;/p&gt;&lt;p&gt;* BI tools for analysis&lt;/p&gt;</t>
  </si>
  <si>
    <t>The proposed solution should be mature enough to handle common functional requirements of integrating cost-effectively with existing organisation services which provide:&lt;br /&gt;&lt;ul&gt;&lt;li&gt;&lt;span&gt;diagnostics;&lt;/span&gt;&lt;/li&gt;&lt;li&gt;&lt;span&gt;monitoring;&lt;/span&gt;&lt;/li&gt;&lt;li&gt;authorization;&amp;nbsp;&lt;/li&gt;&lt;li&gt;notification;&amp;nbsp;&lt;/li&gt;&lt;li&gt;[media] data validation;&amp;nbsp;&lt;/li&gt;&lt;li&gt;archiving;&lt;/li&gt;&lt;li&gt;reporting&amp;nbsp;&lt;/li&gt;&lt;/ul&gt;</t>
  </si>
  <si>
    <t>Validate the response according to the following considerations:&lt;br /&gt;&lt;br /&gt;&lt;ul&gt;&lt;li&gt;Qualities/ISO-25010/Compatibility/Interoperability&lt;/li&gt;&lt;li&gt;Qualities/ISO-25010/Maintainability/Modularity&lt;/li&gt;&lt;/ul&gt;</t>
  </si>
  <si>
    <t>&lt;font face="Calibri Light" size=2 color=black&gt;Successfully receive endorsement from Organisation architecture governance for the target system solution architecture and design [M]&lt;br&gt;&lt;font
face="Calibri Light" size=2 color=black&gt;An independent and authorised as-built review of the target system confirms alignment to target system solution architecture and design [C]</t>
  </si>
  <si>
    <t>Concerns/Delivery</t>
  </si>
  <si>
    <t>CPDB/SA-007</t>
  </si>
  <si>
    <t>Qualities/ISO-25010/Portability/Installability</t>
  </si>
  <si>
    <t>Solution Proposal/Maintainability/Deployment</t>
  </si>
  <si>
    <t>Please provide information, in the form of text and diagrams, showing how the solution's key components are deployed.&lt;br /&gt;&lt;br /&gt;If applicable, describe the deployment design in terms of the NIST cloud deployment models, i.e., private cloud, community cloud, public cloud or hybrid. If hybrid then describe how the deployment model varies across the solution.&lt;br /&gt;&lt;br /&gt;Describe if and how deployment differs between production and non-production environments.</t>
  </si>
  <si>
    <t>&lt;font face="Calibri Light" size=2 color=black&gt;Acceptable informing response - e.g. against RFI/RFP evaluation or build architecture re intended system target state [M]</t>
  </si>
  <si>
    <t>CPDB/SA-008</t>
  </si>
  <si>
    <t>Network Requirements</t>
  </si>
  <si>
    <t>&lt;font face="Calibri Light" size="2" color="black"&gt;Please provide one or more diagrams with accompanying description showing how secure connectivity will be provided between the users, deployed components of the solution and other systems. This should include any inter-data center links for both production and non-production / DR environments.&lt;br /&gt;&lt;br /&gt;&lt;font face="Calibri Light" size="2" color="black"&gt;Specify what - if any - firewall configuration is required to enable connectivity (IP address ranges, ports, wildcard domain names).</t>
  </si>
  <si>
    <t>&lt;font face="Calibri Light" size="2" color="black"&gt;Response is evaluated for adherence towards:&lt;ul&gt;&lt;li&gt;Qualities/ISO-25010/Security/Confidentiality&lt;/li&gt;&lt;li&gt;&lt;font color="#000000" face="Calibri Light" size="2"&gt;Qualities/ISO-25010/Maintainability/Modifiability&amp;nbsp;&lt;/li&gt;&lt;li&gt;Qualities/ISO-25010/Maintainability/Modularity&lt;/li&gt;&lt;li&gt;Qualities/ISO-25010/Portability/Replaceability&lt;/li&gt;&lt;/ul&gt;</t>
  </si>
  <si>
    <t>&lt;font face="Calibri Light" size="2" color="black"&gt;Evaluate response for the following qualities:&lt;ul&gt;&lt;li&gt;&lt;font color="#000000" face="Calibri Light" size="2"&gt;Qualities/ISO-25010/Maintainability/Modifiability&amp;nbsp;&lt;/li&gt;&lt;li&gt;Qualities/ISO-25010/Maintainability/Modularity&lt;/li&gt;&lt;li&gt;Qualities/ISO-25010/Portability/Replaceability&lt;/li&gt;&lt;li&gt;Qualities/ISO-25010/Security/Confidentiality&lt;/li&gt;&lt;/ul&gt;</t>
  </si>
  <si>
    <t>Concerns/Data</t>
  </si>
  <si>
    <t>CPDB/SA-009</t>
  </si>
  <si>
    <t>Concerns/Development/Security</t>
  </si>
  <si>
    <t>Qualities/ISO-25010/Functionality/Correctness</t>
  </si>
  <si>
    <t>Information Model</t>
  </si>
  <si>
    <t>&lt;font face="Calibri Light" size="2" color="black"&gt;Please describe, using one or more text descriptions and/or simple diagrams, the proposed solution's high-level information models.&amp;nbsp;&lt;ul&gt;&lt;/ul&gt;</t>
  </si>
  <si>
    <t>The above information models are used to understand what quality concerns are met and to what degree: &lt;ul&gt;&lt;li&gt;Qualities/ISO-25010/Functionality&amp;nbsp;&lt;/li&gt;&lt;li&gt;Qualities/ISO-25010/Security&lt;/li&gt;&lt;li&gt;Qualities/ISO-25010/Usability&lt;/li&gt;&lt;li&gt;Qualities/ISO-25010/Maintainability&lt;/li&gt;&lt;/ul&gt;&lt;p&gt;&lt;font color="#000000" face="Calibri Light" size="2"&gt;&lt;/p&gt;</t>
  </si>
  <si>
    <t>&lt;font color="black" face="Calibri Light"&gt;Consider demonstrating how desired ISO-25010 Qualities are being met by modelling the following: &lt;p&gt;&lt;font color="#000000" face="Calibri Light"&gt;&lt;ul&gt;&lt;li&gt;&lt;font color="#000000" face="Calibri Light" size="2"&gt;Demonstrate the extent if any&amp;nbsp;that ISO-25010/Functionality objectives&amp;nbsp;are addressed by modelling Business service functionality (e.g.: Users/Resources/etc.)&lt;/li&gt;&lt;li&gt;&lt;font color="#000000" face="Calibri Light" size="2"&gt;Demonstrate the extent if any&amp;nbsp;that&amp;nbsp;ISO-25010/Security objectives&amp;nbsp;are addressed by modelling&amp;nbsp;Session authorisation and authentication functionality (Sessions, Security Principals, Security Profiles, Roles and/or Permissions) within the system.&lt;/li&gt;&lt;li&gt;&lt;font color="#000000" face="Calibri Light" size="2"&gt;Demonstrate the extent if any that&amp;nbsp;ISO-25010/Usability objectives&amp;nbsp;are addressed by modelling&amp;nbsp;End user localisation and customization (User Profiles, User Preferences)&amp;nbsp;information elements&amp;nbsp;within the system.&lt;/li&gt;&lt;li&gt;Demonstrate the extent if any that ISO-25010/Usability objectives are being addressed by modelling the handling of Media -- including end user uploaded media, system media (including built-in media such as tracking disclosure text, Terms and Conditions, Memento/Cookie tracking information, Contact Information, Issue/Suggestion tracking, FAQs, Help documents).&lt;/li&gt;&lt;li&gt;Demonstrate the extent if any that ISO-25010/Security&amp;nbsp;&amp;nbsp;objectives&amp;nbsp;are met by modelling Audit (long term recording of CRUD Session Operations recorded against Sessions)&amp;nbsp;information elements provided within the system.&lt;/li&gt;&lt;li&gt;Demonstrate the extent if any that ISO-25010/Maintainability objectives Diagnostics (short term revolving recording of data to meet Operations objectives)&amp;nbsp;information&amp;nbsp;elements provided within the system.&lt;/li&gt;&lt;li&gt;Demonstrate the extent if any that ISO-25010/Usability/Configurability objectives are met by modelling the&amp;nbsp;System Configuration (storage of system configuration settings)&amp;nbsp;information elements&amp;nbsp;provided within the system.&lt;/li&gt;&lt;/ul&gt;&lt;br /&gt;In order to assist with our planning of mitigating controls, if the system is still evolving, please indicate which Information elements are currently complete, is planned for being delivered within the first operational year, or is on the long-term development road map, but is to be considered as undeliverable for this RFP.&lt;/p&gt;</t>
  </si>
  <si>
    <t>&lt;font color="#000000" face="Calibri Light" size="2"&gt;Assess the Qualities/ISO-25010/Functionality/Completeness of the information model against the known functionality desired by different stakeholders:&lt;p&gt;&lt;ul&gt;&lt;li&gt;&lt;font color="#000000" face="Calibri Light" size="2"&gt;Configuration information elements required by end users (localisation preferred language, globalisation formatting of numbers and dates, change appearance and layout to improve usability by visually impaired users, or simply be less distracting, improving data quality, etc.)&lt;/li&gt;&lt;li&gt;&lt;font color="#000000" face="Calibri Light" size="2"&gt;Business information elements required to perform current functions expected by business stakeholders. Ensure the model allows for change over the business service's lifespan, and can cater for increased breadth of services offered to business users.&lt;/li&gt;&lt;li&gt;Authentication, Authorisation and long-term Auditing information elements required by security specialists to investigate whether (and how) nefarious behaviour was attempted or was successfully executed.&lt;/li&gt;&lt;li&gt;Configuration, Metrics and Diagnostics information elements required by operations support specialists, while adhering to constraints defined by security specialists.&lt;/li&gt;&lt;/ul&gt;&lt;/p&gt;&lt;p&gt;&lt;span&gt;&lt;/span&gt;&lt;/p&gt;</t>
  </si>
  <si>
    <t>Concerns/Decommissing</t>
  </si>
  <si>
    <t>CPDB/DC-001</t>
  </si>
  <si>
    <t>Concerns/Data/Export</t>
  </si>
  <si>
    <t>Exit Plan Data Migration</t>
  </si>
  <si>
    <t>&lt;span&gt;Please provide a proposal for how key information elements of the proposed solution could be extracted using current approaches (e.g., REST/JSON, over SOAP, over CSV, over ETL).&amp;nbsp;&lt;/span&gt;</t>
  </si>
  <si>
    <t>&lt;p&gt;&lt;span&gt;The Organisation requires being authorised to provide uninterrupted continuity of the business services it provides to customers&amp;nbsp;&lt;/span&gt;&lt;span&gt;while not being subjected to 'vendor lock-in'.&lt;/span&gt;&lt;/p&gt;&lt;p&gt;&lt;span&gt;For this reason it is fundamental to asses that the system is able to meet Qualities/ISO-25010/Portability/Replaceability objectives&lt;/span&gt;&lt;span&gt;.&lt;/span&gt;&lt;/p&gt;</t>
  </si>
  <si>
    <t>&lt;p&gt;Towards meeting Qualities/ISO-25010/Portability/Replaceability objectives, please describe whether the process uses built in features (e.g., existing APIs), or would need custom processes to be developed (e.g., ETL).&amp;nbsp; Describe what format is used is used (CSV,&amp;nbsp;JSON, XML).&amp;nbsp;&lt;/p&gt;&lt;p&gt;Describe how one could reshape the data into a format for a subsequent system (e.g., prepare the data to be fed to an API).&amp;nbsp;&lt;/p&gt;&lt;p&gt;Provide an overview of how this requirement can be met.&lt;/p&gt;</t>
  </si>
  <si>
    <t>&lt;p&gt;&lt;span&gt;&lt;/span&gt;&lt;/p&gt;&lt;span&gt;It is unacceptable for the organisation to commit to the use of systems which cannot provide an achievable path to transition to a replacement solution if required to do so.&lt;/span&gt;&lt;p&gt;It is important to assess whether the ability to extract key information from the system is based on built in capabilities (eg: APIs) or will require additional expenditure on a custom process (eg: read database to create an xml document).&lt;/p&gt;&lt;p&gt;It is also important to assess whether the export process is monolithic (all records in one big unwieldy file that may require uncommon memory sizes) or not (eg: an API can be repeatedly queried by the new system, until all records are migrated).&lt;/p&gt;</t>
  </si>
  <si>
    <t>Solution Proposal/Information/Analysis</t>
  </si>
  <si>
    <t>Rejected</t>
  </si>
  <si>
    <t>CPDB/DQ-001</t>
  </si>
  <si>
    <t>Concerns/Data;Undefined</t>
  </si>
  <si>
    <t>ISO-25010/Maintainability/Analysability</t>
  </si>
  <si>
    <t>Stakeholders/Solution Architect</t>
  </si>
  <si>
    <t>SQR</t>
  </si>
  <si>
    <t>Information Analysis</t>
  </si>
  <si>
    <t>&lt;font face="Calibri Light" size="2" color="black"&gt;a) Support a Organisation endorsed BI, query and analysis toolset.&lt;br /&gt;&lt;br /&gt;&lt;font face="Calibri Light" size="2" color="black"&gt;b) Indicate options local to the solution footprint - such as cloud or on premises&lt;br /&gt;&lt;br /&gt;&lt;font face="Calibri Light" size="2" color="black"&gt;Examples of BI tools may include (but not be limited to) reporting, training and usage analysis.</t>
  </si>
  <si>
    <t>&lt;font face="Calibri Light" size=2 color=black&gt;Support suitable integration to Organisation Business Intelligence tools.</t>
  </si>
  <si>
    <t>Response Evaluation Panel</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</si>
  <si>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t>
  </si>
  <si>
    <t>Solution Proposal/Interfaces/Reporting</t>
  </si>
  <si>
    <t>CPDB/DQ-002</t>
  </si>
  <si>
    <t>Concerns/Interfaces/Reports</t>
  </si>
  <si>
    <t>ISO-25010/Functionality/Completeness</t>
  </si>
  <si>
    <t>Information Reporting</t>
  </si>
  <si>
    <t>&lt;font color="#000000" face="Calibri Light" size="2"&gt;Please describe how the solution will address Reporting, taking into account the following considerations:&lt;p&gt;&lt;ul&gt;&lt;li&gt;&lt;font color="#000000" face="Calibri Light" size="2"&gt;The use of a separate Reporting Database in order for Reports to not negatively impact on Operational Database responsiveness.&lt;/li&gt;&lt;li&gt;&lt;font color="#000000" face="Calibri Light" size="2"&gt;Generation of reports for Multiple Stakeholders (ie, reports that&amp;nbsp;Business Service Users can develop, reports by Business Service Providers summarizing functionality usage patterns and volume, reports for Maintenance specialists (logins, errors, etc.)&amp;nbsp;&lt;/li&gt;&lt;li&gt;Authorized access to reports (eg: Inclusion of PII attributes in reports should be limited to specific Permissions).&lt;/li&gt;&lt;/ul&gt;&lt;p&gt;&lt;span&gt;* Reports generated from correlating information from multiple systems (eg: FMIS, EDMS, etc.). A system may not have the ability to do this -- but should be able to be integrated with the organisation's Reporting capabilities, such that Data is migrated, along with Metadata expressing required Permissions.&lt;/span&gt;&lt;/p&gt;&lt;/p&gt;</t>
  </si>
  <si>
    <t>&lt;font color="#000000" face="Calibri Light" size="2"&gt;Towards meeting ISO-25010/Functionality/Completeness, the service must be usable by users who do not directly interact with the service -- such as Business Owners in meetings, using printed reports to guide their decisions.</t>
  </si>
  <si>
    <t>Reporting is a first class interface that is often left as an afterthought.&amp;nbsp;</t>
  </si>
  <si>
    <t>&lt;font color="#000000" face="Calibri Light" size="2"&gt;Evaluate the proposed solution for the following:&lt;p&gt;&lt;font color="#000000" face="Calibri Light" size="2"&gt;&lt;/p&gt;&lt;ul&gt;&lt;li&gt;&lt;font color="#000000" face="Calibri Light" size="2"&gt;Qualities/ISO-25010/Reliability/Availability in that the service uses a secondary reporting database to ensure the Operational Database remains responsive to end users.&lt;/li&gt;&lt;li&gt;&lt;font color="#000000" face="Calibri Light" size="2"&gt;Can reports be printed? While hiding screen specific information, and displaying print specific headers/footers (towards meeting both Qualities/ISO-25010/Usability/Operability and Qualities/ISO-25010/Usability/User Interface Aesthetics)?&lt;/li&gt;&lt;li&gt;&lt;font color="#000000" face="Calibri Light" size="2"&gt;Qualities/ISO-25010/Compatibility/Interoperability in that the system can be integrated and export data and metadata (permissions, etc.) to the organisation's Data warehouse, for subsequent use by the organisation reporting services.&lt;/li&gt;&lt;/ul&gt;</t>
  </si>
  <si>
    <t>Concerns/Design/Qualities/Maintainability/Analysability</t>
  </si>
  <si>
    <t>CPDB/DQ-003</t>
  </si>
  <si>
    <t>Custom</t>
  </si>
  <si>
    <t>Qualities/ISO-25010/Maintainability/Supportability</t>
  </si>
  <si>
    <t>Stakeholders/Operations Support Specialists</t>
  </si>
  <si>
    <t>Data Storage Query</t>
  </si>
  <si>
    <t>Please describe whether the proposed solution's storage is able to be queried using standard tools.</t>
  </si>
  <si>
    <t>Towards ISO-25010/Maintainability objectives, ensure the system's data can be queried, imported and exported (e.g., to a data warehouse or reporting database) using standard industry tools and operations.&lt;p&gt;&lt;/p&gt;&lt;p&gt;&lt;/p&gt;</t>
  </si>
  <si>
    <t>This information may best be addressed on the when describing the service's key components, their technology, and their use. &lt;p&gt;Consider expressing whether the storage is relational, document based, table, file or basic blob storage.&lt;/p&gt;</t>
  </si>
  <si>
    <t>&lt;font color="#000000" face="Calibri Light" size="2"&gt;Evaluate the proposed solution's:&lt;p&gt;&lt;ul&gt;&lt;li&gt;&lt;span&gt;Qualities/ISO-25010/Maintainability/Analysability&lt;/span&gt;&lt;/li&gt;&lt;li&gt;&lt;font color="#000000" face="Calibri Light" size="2"&gt;Qualities/ISO-25010/Compatibilty/Interoperability&lt;/li&gt;&lt;/ul&gt;&lt;p&gt;In relation to it's:&lt;/p&gt;&lt;ul&gt;&lt;li&gt;&lt;font color="#000000" face="Calibri Light" size="2"&gt;Qualities/ISO-25010/Portability/Replaceability&lt;/li&gt;&lt;/ul&gt;&lt;/p&gt;</t>
  </si>
  <si>
    <t>Solution Proposal/Technologies/Data/Matching Patterns</t>
  </si>
  <si>
    <t>CPDB/DQ-004</t>
  </si>
  <si>
    <t>ISO-25010/Usability/Operability</t>
  </si>
  <si>
    <t>Data Matching Patterns</t>
  </si>
  <si>
    <t>Please describe whether the solution's data storage mechanisms are configured to persist and later find non English Unicode data.</t>
  </si>
  <si>
    <t>&lt;font face="Calibri Light" size="2" color="black"&gt;Towards ISO-25010/Usability objectives, the solution should be usable by users from different cultures.&lt;p&gt;&lt;font face="Calibri Light" size="2" color="black"&gt;&lt;/p&gt;&lt;p&gt;&lt;font face="Calibri Light" size="2" color="black"&gt;For this reason, data should be able to support non-english characters, including macrons and accents.&lt;br /&gt;&lt;/p&gt;</t>
  </si>
  <si>
    <t>&lt;font face="Calibri Light" color="black"&gt;Consider, For example, using utf8_unicode_ci (meaning utf8 unicode, case insensitive)</t>
  </si>
  <si>
    <t>Concerns/Design/Technology</t>
  </si>
  <si>
    <t>CPDB/?</t>
  </si>
  <si>
    <t>Concerns/Interfaces/UX/UI</t>
  </si>
  <si>
    <t>Qualities/ISO-25010/Usability/Accessibility</t>
  </si>
  <si>
    <t>User Agent Technologies</t>
  </si>
  <si>
    <t>Please describe whether the solution requires client user agents other than a web browser.</t>
  </si>
  <si>
    <t>Towards meeting ISO-25010/Availability objectives, ensure that the service is available from anywhere, anytime, with any device. &lt;br /&gt;&lt;p&gt;Towards meeting ISO-25010/Security objectives, it is safer to communicate on protocols that have a better set of known attack vectors, and suite of available controls to mitigate them. &lt;/p&gt;&lt;p&gt;Towards meeting ISO-25010/Maintainability objectives, it is better to not have to manage the securing of additional clients on end user desktops.&lt;/p&gt;</t>
  </si>
  <si>
    <t>The organisation's design principles expect services to be delivered over HTTP, consumed by Web Clients.&lt;p&gt;The organisation's design principles also prefers new Web Client interfaces be developed Single Page Applications (Angular, Vue, etc.), not Multiple Page Applications (MVC, ASP.NET, etc.).&amp;nbsp;&amp;nbsp;This promotes better Client/Server separation by ensuring alignment with the organisation's "Web API" principles.&lt;/p&gt;</t>
  </si>
  <si>
    <t>Evaluate the response to ensure that the only user agent required for users to interact with the service is a WebKit derived browser (latest Chrome, Edge, or Safari), which ensures that no specific network access is required beyond HTTPS.</t>
  </si>
  <si>
    <t>Concerns/Data/Backup</t>
  </si>
  <si>
    <t>CPDB/IFC-001</t>
  </si>
  <si>
    <t>Qualities/ISO-25010/Usability/Err Protection</t>
  </si>
  <si>
    <t>Data Backup</t>
  </si>
  <si>
    <t>The solution's&amp;nbsp;data MUST support data backups via&amp;nbsp;the organisation's endorsed operational policy.</t>
  </si>
  <si>
    <t>Support access to data backups in alignment with the Organisation's policy such as BCP and with relevant legislation.</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</si>
  <si>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color="#000000"&gt;A successful trial restore from backup media [S]</t>
  </si>
  <si>
    <t>RETIRED</t>
  </si>
  <si>
    <t>Retired</t>
  </si>
  <si>
    <t>CPDB/IFC-002a</t>
  </si>
  <si>
    <t>Concerns/Integration/Identity</t>
  </si>
  <si>
    <t>Qualities/ISO-25010/Security/Authenticity</t>
  </si>
  <si>
    <t>SSO for LAN Users</t>
  </si>
  <si>
    <t>Please describe how the solution can provide Single Sign On (SSO)&amp;nbsp;authentication to Organisation LAN users of the solution.</t>
  </si>
  <si>
    <t>Support SSO for target system users logged on to the Organisation LAN so they do not need to re-authenticate.&lt;br /&gt;</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</si>
  <si>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color="#000000"&gt;Successful system testing [M]</t>
  </si>
  <si>
    <t>Solution Proposal/Integration/Identity/SSO/LAN Users</t>
  </si>
  <si>
    <t>CPDB/IFC-002b</t>
  </si>
  <si>
    <t>ISO-25010/Security/Authenticity</t>
  </si>
  <si>
    <t>Solution Proposal/Integration/Identity/SSO/Thick</t>
  </si>
  <si>
    <t>RETIRED: Support SSO for  thick client users.</t>
  </si>
  <si>
    <t>&lt;font face="Calibri Light" size=2 color=black&gt;Support Single Sign On for any required thick client users logged on to the Organisation LAN.&lt;br&gt;&lt;br&gt;&lt;font
face="Calibri Light" size=2 color=black&gt;Note: Appropriate security access controls will need to be in place as required.&lt;br&gt;&lt;br&gt;&lt;font
face="Calibri Light" size=2 color=black&gt;Authorisation for thick client users will be controlled via roles and groups in the thick client application.</t>
  </si>
  <si>
    <t>Accountable Lead Architect</t>
  </si>
  <si>
    <t>REJECTED</t>
  </si>
  <si>
    <t>CPDB/IFC-003</t>
  </si>
  <si>
    <t>Concerns/Development/Technology</t>
  </si>
  <si>
    <t>RFP</t>
  </si>
  <si>
    <t>Solution Proposals/Technologies</t>
  </si>
  <si>
    <t>&lt;p&gt;Please provide a list of the technologies implemented&amp;nbsp;in the proposed solution.&lt;/p&gt;</t>
  </si>
  <si>
    <t>&lt;p&gt;System choices are constrained by organisation technology principles and strategy decisions.&amp;nbsp;&lt;/p&gt;&lt;p&gt;The principles help meet ISO-25010/Maintainability and ISO-25010/Compatibility objectives, while providing best utilization of current organisation resources and abilities.&amp;nbsp;&lt;/p&gt;</t>
  </si>
  <si>
    <t>The Organisation's design principles lead to the following technology stack preferences:&lt;ul&gt;&lt;li&gt;Cloud over On-Premise virtual hosting&lt;/li&gt;&lt;li&gt;Web User Agents over alternate User Agents (eg: Smart Clients)&lt;/li&gt;&lt;li&gt;Secure Web Protocols (HTTPS) over other channels (eg: HTTP, TCP)&lt;/li&gt;&lt;li&gt;Client-side web clients (eg: Single Page Applications/Progressive Web Applications) over Server-side rendered web clients (eg: Multiple Page Applications/MVC/ASP.NET, etc.).&lt;/li&gt;&lt;li&gt;Comparable Open Source over Closed Source offerings&lt;/li&gt;&lt;li&gt;Supported over Non-Supported components&lt;/li&gt;&lt;li&gt;Service Suites elements over standalone service offerings&lt;/li&gt;&lt;li&gt;Compiled frameworks over script frameworks, to decrease production bugs&lt;/li&gt;&lt;li&gt;Relational over Non-Relational Data storage (e.g.: NoSql, Document, Table, File, Blob storage) for system data. Alternate forms of storage are acceptable as necessary for other purposes (queues, etc.)&lt;/li&gt;&lt;/ul&gt;Note that the above are only natural preferences -- and other factors are taken into consideration.</t>
  </si>
  <si>
    <t>Concerns/Operations/Monitoring</t>
  </si>
  <si>
    <t>CPDB/IFC-004</t>
  </si>
  <si>
    <t>Qualities/ISO-25010/Maintainability/Analysability</t>
  </si>
  <si>
    <t>Solution Proposal/System monitoring</t>
  </si>
  <si>
    <t>Please describe how the proposed solution can be monitored, and alerts of abnormal behaviour be raised, alerting designated stakeholders.</t>
  </si>
  <si>
    <t>Towards meeting ISO-25010/Maintainability/Analysability objectives the system should alert maintenance specialists of abnormal behaviour.</t>
  </si>
  <si>
    <t>Metrics should be collected, and monitorable at the project level by the project's support specialists, as well as fed to the organisation wide&amp;nbsp;Security information and event management (SIEM) service.</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</si>
  <si>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color="#000000"&gt;Acceptance of the capability by Organisation operations [M]</t>
  </si>
  <si>
    <t>CPDB/IFC-005</t>
  </si>
  <si>
    <t>Concerns/Discovery</t>
  </si>
  <si>
    <t>Virtualisation</t>
  </si>
  <si>
    <t>If the proposed solution involves IaaS, please indicate whether it can be installed within the organisation's on-premise virtual platform.</t>
  </si>
  <si>
    <t>&lt;font face="Calibri Light" size="2" color="black"&gt;The organisation must run provided services on which it can meet expected SLAs and security profiles.</t>
  </si>
  <si>
    <t>The organisation currently hosts virtual devices on a VMware virtual platform.Due to total cost over the lifespan of a provided service, a decision from the relevant governance body would be required to diverge from organisation design principles in order to host a device on an IaaS cloud provider.</t>
  </si>
  <si>
    <t>&lt;font face="Calibri Light" size="2" color="#000000"&gt;Successfully receive endorsement from Organisation architecture governance for the target system solution architecture and design [M]&lt;br /&gt;&lt;font face="Calibri Light" size="2" color="#000000"&gt;An independent and authorised as-built review of the target system confirms alignment to target system solution architecture and design  [C]&lt;br /&gt;&lt;font face="Calibri Light" size="2" color="#000000"&gt;Acceptance of the capability by Organisation operations [M]</t>
  </si>
  <si>
    <t>Concerns/Design/Qualities/Security/Non-Repudiation</t>
  </si>
  <si>
    <t>CPDB/IFC-006</t>
  </si>
  <si>
    <t>NonSaaS/OnPrem/IaaS</t>
  </si>
  <si>
    <t>Concerns/Design</t>
  </si>
  <si>
    <t>Solution Proposal/Authentication and Authorisation/External Users</t>
  </si>
  <si>
    <t>Please indicate with what external common Identity Providers (IdP) the proposed solution can integrate to authenticate external users.</t>
  </si>
  <si>
    <t>&lt;font color="#000000" face="Calibri Light" size="2"&gt;Towards ISO-25010/Security objectives, Systems must authenticate users using an external IdP.&lt;p&gt;&lt;font color="#000000" face="Calibri Light" size="2"&gt;&lt;/p&gt;&lt;p&gt;&lt;font color="#000000" face="Calibri Light" size="2"&gt;Towards ISO-25010/Usability objectives, the system must be able to authenticate both Organisation users as well as parner users, as well as public users.&lt;/p&gt;</t>
  </si>
  <si>
    <t>The organisation authenticates internal and partner users using Azure Active Directory (AAD).&amp;nbsp;&lt;p&gt;The organisation uses a consumer facing IdP to authenticate external users. The external facing IdP is federated to the organisation's AAD tenancy.&lt;/p&gt;</t>
  </si>
  <si>
    <t>Solution Proposal/Technologies/Protocols</t>
  </si>
  <si>
    <t>CPDP</t>
  </si>
  <si>
    <t>CPDB/IFC-007</t>
  </si>
  <si>
    <t>Communication Protocols</t>
  </si>
  <si>
    <t>Please describe whether the solution requires other channels than secure web channel (HTTPS) to function.</t>
  </si>
  <si>
    <t>&lt;font face="Calibri Light" size="2" color="black"&gt;Promote&amp;nbsp;&lt;span&gt;availability,&amp;nbsp;&lt;/span&gt;&lt;font face="Calibri Light" size="2" color="black"&gt;accessibility, usability and security by using the most widely used interface protocol over the most widely used communication protocol.</t>
  </si>
  <si>
    <t>DEPRACATED/Solution Proposals/Application server</t>
  </si>
  <si>
    <t>CPDB/IFC-008</t>
  </si>
  <si>
    <t>Concerns/Delivery;Concerns/Maintainance</t>
  </si>
  <si>
    <t>Qualities/ISO-25010/Maintainability</t>
  </si>
  <si>
    <t>Depracated/Application server</t>
  </si>
  <si>
    <t>&lt;font face="Calibri Light" size="2" color="black"&gt;Support an application server.&lt;br /&gt;&lt;br /&gt;&lt;ul&gt;&lt;li&gt;&lt;font face="Calibri Light" size="2" color="black"&gt;Note: for on premises, the Organisation uses .NET and Internet Information Services.&lt;/li&gt;&lt;/ul&gt;</t>
  </si>
  <si>
    <t>&lt;font face="Calibri Light" size="2" color="black"&gt;Organisation preference for Microsoft technology sets re standard operational footprint and alignment to enterprise licensing.</t>
  </si>
  <si>
    <t>&lt;font face="Calibri Light" size=2 color=black&gt;Successfully receive endorsement from Organisation architecture governance for the target system solution architecture and design [M]&lt;br&gt;&lt;font
face="Calibri Light" size=2 color=black&gt;An independent and authorised as-built review of the target system confirms alignment to target system solution architecture and design  [C]</t>
  </si>
  <si>
    <t>Solution Proposal/Integration/FileNet</t>
  </si>
  <si>
    <t>CPDB/IFC-009</t>
  </si>
  <si>
    <t>Concerns/Development/Interfaces/API</t>
  </si>
  <si>
    <t>Please describe whether the solution can, or could, be integrated with the organisation's IBM FileNet based EDMS service.</t>
  </si>
  <si>
    <t>The organisation is required to persist data in an approved EDMS.&lt;p&gt;&lt;span&gt;&lt;/span&gt;&lt;/p&gt;</t>
  </si>
  <si>
    <t>&lt;font face="Calibri Light" color="black"&gt;The Organisation currently uses IBM FileNet P8, Version 5.1 for document and record management.&lt;br /&gt;&lt;br /&gt;&lt;font face="Calibri Light" color="black"&gt;If the solution requires document storage, and&amp;nbsp;&lt;span&gt;cannot in itself support defined document storage requirements (including the Public Records Act) then the solution may require integration with FileNet to perform this duty.&lt;/span&gt;&lt;p&gt;&lt;font color="#000000" face="Calibri Light" size="2"&gt;&lt;/p&gt;&lt;p&gt;&lt;font color="#000000" face="Calibri Light" size="2"&gt;The integration may entail both API invocation, and possibly UI changes.&lt;/p&gt;</t>
  </si>
  <si>
    <t>x</t>
  </si>
  <si>
    <t>CPDB/IFC-010a</t>
  </si>
  <si>
    <t>Environments : part a : operational</t>
  </si>
  <si>
    <t>&lt;font face="Calibri Light" size="2" color="black"&gt;Support instances in application environments deemed required to adequately support the operational phase for target.&lt;br /&gt;&lt;br /&gt;&lt;font face="Calibri Light" size="2" color="black"&gt;For example:&lt;br /&gt;&lt;br /&gt;&lt;font face="Calibri Light" size="2" color="black"&gt;• Production (and DR)&lt;br /&gt;&lt;font face="Calibri Light" size="2" color="black"&gt;• Pre-production-ORT, which is used for operational readiness testing, including instances for Compliance and Training&lt;br /&gt;&lt;font face="Calibri Light" size="2" color="black"&gt;• Pre-production-UAT, which is used for user acceptance testing&lt;br /&gt;&lt;font face="Calibri Light" size="2" color="black"&gt;• Shared test, which includes instances for integration and data migration testing&lt;br /&gt;&lt;font face="Calibri Light" size="2" color="black"&gt;• Development&lt;br /&gt;&lt;br /&gt;&lt;font face="Calibri Light" size="2" color="black"&gt;Notes:&lt;br /&gt;&lt;br /&gt;&lt;font face="Calibri Light" size="2" color="black"&gt;• The compliance and training environments should be ‘production like’ but hosted in the pre-prod environment to avoid extra operational risk to the production environment&lt;br /&gt;&lt;ul&gt;&lt;li&gt;&lt;font face="Calibri Light" size="2" color="black"&gt;• All environments would need to align with Organisation change management practice and include relevant environment management&lt;/li&gt;&lt;/ul&gt;</t>
  </si>
  <si>
    <t>&lt;font face="Calibri Light" size=2 color=black&gt;Ensure the target system has sufficient operational environments.</t>
  </si>
  <si>
    <t>CPDB/IFC-010b</t>
  </si>
  <si>
    <t>Environments : part b : project build</t>
  </si>
  <si>
    <t>&lt;font face="Calibri Light" size="2" color="black"&gt;Support instances in application environments deemed required to adequately support the build phase of the target system.&lt;br /&gt;&lt;br /&gt;&lt;font face="Calibri Light" size="2" color="black"&gt;For example:&lt;br /&gt;&lt;br /&gt;&lt;font face="Calibri Light" size="2" color="black"&gt;• Pre-production-ORT, which is used for operational readiness testing, including instances for Compliance and Training&lt;br /&gt;&lt;font face="Calibri Light" size="2" color="black"&gt;• Pre-production-UAT, which is used for user acceptance testing&lt;br /&gt;&lt;font face="Calibri Light" size="2" color="black"&gt;• Shared test, which includes instances for integration and data migration testing&lt;br /&gt;&lt;font face="Calibri Light" size="2" color="black"&gt;• Development&lt;br /&gt;&lt;br /&gt;&lt;font face="Calibri Light" size="2" color="black"&gt;Notes:&lt;br /&gt;&lt;br /&gt;&lt;font face="Calibri Light" size="2" color="black"&gt;• The compliance and training environments should be ‘production like’ but hosted in the pre-prod environment to avoid extra operational risk to the production environment&lt;br /&gt;&lt;font face="Calibri Light" size="2" color="black"&gt;• All environments would need to align with Organisation change management practice and include relevant environment management</t>
  </si>
  <si>
    <t>&lt;font face="Calibri Light" size=2 color=black&gt;Ensure the target system has sufficient environments during the project build.</t>
  </si>
  <si>
    <t>&lt;font face="Calibri Light" size=2 color="#000000"&gt;Successfully receive endorsement from target test manager of environment plan (aligned to test strategy) [M]&lt;br&gt;&lt;font
face="Calibri Light" size=2 color="#000000"&gt;Successfully receive endorsement from Organisation architecture governance for the target system solution architecture and design [M]</t>
  </si>
  <si>
    <t>IFC-011</t>
  </si>
  <si>
    <t>Network capacity</t>
  </si>
  <si>
    <t>&lt;font face="Calibri Light" size="2" color="black"&gt;The solution is to function within the constraints of the Organisation network infrastructure (including required connection capacity to a target system in the cloud).</t>
  </si>
  <si>
    <t>&lt;font face="Calibri Light" size=2 color=black&gt;Ensure all network connections supporting use of the target system has sufficient capacity to support delivery on the required availability and performance.</t>
  </si>
  <si>
    <t>IFC-012a</t>
  </si>
  <si>
    <t>Desktop/Devices: Organisation users</t>
  </si>
  <si>
    <t>&lt;font face="Calibri Light" size="2" color="black"&gt;Support Organisation approved desktop/device platforms for internal (Organisation LAN) users of the target system.&lt;br /&gt;&lt;br /&gt;&lt;font face="Calibri Light" size="2" color="black"&gt;See also PT-003a</t>
  </si>
  <si>
    <t>&lt;font face="Calibri Light" size=2 color=black&gt;Ensure the system will function correctly for all internal Organisation LAN users on approved desktop/device platforms.</t>
  </si>
  <si>
    <t>&lt;font face="Calibri Light" size=2 color="#000000"&gt;Successfully receive endorsement from Organisation architecture governance for the target system solution architecture and design [M]&lt;br&gt;&lt;font
face="Calibri Light" size=2 color="#000000"&gt;Successful system testing [M]</t>
  </si>
  <si>
    <t>IFC-012b</t>
  </si>
  <si>
    <t>Desktop/Devices: Non-Organisation users</t>
  </si>
  <si>
    <t>&lt;p&gt;&lt;span&gt;Support use on non-Organisation desktop/device platforms for external (non-Organisation LAN) users of the target system as defined by the Organisation.&lt;/span&gt;&lt;/p&gt;&lt;br /&gt;&lt;font face="Calibri Light" size="2" color="black"&gt;See also PT-003a</t>
  </si>
  <si>
    <t>&lt;font face="Calibri Light" size=2 color=black&gt;Ensure the system will function correctly for external (non-Organisation LAN) users on approved desktop/device platforms.</t>
  </si>
  <si>
    <t>CPDB/IFC-013</t>
  </si>
  <si>
    <t>ISO-25010/Usability/Accessibility</t>
  </si>
  <si>
    <t>Solution Proposal/Components/User Agents/Mobile</t>
  </si>
  <si>
    <t>&lt;font face="Calibri Light" size="2" color="black"&gt;Describe to what extent the service is available via Mobile web user agents.&lt;p&gt;&lt;span&gt;&lt;/span&gt;&lt;/p&gt;&lt;p&gt;&lt;span&gt;&lt;/span&gt;&lt;/p&gt;&lt;p&gt;&lt;span&gt;Please describe what limitations exist on accessing the service.&lt;/span&gt;&lt;/p&gt;</t>
  </si>
  <si>
    <t>&lt;span&gt;Ensure the service is available and functions correctly for all stakeholders on any mainstream device, from anywhere at anytime.&lt;/span&gt;</t>
  </si>
  <si>
    <t>&lt;span&gt;Refer to: PT-003a/b&lt;/span&gt;</t>
  </si>
  <si>
    <t>CPDB/IFC-014</t>
  </si>
  <si>
    <t>Solution Proposal/Interface/Clients/No Thick Client</t>
  </si>
  <si>
    <t>&lt;font face="Calibri Light" size="2" color="black"&gt;Ensures the system is available without requiring the installation of a specialised service client application.</t>
  </si>
  <si>
    <t>&lt;font face="Calibri Light" size=2 color=black&gt;Ensure all non-support users of the system will not require specialist client software to use the target system.&lt;br&gt;&lt;br&gt;&lt;font
face="Calibri Light" size=2 color=black&gt;Examples of Non-support users include (but not limited to) business and operational administrators.</t>
  </si>
  <si>
    <t>CPDB/IFC-015</t>
  </si>
  <si>
    <t>Ability to bring target system environments up and down on demand</t>
  </si>
  <si>
    <t>&lt;font face="Calibri Light" size="2" color="black"&gt;Provide the ability to bring target system environments up and down on demand via automation (or worse case manually) as far as practicable and in a timely manner.</t>
  </si>
  <si>
    <t>&lt;font face="Calibri Light" size=2 color=black&gt;Saves on compute/storage requirements (in the cloud or on premise).&lt;br&gt;&lt;br&gt;&lt;font
face="Calibri Light" size=2 color=black&gt;Provides agility to assist in environment management (see IFC-010a/b)</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</si>
  <si>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color="#000000"&gt;Acceptance of the capability by Organisation operations [M]&lt;br&gt;&lt;font
face="Calibri Light" size=2 color="#000000"&gt;Successful system testing [M]</t>
  </si>
  <si>
    <t>CPDB/IFC-016</t>
  </si>
  <si>
    <t>Describe how the proposed solution can be deployed to various data contexts (Test data, Production data), within each can be multiple environments (Build Test, System Test, User Test in one, and Prod Diagnostics and  Prod in the other)</t>
  </si>
  <si>
    <t>&lt;font face="Calibri Light" size="2" color="black"&gt;Provide the ability to support the emerging DevOps (aka continuous assurance) landscape within the Organisation with the aim to enable Continuous Delivery of components within the target system as far as practicable.</t>
  </si>
  <si>
    <t>&lt;font face="Calibri Light" size=2 color=black&gt;Support Organisation adoption of DevOps and benefits such as increased use of test automation and agility to support accelerated release timelines.</t>
  </si>
  <si>
    <t>Accountable Lead Developer</t>
  </si>
  <si>
    <t>CPDB/INC-001</t>
  </si>
  <si>
    <t>Existing interfaces within the Organisation</t>
  </si>
  <si>
    <t>&lt;font face="Calibri Light" size="2" color="black"&gt;Integrate to applicable existing interfaces within the Organisation.</t>
  </si>
  <si>
    <t>&lt;font face="Calibri Light" size=2 color=black&gt;Ensures all applicable Organisation systems are integrated to as required to support the target system.</t>
  </si>
  <si>
    <t>CPDB/PC-001a</t>
  </si>
  <si>
    <t>Hosting arrangements: On Premises</t>
  </si>
  <si>
    <t>&lt;font face="Calibri Light" size="2" color="black"&gt;Host within the Organisation’s data-centres.&lt;br /&gt;&lt;br /&gt;&lt;font face="Calibri Light" size="2" color="black"&gt;Data centres are based in:&lt;br /&gt;&lt;br /&gt;&lt;font face="Calibri Light" size="2" color="black"&gt;• Hamilton (primary) – hosted in Datacom’s Kapua Datacentre (managed by the Organisation)&lt;br /&gt;&lt;font face="Calibri Light" size="2" color="black"&gt;• Auckland (secondary) – hosted in Datacom’s Orbit Datacentre (managed by the Organisation)&lt;br /&gt;&lt;br /&gt;&lt;font face="Calibri Light" size="2" color="black"&gt;These data centres are linked by a 10Gb network connection.&lt;br /&gt;&lt;br /&gt;&lt;font face="Calibri Light" size="2" color="black"&gt;Please provide details of how you propose to host the solution, and identify any circumstances in which data will be removed from these premises.</t>
  </si>
  <si>
    <t>&lt;font face="Calibri Light" size=2 color=black&gt;Support standard Organisation operations footprint for on premises solutions.</t>
  </si>
  <si>
    <t>&lt;font face="Calibri Light" size=2 color=black&gt;Successfully receive endorsement from Organisation architecture governance for the target system solution architecture and design [M]&lt;br&gt;&lt;font
face="Calibri Light" size=2 color=black&gt;An independent and authorised as-built review of the target system confirms alignment to target system solution architecture and design  [C]&lt;br&gt;&lt;font
face="Calibri Light" size=2 color=black&gt;Acceptance of the capability by Organisation operations [M]&lt;br&gt;&lt;font
face="Calibri Light" size=2 color=black&gt;Acceptance of the capability by Organisation Certification and Accreditation [M]</t>
  </si>
  <si>
    <t>PC-001b</t>
  </si>
  <si>
    <t>SYS</t>
  </si>
  <si>
    <t>Hosting arrangements: Cloud</t>
  </si>
  <si>
    <t>&lt;font face="Calibri Light" size="2" color="black"&gt;SaaS, PaaS, IaaS: (read in conjunction with CS-004)&lt;br /&gt;&lt;br /&gt;&lt;font face="Calibri Light" size="2" color="black"&gt;Host in an SSAE-16 audited data centre in Australia or New Zealand.&lt;br /&gt;&lt;br /&gt;&lt;font face="Calibri Light" size="2" color="black"&gt;Please provide details of how and where you propose to host the solution, and identify any circumstances in which data will be removed from these premises.&lt;br /&gt;&lt;br /&gt;&lt;font face="Calibri Light" size="2" color="black"&gt;Please provide or link to the relevant SOC-2 audit report(s).</t>
  </si>
  <si>
    <t>&lt;font face="Calibri Light" size=2 color=black&gt;Ensure the cloud solution is acceptable to the Organisation, including ISO27001/2 standards for security and data protection.</t>
  </si>
  <si>
    <t>PC-002</t>
  </si>
  <si>
    <t>Government hosting</t>
  </si>
  <si>
    <t>&lt;font face="Calibri Light" size="2" color="black"&gt;Describe whether the system's Data could be migrated from a cloud provider to the New Zealand Government IaaS platform.</t>
  </si>
  <si>
    <t>&lt;font face="Calibri Light" size="2" color="black"&gt;Only If requested, support migration of the system's data to being hosted within New Zealand Government IaaS platform.</t>
  </si>
  <si>
    <t>As stated elsewhere:&lt;p&gt;&lt;ol&gt;&lt;li&gt;The Organisation's Design Principles direct system choice to SaaS/PaaS before IaaS&lt;/li&gt;&lt;li&gt;Primarily due to cost, IaaS services should be hosted on-prem&lt;/li&gt;&lt;li&gt;Bar latency, the location of service logic is irrelevant -- it's addressing the location of data within acceptable jurisdictions that is the objective.&lt;/li&gt;&lt;/ol&gt;&lt;/p&gt;</t>
  </si>
  <si>
    <t>&lt;font color="#000000" face="Calibri Light" size="2"&gt;Informed by the Data Classification of the information within the system, evaluate whether there is any reasonable need to plan for the contingency.&lt;p&gt;&lt;font color="#000000" face="Calibri Light" size="2"&gt;&lt;/p&gt;&lt;p&gt;&lt;font color="#000000" face="Calibri Light" size="2"&gt;If there remains a need, review whether:&lt;/p&gt;&lt;p&gt;&lt;ul&gt;&lt;li&gt;&lt;font color="#000000" face="Calibri Light" size="2"&gt;the latency can be mitigated by caching and/or design changes,&amp;nbsp;&lt;/li&gt;&lt;li&gt;&lt;font color="#000000" face="Calibri Light" size="2"&gt;what cannot be mitigated is acceptable,&amp;nbsp;&lt;/li&gt;&lt;li&gt;&lt;font color="#000000" face="Calibri Light" size="2"&gt;a data migration plan (eg: by backup/restoration) can be developed.&lt;/li&gt;&lt;/ul&gt;&lt;/p&gt;</t>
  </si>
  <si>
    <t>CS-001</t>
  </si>
  <si>
    <t>Cloud Computing Code of Practice</t>
  </si>
  <si>
    <t>&lt;font face="Calibri Light" size="2" color="black"&gt;Adhere to the New Zealand Institute of Information Technology Professionals Cloud Computing Code of Practice (Cloud Code).&lt;br /&gt;&lt;br /&gt;&lt;font face="Calibri Light" size="2" color="black"&gt;The vendor should be a signatory to the Cloud Code.</t>
  </si>
  <si>
    <t>&lt;font face="Calibri Light" size=2 color=black&gt;Ensure the vendor hosting a cloud solution is acceptable to the Organisation re duty of care of the data and service to the business owner.</t>
  </si>
  <si>
    <t>CS-002</t>
  </si>
  <si>
    <t>Network Availability and Performance</t>
  </si>
  <si>
    <t>&lt;font face="Calibri Light" size="2" color="black"&gt;The availability and performance of the solution (as defined) is not adversely impacted due to the use of off premises services or components.</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</si>
  <si>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color="#000000"&gt;Successful system testing [MA]&lt;br&gt;&lt;font
face="Calibri Light" size=2 color="#000000"&gt;Continually demonstrable and acceptable SLA / KPIs to Organisation business and operational owners [SA]</t>
  </si>
  <si>
    <t>Concerns/Data/Security</t>
  </si>
  <si>
    <t>CPDB/CS-003a</t>
  </si>
  <si>
    <t>Concerns/Security</t>
  </si>
  <si>
    <t>Qualities/ISO-25010/Security/Confidentiality</t>
  </si>
  <si>
    <t>Multi-tenant separation : part a : Data protection</t>
  </si>
  <si>
    <t>&lt;font face="Calibri Light" size="2" color="black"&gt;Please describe how you ensure separation of data for multiple clients.&lt;br /&gt;</t>
  </si>
  <si>
    <t>&lt;font face="Calibri Light" size="2" color="black"&gt;Towards meeting ISO-25010/Functionality objectives, a system that is capable of hosting multiple clients, should be able to do so without leaking data across users.</t>
  </si>
  <si>
    <t>Common strategies used to keep data segregated include logical segregation (where every record has the id of a single organisation) or physical segregation (where every client gets their own database). &lt;p&gt;Physical segregation permits each client to develop backups of their data independently of each other -- but complicates schema updates, and takes more time to set up.&lt;/p&gt;</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</si>
  <si>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color="#000000"&gt;Acceptance of the capability by Organisation operations [M]&lt;br&gt;&lt;font
face="Calibri Light" size=2 color="#000000"&gt;Acceptance of the capability by Organisation Certification and Accreditation [M]</t>
  </si>
  <si>
    <t>Concerns/Design/Qualities/Performance</t>
  </si>
  <si>
    <t>CPDB/CS-003b</t>
  </si>
  <si>
    <t>Qualities/ISO-25010/Compatibility/Co-Existence</t>
  </si>
  <si>
    <t>Multi-tenant separation : part b : Performance</t>
  </si>
  <si>
    <t>How do you ensure performance is not affected by other clients?&lt;br /&gt;&lt;br /&gt;What is your approach to performance and capacity planning for the service?</t>
  </si>
  <si>
    <t>&lt;font face="Calibri Light" size=2 color=black&gt;Informing question - e.g for RFI/RFP or build phase.</t>
  </si>
  <si>
    <t>&lt;font face="Calibri Light" size=2 color=black&gt;Acceptable informing response - e.g. against RFI/RFP evaluation or build architecture re intended system target state [M]&lt;br&gt;&lt;font
face="Calibri Light" size=2 color=black&gt;Successfully receive endorsement from Organisation architecture governance for the target system solution architecture and design [M]&lt;br&gt;&lt;font
face="Calibri Light" size=2 color=black&gt;An independent and authorised as-built review of the target system confirms alignment to target system solution architecture and design  [C]&lt;br&gt;&lt;font
face="Calibri Light" size=2 color=black&gt;Acceptance of the capability by Organisation operations [M]&lt;br&gt;&lt;font
face="Calibri Light" size=2 color=black&gt;Acceptance of the capability by Organisation Certification and Accreditation [M]</t>
  </si>
  <si>
    <t>CS-004</t>
  </si>
  <si>
    <t>Cloud computing risk and assurance framework (GCIO requirements)</t>
  </si>
  <si>
    <t>&lt;font face="Calibri Light" size="2" color="black"&gt;Adhere to the guidelines in the Cloud Computing: Information Security and Privacy Considerations, to ensure appropriate and consistent consideration of cloud computing issues.</t>
  </si>
  <si>
    <t>&lt;font face="Calibri Light" size=2 color=black&gt;For solutions with cloud components, the Organisation (like all state service agencies), is expected to follow the cloud computing risk and assurance framework process in line with Cabinet direction to protect data and privacy etc.</t>
  </si>
  <si>
    <t>CS-005</t>
  </si>
  <si>
    <t>Service levels</t>
  </si>
  <si>
    <t>&lt;font face="Calibri Light" size="2" color="black"&gt;Support Organisation endorsed service level agreements (SLAs) and demonstrable key performance indicators (KPIs).</t>
  </si>
  <si>
    <t>&lt;font face="Calibri Light" size=2 color=black&gt;The system will be supported by Organisation endorsed SLAs along with relevant demonstrable KPIs.</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</si>
  <si>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color="#000000"&gt;Successful system testing [M]&lt;br&gt;&lt;font
face="Calibri Light" size=2 color="#000000"&gt;Continually demonstrable and acceptable SLA / KPIs to Organisation business and operational owners [M]</t>
  </si>
  <si>
    <t>CS-006</t>
  </si>
  <si>
    <t>Information Security Management Standards: Cloud</t>
  </si>
  <si>
    <t>&lt;font face="Calibri Light" size="2" color="black"&gt;Any “As a Service Client Service” aspects of the solution to support independent certification, compliane to ISO 27001/2.&lt;br /&gt;&lt;br /&gt;&lt;font face="Calibri Light" size="2" color="black"&gt;Please provide or link to a copy of any certification reports.</t>
  </si>
  <si>
    <t>IMS-001</t>
  </si>
  <si>
    <t>Data Classification</t>
  </si>
  <si>
    <t>&lt;font face="Calibri Light" size=2 color=black&gt;&lt;u&gt;https://protectivesecurity.govt.nz/home/information-security-management-protocol/new-zealand-government-security-classification-system/&lt;/u&gt;</t>
  </si>
  <si>
    <t>&lt;font face="Calibri Light" size=2 color=black&gt;Support relevant use of NZISM to protect data in the target system.</t>
  </si>
  <si>
    <t>IMS-002</t>
  </si>
  <si>
    <t>Solution Proposal/Information/Retention</t>
  </si>
  <si>
    <t>&lt;font face="Calibri Light" size="2" color="black"&gt;Please describe if and for how long the solution retains previous copies of records.</t>
  </si>
  <si>
    <t>&lt;font face="Calibri Light" size=2 color=black&gt;Ensure relevant compliance to legislation and Organisation operational policy.</t>
  </si>
  <si>
    <t>IMS-003</t>
  </si>
  <si>
    <t>Solution/Proposal/Information/Archiving</t>
  </si>
  <si>
    <t>&lt;font face="Calibri Light" size="2" color="black"&gt;Support archiving of data to an alternative archive storage repository to meet business requirements and in accordance with the Organisation retention and disposal/purging schedules.</t>
  </si>
  <si>
    <t>IMS-004a</t>
  </si>
  <si>
    <t>Certification and Accreditation : part a : Process</t>
  </si>
  <si>
    <t>&lt;font face="Calibri Light" size="2" color="black"&gt;Complete security certification and accreditation (C&amp;amp;A) prior to usage of production data or production implementation.&lt;br /&gt;&lt;br /&gt;&lt;font face="Calibri Light" size="2" color="black"&gt;This process incorporates a Security Risk Assessment, Privacy Risk Assessment (if required), Security Risk Management Plan, and System Security Plan.</t>
  </si>
  <si>
    <t>&lt;font face="Calibri Light" size=2 color=black&gt;Part of the cloud adoption policy as mandated by GCIO.</t>
  </si>
  <si>
    <t>IMS-004b</t>
  </si>
  <si>
    <t>Certification and Accreditation : part b : PSR compliance</t>
  </si>
  <si>
    <t>&lt;font face="Calibri Light" size="2" color="black"&gt;Controls deemed in scope for the target system within the certification and accreditation process to comply to relevant Protective Security Requirements – including mapping of relevant PSR sections to applicable sections in detailed control catalogues (such as NZISM and ISO27001/2).</t>
  </si>
  <si>
    <t>IMS-005</t>
  </si>
  <si>
    <t>Data Access and Use</t>
  </si>
  <si>
    <t>&lt;font face="Calibri Light" size="2" color="black"&gt;a) Please describe how our data will be accessed by you and/or any third parties in the course of providing the solution. Include details of what data will be accessed, by whom and for what purpose.&lt;br /&gt;&lt;br /&gt;&lt;font face="Calibri Light" size="2" color="black"&gt;b) Do you take responsibility for not contributing to data loss or integrity issues?&lt;br /&gt;&lt;br /&gt;&lt;font face="Calibri Light" size="2" color="black"&gt;c) Do you agree that all owntargethip rights to data including inputs and outputs of the service remain with the Organisation?&lt;br /&gt;&lt;br /&gt;&lt;font face="Calibri Light" size="2" color="black"&gt;d) Please describe your policy for disclosing data to law enforcement agencies. State whether you will notify us of any such disclosure. Is your disclosure policy published? (if so, please provide link)</t>
  </si>
  <si>
    <t>&lt;font face="Calibri Light" size=2 color=black&gt;Relevant protection of data</t>
  </si>
  <si>
    <t>&lt;font face="Calibri Light" size=2 color="#000000"&gt;Successfully receive endorsement from Organisation architecture governance for the target system solution architecture and design [M]&lt;br&gt;&lt;br&gt;&lt;font
face="Calibri Light" size=2 color="#000000"&gt;An independent and authorised as-built review of the target system confirms alignment to target system solution architecture and design  [C]&lt;br&gt;&lt;br&gt;&lt;font
face="Calibri Light" size=2 color="#000000"&gt;Acceptance of the capability by Organisation operations [M]&lt;br&gt;&lt;br&gt;&lt;font
face="Calibri Light" size=2 color="#000000"&gt;Acceptance of the capability by Organisation Certification and Accreditation [M]</t>
  </si>
  <si>
    <t>IMS-006</t>
  </si>
  <si>
    <t>Information Security Incidents</t>
  </si>
  <si>
    <t>&lt;font face="Calibri Light" size="2" color="black"&gt;The solution will support Organisation endorsed security incident processes.</t>
  </si>
  <si>
    <t>&lt;font face="Calibri Light" size=2 color=black&gt;Ensure that in the event of a security incident within the target system, processes exist (and are accessible and fit for purpose) to support recovery as applicable.</t>
  </si>
  <si>
    <t>&lt;font face="Calibri Light" size=2 color="#000000"&gt;Successful endorsement from Organisation operations for target system security incident management planning [M]&lt;br&gt;&lt;font
face="Calibri Light" size=2 color="#000000"&gt;A successful trial security incident enactment (manually or via an appropriate tool/platform) [M]</t>
  </si>
  <si>
    <t>CPDB/IMS-007</t>
  </si>
  <si>
    <t>Concerns/Operations</t>
  </si>
  <si>
    <t>Security Monitoring</t>
  </si>
  <si>
    <t>&lt;font face="Calibri Light" size="2" color="black"&gt;Please describe the solution's processes and technologies to proactively detect unauthorised or inappropriate use of the solution, including privileged and administrative access, and access by solution provider personnel?</t>
  </si>
  <si>
    <t>&lt;font face="Calibri Light" size=2 color=black&gt;Suitable system monitoring</t>
  </si>
  <si>
    <t>&lt;font color="black" face="Calibri Light"&gt;How would these systems integrate with Organisation security information and event management systems?&lt;br /&gt;&lt;br /&gt;&lt;font color="black" face="Calibri Light"&gt;If the proposed solution is As&amp;nbsp;A Service:&lt;br /&gt;&lt;font color="black" face="Calibri Light"&gt;* Please confirm that the above processes and systems are already in place.&lt;br /&gt;&lt;font color="black" face="Calibri Light"&gt;* What intrusion prevention and detection capabilities are in place? Please provide details of the technologies and capabilities employed.</t>
  </si>
  <si>
    <t>&lt;font face="Calibri Light" size=2 color="#000000"&gt;Acceptable informing response - e.g. against RFI/RFP evaluation or build architecture re intended system target state [M]&lt;br&gt;&lt;font
face="Calibri Light" size=2 color="#000000"&gt;Successfully receive endorsement from Organisation architecture governance for the target system solution architecture and design [M]&lt;br&gt;&lt;br&gt;&lt;font
face="Calibri Light" size=2 color="#000000"&gt;An independent and authorised as-built review of the target system confirms alignment to target system solution architecture and design  [C]&lt;br&gt;&lt;br&gt;&lt;font
face="Calibri Light" size=2 color="#000000"&gt;Acceptance of the capability by Organisation operations [M]&lt;br&gt;&lt;br&gt;&lt;font
face="Calibri Light" size=2 color="#000000"&gt;Acceptance of the capability by Organisation Certification and Accreditation [M]</t>
  </si>
  <si>
    <t>IMS-008</t>
  </si>
  <si>
    <t>Vulnerability management</t>
  </si>
  <si>
    <t>&lt;font face="Calibri Light" size="2" color="black"&gt;a) What processes and systems do you have in place to detect and manage vulnerabilities in the products and/or services being proposed?&lt;br /&gt;&lt;br /&gt;&lt;font face="Calibri Light" size="2" color="black"&gt;b) How often are application level vulnerability scans conducted? Are these independently performed or verified? Please provide a copy of the latest report(s).&lt;br /&gt;&lt;br /&gt;&lt;font face="Calibri Light" size="2" color="black"&gt;As a Service Client Service (additionally):&lt;br /&gt;&lt;br /&gt;&lt;font face="Calibri Light" size="2" color="black"&gt;c) Are regular network penetration tests conducted, and if so, how often? Are these independently conducted? Please provide a copy of the latest report(s).</t>
  </si>
  <si>
    <t>&lt;font face="Calibri Light" size=2 color=black&gt;Suitable vulnerability monitoring</t>
  </si>
  <si>
    <t>Concerns/Design/Qualities/Security/Accountability</t>
  </si>
  <si>
    <t>IMS-009</t>
  </si>
  <si>
    <t>Qualities/ISO-25010/Security</t>
  </si>
  <si>
    <t>Security audit</t>
  </si>
  <si>
    <t>&lt;font face="Calibri Light" size="2" color="black"&gt;What independent security audits have been conducted on the components of the solution? When were these conducted? Please provide a summary of the findings.</t>
  </si>
  <si>
    <t>&lt;font face="Calibri Light" size=2 color=black&gt;Suitable audit support</t>
  </si>
  <si>
    <t>Concerns/Direction/Resourcing</t>
  </si>
  <si>
    <t>CPDB/IMS-010</t>
  </si>
  <si>
    <t>Concerns/Governance</t>
  </si>
  <si>
    <t>Qualities/ISO-xxxxx/Governance/Resourcing</t>
  </si>
  <si>
    <t>Direction/Resourcing</t>
  </si>
  <si>
    <t>&lt;p&gt;&lt;font face="Calibri Light" size="2" color="black"&gt;Please describe your policy for screening, hiring, training, personnel who have access to customer systems and production data.&lt;/p&gt;</t>
  </si>
  <si>
    <t>&lt;font face="Calibri Light" size="2"&gt;&lt;font color="#000000"&gt;Towards ISO-25010/Security objectives, access to a solution's production data must be limited to authorized&amp;nbsp;and audited access by vetted and trained personnel.</t>
  </si>
  <si>
    <t>Test data, when not derived from production data (even obfuscated), does not require protection. &lt;p&gt;But storage and communication and access to production data, irrespective of its data classification, must meet stakeholder's expectations of Confidentiality.&amp;nbsp;&lt;/p&gt;</t>
  </si>
  <si>
    <t>&lt;font color="#000000" face="Calibri Light" size="2"&gt;Evaluate the response looking for the following qualities:&lt;p&gt;&lt;font color="#000000" face="Calibri Light" size="2"&gt;&lt;/p&gt;&lt;p&gt;&lt;ul&gt;&lt;li&gt;&lt;font color="#000000" face="Calibri Light" size="2"&gt;Maturity of the organisation, in that they understand the issue, have current agreements (eg: legal) and processes in place to train users&lt;/li&gt;&lt;li&gt;They are developing infrastructure within an environment that has&amp;nbsp;&amp;nbsp;ISO/IEC 27001&amp;nbsp;accreditation (eg: Azure, Amazon, etc.). Solutions deployed to vendor provided infrastructure is rarely acceptable.&lt;/li&gt;&lt;/ul&gt;&lt;/p&gt;</t>
  </si>
  <si>
    <t>CPDB/IMS-011</t>
  </si>
  <si>
    <t>Qualities/ISO-25010/Compatibility/Exportability</t>
  </si>
  <si>
    <t>Data Deletion</t>
  </si>
  <si>
    <t>&lt;font face="Calibri Light" size="2"&gt;&lt;font color="#000000"&gt;The organisation requires that any data held on our behalf in any target environment by service provider can be fully deleted at the organisation’s request (within an agreed time-frame) including on cessation of service.</t>
  </si>
  <si>
    <t>&lt;font face="Calibri Light" size=2 color=black&gt;Ensure adequate disposal of data as required by legislation and Organisation operational policy.</t>
  </si>
  <si>
    <t>&lt;font face="Calibri Light" size=2 color="#000000"&gt;Acceptable informing response - e.g. against RFI/RFP evaluation or build architecture re intended system target state [M]&lt;br&gt;&lt;font
face="Calibri Light" size=2 color="#000000"&gt;Successfully receive endorsement from Organisation architecture governance for the target system solution architecture and design [M]&lt;br&gt;&lt;br&gt;&lt;font
face="Calibri Light" size=2 color="#000000"&gt;An independent and authorised as-built review of the target system confirms alignment to target system solution architecture and design  [C]&lt;br&gt;&lt;br&gt;</t>
  </si>
  <si>
    <t>CPDB/IMS-012</t>
  </si>
  <si>
    <t>Data Migration (Out)</t>
  </si>
  <si>
    <t>The proposed solution&amp;nbsp;shall support the&amp;nbsp;migration of records from relevant systems as applicable.</t>
  </si>
  <si>
    <t>This allows the Organisation to store and use data within&amp;nbsp;the proposed solution&amp;nbsp;whilst ensuring the data is cleansed as appropriate.&lt;br /&gt;&lt;br /&gt;The business owner of each data source MUST approve the categories of data being migrated.&lt;br /&gt;&lt;br /&gt;Conformance to EA principles (e.g. master data repository MUST be considered).</t>
  </si>
  <si>
    <t>&lt;font face="Calibri Light" size=2 color="#000000"&gt;Acceptable informing response - e.g. against RFI/RFP evaluation or build architecture re intended system target state [M]&lt;br&gt;&lt;font
face="Calibri Light" size=2 color="#000000"&gt;Successfully receive endorsement from Organisation architecture governance for the target system solution architecture and design [M]&lt;br&gt;&lt;font
face="Calibri Light" size=2 color="#000000"&gt;Approval of data migration planning by relevant governance parties within the Organisation [M]&lt;br&gt;&lt;font
face="Calibri Light" size=2 color="#000000"&gt;Successful functional and migration testing confirms compliance [M]</t>
  </si>
  <si>
    <t>CPDB/OA-001a</t>
  </si>
  <si>
    <t>Concerns/Accreditation/Security</t>
  </si>
  <si>
    <t>Qualities/ISO-25010/Reliability/Availability;Qualities/ISO-25010/Reliability/Recoverability</t>
  </si>
  <si>
    <t>Application criticality 1</t>
  </si>
  <si>
    <t>&lt;font face="Calibri Light" size="2" color="black"&gt;The system is to support the Ministries definition for criticality of this business application as classified as:&lt;br /&gt;&lt;br /&gt;&lt;font face="Calibri Light" size="2" color="black"&gt;• Mission-critical, Tier 1&lt;br /&gt;&lt;br /&gt;&lt;font face="Calibri Light" size="2" color="black"&gt;Mission-critical: critical to the achievement of most or all of the Organisation’s critical business objectives and outcomes.&lt;br /&gt;&lt;br /&gt;&lt;font face="Calibri Light" size="2" color="black"&gt;Typically it will be responsible for funding distribution and management of national education services.&lt;br /&gt;&lt;br /&gt;&lt;font face="Calibri Light" size="2" color="black"&gt;Its unavailability to the business may:&lt;br /&gt;&lt;br /&gt;&lt;font face="Calibri Light" size="2" color="black"&gt;• result in major impact on or stop achievement of the Organisation’s critical business objectives and outcomes;&lt;br /&gt;&lt;font face="Calibri Light" size="2" color="black"&gt;• cause widespread financial loss, reduction of capability or loss of reputation for the Organisation, making it imperative to have strategies for managing the consequences and reducing likelihood of occurrence.</t>
  </si>
  <si>
    <t>&lt;font face="Calibri Light" size=2 color=black&gt;Align to Organisation defined application criticality</t>
  </si>
  <si>
    <t>&lt;font face="Calibri Light" size=2 color="#000000"&gt;Acceptable informing response - e.g. against RFI/RFP evaluation or build architecture re intended system target state [M]&lt;br&gt;&lt;font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color="#000000"&gt;Successful system testing [M]&lt;br&gt;&lt;font
face="Calibri Light" size=2 color="#000000"&gt;Continually demonstrable and acceptable SLA / KPIs to Organisation business and operational owners [M]</t>
  </si>
  <si>
    <t>CPDB/OA-001b</t>
  </si>
  <si>
    <t>Qualities/ISO-25010/Reliability/Availability</t>
  </si>
  <si>
    <t>Application criticality 2</t>
  </si>
  <si>
    <t>&lt;font face="Calibri Light" size="2" color="black"&gt;The system is to support the Ministries definition for criticality of this business application as classified as:&lt;br /&gt;&lt;br /&gt;&lt;font face="Calibri Light" size="2" color="black"&gt;• Mission-critical, Tier 2&lt;br /&gt;&lt;br /&gt;&lt;font face="Calibri Light" size="2" color="black"&gt;This application provides significant service to some of the Organisation’s critical business objectives and outcomes, but is not mission-critical. Typically it will be responsible for national education support services of high to medium impact and visibility.&lt;br /&gt;&lt;br /&gt;&lt;font face="Calibri Light" size="2" color="black"&gt;Its unavailability to the business may:&lt;br /&gt;&lt;br /&gt;&lt;font face="Calibri Light" size="2" color="black"&gt;• prevent the Organisation’s achievement of some critical business objectives and outcomes, or significantly interrupt the quality or timeliness of the outcomes;&lt;br /&gt;&lt;font face="Calibri Light" size="2" color="black"&gt;• have sizable financial loss, reduction of capability or loss of reputation for the Organisation, making a management strategy essential.</t>
  </si>
  <si>
    <t>CPDB/OA-001c</t>
  </si>
  <si>
    <t>Application criticality 3</t>
  </si>
  <si>
    <t>&lt;font face="Calibri Light" size="2" color="black"&gt;The system is to support the Ministries definition for criticality of this business application as classified as:&lt;br /&gt;&lt;br /&gt;&lt;font face="Calibri Light" size="2" color="black"&gt;• Mission-critical, Tier 3&lt;br /&gt;&lt;br /&gt;&lt;font face="Calibri Light" size="2" color="black"&gt;End User Desktop Productivity apps e.g. MS word, MS excel, IE; applications that can be considered locally or standalone installs.</t>
  </si>
  <si>
    <t>OA-002</t>
  </si>
  <si>
    <t>Application availability</t>
  </si>
  <si>
    <t>&lt;font face="Calibri Light" size="2" color="black"&gt;The application is to be available to all users during core hours for users to log on, and transact in the system.&lt;br /&gt;&lt;br /&gt;&lt;font face="Calibri Light" size="2" color="black"&gt;Core support hours: Mon-Fri: 07:30 – 18:00&lt;br /&gt;&lt;br /&gt;&lt;font face="Calibri Light" size="2" color="black"&gt;Available hours: 24x7 subject only to planned operational downtime&lt;br /&gt;&lt;br /&gt;&lt;font face="Calibri Light" size="2" color="black"&gt;Note: Core hours are when the application will be most heavily used by the user base and support (Organisation Service Desk) is available</t>
  </si>
  <si>
    <t>&lt;font face="Calibri Light" size=2 color=black&gt;Defines core and general availability dynamics of the system (which will become part of the SLA of target system system).</t>
  </si>
  <si>
    <t>&lt;font face="Calibri Light" size=2 color="#000000"&gt;Successfully receive endorsement from Organisation architecture governance for the target system solution architecture and design [M]&lt;br&gt;&lt;br&gt;&lt;font
face="Calibri Light" size=2 color="#000000"&gt;An independent and authorised as-built review of the target system confirms alignment to target system solution architecture and design  [C]&lt;br&gt;&lt;br&gt;&lt;font
face="Calibri Light" size=2 color="#000000"&gt;Successful system testing [M]&lt;br&gt;&lt;br&gt;&lt;font
face="Calibri Light" size=2 color="#000000"&gt;Continually demonstrable and acceptable SLA / KPIs to Organisation business and operational owners [M]</t>
  </si>
  <si>
    <t>OA-003</t>
  </si>
  <si>
    <t>Planned operational downtime</t>
  </si>
  <si>
    <t>&lt;font face="Calibri Light" size="2" color="black"&gt;Any planned downtime of the system will have prior agreement with the business owner and be scheduled prior to occurring.&lt;br /&gt;&lt;br /&gt;&lt;font face="Calibri Light" size="2" color="black"&gt;Note: The business application is to remain available during regular operational or maintenance processes.</t>
  </si>
  <si>
    <t>&lt;font face="Calibri Light" size=2 color=black&gt;Defines operational downtime dynamics of the system (which will become part of the SLA of target system system).</t>
  </si>
  <si>
    <t>&lt;font face="Calibri Light" size=2 color="#000000"&gt;Continually demonstrable and acceptable SLA / KPIs to Organisation business and operational owners [M]</t>
  </si>
  <si>
    <t>OA-004</t>
  </si>
  <si>
    <t>Reliability/availability target</t>
  </si>
  <si>
    <t>&lt;font face="Calibri Light" size="2" color="black"&gt;The system is to meet at least 99.85% up time in the application availability window as noted in OA-002 core hours.&lt;br /&gt;&lt;br /&gt;&lt;font face="Calibri Light" size="2" color="black"&gt;Unscheduled outage times based on availability of 99.85% of core hours is: 187 min per year&lt;br /&gt;&lt;br /&gt;&lt;font face="Calibri Light" size="2" color="black"&gt;Note: Up time is defined as- the user is able to log in, authenticate and successfully transact with the system. Unavailable is defined as the user is unable to do one or more of the following; log in, authenticate, or successfully transact with the system.&lt;br /&gt;&lt;br /&gt;&lt;font face="Calibri Light" size="2" color="black"&gt;No single system outage will exceed the 'Recovery Objectives' requirement.</t>
  </si>
  <si>
    <t>&lt;font face="Calibri Light" size=2 color=black&gt;Defines core reliability/availability of the system (which will become part of the SLA of target system system).</t>
  </si>
  <si>
    <t>RO-001a</t>
  </si>
  <si>
    <t>Recovery point objective : part a : non-catastrophic event</t>
  </si>
  <si>
    <t>&lt;font face="Calibri Light" size="2" color="black"&gt;The individual components of the system is to be recovered, as close as possible, to the point they were prior to the failure occurring. Minimum Maximum RPO is 15 minutes.&lt;br /&gt;&lt;br /&gt;&lt;font face="Calibri Light" size="2" color="black"&gt;Note: RPO is Measured by the date and time after the database is restored and log files are played into the database or file system as appropriate.</t>
  </si>
  <si>
    <t>&lt;font face="Calibri Light" size=2 color=black&gt;Defines the maximum data loss window for the system within a non-catastrophic event.&lt;br&gt;&lt;br&gt;&lt;font
face="Calibri Light" size=2 color=black&gt;In general terms a catastrophic event is defined as any natural or man-made incident, including terrorism, which results in extraordinary levels of damage or disruption such that it severely affects infrastructure, environment, economy, national morale, and/or government functions.</t>
  </si>
  <si>
    <t>RO-001b</t>
  </si>
  <si>
    <t>Recovery point objective : part b : catastrophic event</t>
  </si>
  <si>
    <t>&lt;font face="Calibri Light" size="2" color="black"&gt;The individual components of the system is to be recovered, as close as possible, to the point they were prior to the failure occurring. Minimum Maximum RPO is 24 hours.&lt;br /&gt;&lt;br /&gt;&lt;font face="Calibri Light" size="2" color="black"&gt;Note: RPO is Measured by the date and time after the database is restored and log files are played into the database or file system as appropriate.</t>
  </si>
  <si>
    <t>&lt;font face="Calibri Light" size=2 color=black&gt;Defines the maximum data loss window for the system within a catastrophic event.&lt;br&gt;&lt;br&gt;&lt;font
face="Calibri Light" size=2 color=black&gt;In general terms a catastrophic event is defined as any natural or man-made incident, including terrorism, which results in extraordinary levels of damage or disruption such that it severely affects infrastructure, environment, economy, national morale, and/or government functions.</t>
  </si>
  <si>
    <t>RO-002a</t>
  </si>
  <si>
    <t>Recovery time objectives : part a : non-catastrophic event : core components</t>
  </si>
  <si>
    <t>&lt;font face="Calibri Light" size="2" color="black"&gt;In the event of a single system failure the system is to be recovered within 4 hours for core components and services within the target system (as defined by the Organisation).&lt;br /&gt;&lt;br /&gt;&lt;font face="Calibri Light" size="2" color="black"&gt;Notes:&lt;br /&gt;&lt;br /&gt;&lt;font face="Calibri Light" size="2" color="black"&gt;a) In the case of disaster recovery being invoked for the Organisation (not just a single system failure) RTO is measured from the time the decision is made to initiate a disaster recovery response until the system is accessible and functioning for end users&lt;br /&gt;&lt;br /&gt;&lt;font face="Calibri Light" size="2" color="black"&gt;b) An RTO of 4 hours translates to a P2 being the highest possible service level support call As a Service Client P1 hAs a Service Client 2 hours resolution time</t>
  </si>
  <si>
    <t>&lt;font face="Calibri Light" size=2 color=black&gt;Defines the maximum outage window for the system within a non-catastrophic event.&lt;br&gt;&lt;br&gt;&lt;font
face="Calibri Light" size=2 color=black&gt;In general terms a catastrophic event is defined as any natural or man-made incident, including terrorism, which results in extraordinary levels of damage or disruption such that it severely affects infrastructure, environment, economy, national morale, and/or government functions.</t>
  </si>
  <si>
    <t>RO-002b</t>
  </si>
  <si>
    <t>Recovery time objectives : part b : non-catastrophic event : non-core components</t>
  </si>
  <si>
    <t>&lt;font face="Calibri Light" size="2" color="black"&gt;In the event of a single system failure the system is to be recovered within 24 hours for non-core components and services within the target system (as defined by the Organisation).&lt;br /&gt;&lt;br /&gt;&lt;font face="Calibri Light" size="2" color="black"&gt;Notes:&lt;br /&gt;&lt;br /&gt;&lt;font face="Calibri Light" size="2" color="black"&gt;a) In the case of disaster recovery being invoked for the Organisation (not just a single system failure) RTO is measured from the time the decision is made to initiate a disaster recovery response until the system is accessible and functioning for end users&lt;br /&gt;&lt;br /&gt;&lt;font face="Calibri Light" size="2" color="black"&gt;b) An RTO of 24 hours will be assigned a suitable priority level as applicable within the context of recovering non-core components of target during a non-catastrophic event recovery plan</t>
  </si>
  <si>
    <t>RO-002c</t>
  </si>
  <si>
    <t>Recovery time objectives : part c : catastrophic event</t>
  </si>
  <si>
    <t>&lt;font face="Calibri Light" size="2" color="black"&gt;In the event of a single system failure the system is to be recovered within 24 hours.&lt;br /&gt;&lt;br /&gt;&lt;font face="Calibri Light" size="2" color="black"&gt;Notes:&lt;br /&gt;&lt;br /&gt;&lt;font face="Calibri Light" size="2" color="black"&gt;a) In the case of disaster recovery being invoked for the Organisation (not just a single system failure) RTO is measured from the time the decision is made to initiate a disaster recovery response until the system is accessible and functioning for end users&lt;br /&gt;&lt;br /&gt;&lt;font face="Calibri Light" size="2" color="black"&gt;b) An RTO of 24 hours will be assigned a suitable priority level as applicable within the context of a catastrophic event recovery plan</t>
  </si>
  <si>
    <t>&lt;font face="Calibri Light" size=2 color=black&gt;Defines the maximum outage window for the system within a catastrophic event.&lt;br&gt;&lt;br&gt;&lt;font
face="Calibri Light" size=2 color=black&gt;In general terms a catastrophic event is defined as any natural or man-made incident, including terrorism, which results in extraordinary levels of damage or disruption such that it severely affects infrastructure, environment, economy, national morale, and/or government functions.</t>
  </si>
  <si>
    <t>IR-001</t>
  </si>
  <si>
    <t>Critical incident response time (P1)</t>
  </si>
  <si>
    <t>&lt;font face="Calibri Light" size="2" color="black"&gt;All critical incidents are to be responded to within 15 minutes and resolved within 2 hours. A critical (P1) incident is defined as - the operation of business activities has been critically impacted.&lt;br /&gt;&lt;br /&gt;&lt;font face="Calibri Light" size="2" color="black"&gt;Note: Critical incidents are to be logged via phone call to ensure efficient response and resolution, the only exception being incidents that have been automatically logged by monitoring systems (e.g. events).</t>
  </si>
  <si>
    <t>&lt;font face="Calibri Light" size=2 color=black&gt;Defines core incident response times of the system (which will become part of the SLA of target system).</t>
  </si>
  <si>
    <t>&lt;font face="Calibri Light" size=2 color="#000000"&gt;Successful endorsement from Organisation operations for target system security incident management planning [M]&lt;br&gt;&lt;br&gt;&lt;font
face="Calibri Light" size=2 color="#000000"&gt;A successful trial security incident enactment (manually or via an appropriate tool/platform) [S]&lt;br&gt;&lt;br&gt;&lt;font
face="Calibri Light" size=2 color="#000000"&gt;Continually demonstrable and acceptable SLA / KPIs to Organisation business and operational owners [M]</t>
  </si>
  <si>
    <t>IR-002</t>
  </si>
  <si>
    <t>Urgent incident response time (P2)</t>
  </si>
  <si>
    <t>&lt;font face="Calibri Light" size="2" color="black"&gt;All urgent incidents are to be responded to within 30 minutes and resolved within 4 hours. An urgent (P2) incident is defined as - the operation of business activities has been partially impacted.&lt;br /&gt;&lt;br /&gt;&lt;font face="Calibri Light" size="2" color="black"&gt;Note: Time is measured from the time the incident was phoned into the service desk or recorded in the Service Desk Tool (whichever comes first) and the time the Incident moved to an in progress/resolved status in the incident management tool.</t>
  </si>
  <si>
    <t>IR-003</t>
  </si>
  <si>
    <t>Normal incident response time (P3)</t>
  </si>
  <si>
    <t>&lt;font face="Calibri Light" size="2" color="black"&gt;All normal incidents are to be responded to within 4 hours and resolved within 1 day. A normal (P3) Incident is defined as - a supported service that is unavailable to a single user or users inconvenienced by an issue.&lt;br /&gt;&lt;br /&gt;&lt;font face="Calibri Light" size="2" color="black"&gt;Note: Time is measured from the time the incident was phoned into the service desk or recorded in the Service Desk Tool (whichever comes first) and the time the Incident moved to an in progress/resolved status in the incident management tool.</t>
  </si>
  <si>
    <t>IR-004</t>
  </si>
  <si>
    <t>Critical incident status update (P1)</t>
  </si>
  <si>
    <t>&lt;font face="Calibri Light" size="2" color="black"&gt;The status of a critical incident is to be communicated to the business every hour or as agreed.</t>
  </si>
  <si>
    <t>&lt;font face="Calibri Light" size=2 color=black&gt;Defines core incident status update requirements (which will become part of the SLA of target system).</t>
  </si>
  <si>
    <t>SE-007</t>
  </si>
  <si>
    <t>Role based security</t>
  </si>
  <si>
    <t>&lt;font face="Calibri Light" size="2" color="black"&gt;a) A user is only to be allowed access to the business functions their role or roles have authorisation for.&lt;br /&gt;&lt;br /&gt;&lt;font face="Calibri Light" size="2" color="black"&gt;b) A user can access the section (or sections) of the system that their role (or roles) has authorisation to.</t>
  </si>
  <si>
    <t>&lt;font face="Calibri Light" size=2 color=black&gt;Ensure the system is authorised according to relevant user roles, group and attributes.</t>
  </si>
  <si>
    <t>&lt;font face="Calibri Light" size=2 color="#000000"&gt;Successfully receive endorsement from Organisation architecture governance for the target system solution architecture and design [M]&lt;br&gt;&lt;br&gt;&lt;font
face="Calibri Light" size=2 color="#000000"&gt;An independent and authorised as-built review of the target system confirms alignment to target system solution architecture and design  [C]&lt;br&gt;&lt;br&gt;&lt;font
face="Calibri Light" size=2 color="#000000"&gt;Successful system testing [M]</t>
  </si>
  <si>
    <t>SE-008</t>
  </si>
  <si>
    <t>Multiple roles</t>
  </si>
  <si>
    <t>&lt;font face="Calibri Light" size="2" color="black"&gt;The system is to support a user having one or more roles.</t>
  </si>
  <si>
    <t>SE-009</t>
  </si>
  <si>
    <t>File upload and download</t>
  </si>
  <si>
    <t>&lt;font face="Calibri Light" size="2" color="black"&gt;The solution is to verify files being uploaded to or downloaded are secure (e.g. does not contain malware).&lt;br /&gt;&lt;br /&gt;&lt;font face="Calibri Light" size="2" color="black"&gt;The system is to perform verification on the following using configurable whitelists or settings:&lt;br /&gt;&lt;br /&gt;&lt;font face="Calibri Light" size="2" color="black"&gt;• Content type, file extension and actual content&lt;br /&gt;&lt;font face="Calibri Light" size="2" color="black"&gt;• Malware scanning and heuristics&lt;br /&gt;&lt;font face="Calibri Light" size="2" color="black"&gt;• Upload folder&lt;br /&gt;&lt;font face="Calibri Light" size="2" color="black"&gt;• Disable script execution&lt;br /&gt;&lt;font face="Calibri Light" size="2" color="black"&gt;• Upload size and number of files&lt;br /&gt;&lt;font face="Calibri Light" size="2" color="black"&gt;• The users session</t>
  </si>
  <si>
    <t>&lt;font face="Calibri Light" size=2 color=black&gt;Appropriate security in target solution.</t>
  </si>
  <si>
    <t>SE-010</t>
  </si>
  <si>
    <t>Data Protection at Rest</t>
  </si>
  <si>
    <t>&lt;font face="Calibri Light" size="2" color="black"&gt;Support suitable protection for data at rest to keep it from being disclosed to malicious entities who gain access to the data storage.&lt;br /&gt;&lt;br /&gt;&lt;font face="Calibri Light" size="2" color="black"&gt;This includes encryption of any system data stored in databases, documents, data files, log files or any other location where data is ptargetisted at rest.&lt;br /&gt;&lt;br /&gt;&lt;font face="Calibri Light" size="2" color="black"&gt;Note that implementing encryption at rest depends on the data information security classification; so databases should be able to be encrypted at database, table, or column granularity.&lt;br /&gt;&lt;br /&gt;&lt;font face="Calibri Light" size="2" color="black"&gt;Describe the methods to be used to satisfy this requirement and any limitations.</t>
  </si>
  <si>
    <t>SE-011</t>
  </si>
  <si>
    <t>Integration security</t>
  </si>
  <si>
    <t>&lt;font face="Calibri Light" size="2" color="black"&gt;APIs and other integration points will be effectively secured and encrypted to ensure authorised access and required confidentiality. Describe how this will be achieved.&lt;br /&gt;&lt;br /&gt;&lt;font face="Calibri Light" size="2" color="black"&gt;As a Service Client Service (additionally):&lt;br /&gt;&lt;br /&gt;&lt;font face="Calibri Light" size="2" color="black"&gt;How are interfaces secured separately in multi-tenanted environments?</t>
  </si>
  <si>
    <t>SE-012</t>
  </si>
  <si>
    <t>Transport Encryption</t>
  </si>
  <si>
    <t>&lt;font face="Calibri Light" size="2" color="black"&gt;The system will encrypt communication using NZISM approved protocols and cipher suites when it crosses data centre boundaries, public or external networks or leaves Australia or New Zealand.&lt;br /&gt;&lt;br /&gt;&lt;font face="Calibri Light" size="2" color="black"&gt;Network communication between components of the application (including browser and thin client) must be secure.&lt;br /&gt;&lt;br /&gt;&lt;font face="Calibri Light" size="2" color="black"&gt;Communications using HTTP or similar protocols (including web services) will use the NZISM approved Version of TLS (currently v1.2) along with SHA-2 or above. Please also describe the cypher method used.</t>
  </si>
  <si>
    <t>SE-013</t>
  </si>
  <si>
    <t>Web Services support of HTTPS</t>
  </si>
  <si>
    <t>&lt;font face="Calibri Light" size="2" color="black"&gt;All web service integration must be secure from intrusion by external parties and can identify which web service the system is talking to.&lt;br /&gt;&lt;br /&gt;&lt;font face="Calibri Light" size="2" color="black"&gt;The communication protocol shall be hypertext transfer protocol secure.</t>
  </si>
  <si>
    <t>SE-014</t>
  </si>
  <si>
    <t>Sensitive Parameters</t>
  </si>
  <si>
    <t>&lt;font face="Calibri Light" size="2" color="black"&gt;The system must encrypt any sensitive information (such as passwords) that is configured within an application or its data store.</t>
  </si>
  <si>
    <t>SE-015</t>
  </si>
  <si>
    <t>Credential handling requirements - Service accounts</t>
  </si>
  <si>
    <t>&lt;font face="Calibri Light" size="2" color="black"&gt;The following credential handling requirements will apply:&lt;br /&gt;&lt;font face="Calibri Light" size="2" color="black"&gt;• Credentials MUST NOT be installed in applications that will run on end user devices (either on the Organisation LAN or externally connected)&lt;br /&gt;&lt;font face="Calibri Light" size="2" color="black"&gt;• Credentials should not be in configuration files stored on server components. Note that for on premises solutions, credentials should be stored in Active Directory&lt;br /&gt;&lt;font face="Calibri Light" size="2" color="black"&gt;• Any credentials used should be set during the installation process&lt;br /&gt;&lt;font face="Calibri Light" size="2" color="black"&gt;• Any credentials used must be stored encrypted. The encryption key management processes must be clearly stated&lt;br /&gt;&lt;font face="Calibri Light" size="2" color="black"&gt;• Any encryption implemented must be implemented based on a cryptographic solution that has an evaluation recognised by GCSB&lt;br /&gt;&lt;font face="Calibri Light" size="2" color="black"&gt;• Any encryption implemented must use algorithms approved by GCSB&lt;br /&gt;&lt;font face="Calibri Light" size="2" color="black"&gt;• Different credentials must be used for installation of databases from those used for normal functional application database access by the application components&lt;br /&gt;&lt;font face="Calibri Light" size="2" color="black"&gt;• All accounts must be configured to operate with the least privilege required</t>
  </si>
  <si>
    <t>SE-016</t>
  </si>
  <si>
    <t>Least privilege</t>
  </si>
  <si>
    <t>&lt;font face="Calibri Light" size="2" color="black"&gt;A user has the least amount of privilege needed to perform their tasks to avoid risk of unauthorised activity (accidental or otherwise).</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</si>
  <si>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color="#000000"&gt;Acceptance of the capability by Organisation Certification and Accreditation [M]&lt;br&gt;&lt;font
face="Calibri Light" size=2 color="#000000"&gt;Successful system testing [M]</t>
  </si>
  <si>
    <t>SE-017</t>
  </si>
  <si>
    <t>Defence in depth</t>
  </si>
  <si>
    <t>&lt;font face="Calibri Light" size="2" color="black"&gt;The system is to remain secure if a layer's security is breached.&lt;br /&gt;&lt;br /&gt;&lt;font face="Calibri Light" size="2" color="black"&gt;Multiple layers of security are designed in the system, with roles such as gatekeeper, detection, response, or recovery. If one is breached the system will raise a notification message and will remain secure by the other layers of security.</t>
  </si>
  <si>
    <t>SE-018</t>
  </si>
  <si>
    <t>Separate and compartmentalise</t>
  </si>
  <si>
    <t>&lt;font face="Calibri Light" size="2" color="black"&gt;The system must remain secure if a there is a breach of part of the system. There must be a separation of components in the system. If there is a security breach in part of the system, the other parts of the system remain secure because of the separation.</t>
  </si>
  <si>
    <t>SE-019</t>
  </si>
  <si>
    <t>Fail securely</t>
  </si>
  <si>
    <t>&lt;font face="Calibri Light" size="2" color="black"&gt;If the system encounters a failure, the system is not accessed by unauthorised users. The system security is still robust and does not permit unintended access to data or operations.</t>
  </si>
  <si>
    <t>&lt;font face="Calibri Light" size=2 color=black&gt;Ensure adequate security controls in the case of a failure.</t>
  </si>
  <si>
    <t>SE-020</t>
  </si>
  <si>
    <t>Logging security data</t>
  </si>
  <si>
    <t>&lt;font face="Calibri Light" size="2" color="black"&gt;The system will not log security information such as access tokens, passwords, or security configuration items therefore this information cannot be obtained from system logs.</t>
  </si>
  <si>
    <t>&lt;font face="Calibri Light" size=2 color=black&gt;Ensure logging is done in a secure manner.&lt;br&gt;&lt;font
face="Calibri Light" size=2 color=black&gt; &lt;br&gt;&lt;font face="Calibri Light"
size=2 color=black&gt;Design note: Be aware of sub systems used in the target solution that do log such information and get business agreement to use them (e.g. ESL2 DEBUG logging)</t>
  </si>
  <si>
    <t>&lt;font face="Calibri Light" size=2 color="#000000"&gt;Successfully receive endorsement from Organisation architecture governance for the target system solution architecture and design [M]&lt;br&gt;&lt;br&gt;&lt;font
face="Calibri Light" size=2 color="#000000"&gt;An independent and authorised as-built review of the target system confirms alignment to target system solution architecture and design  [C]&lt;br&gt;&lt;br&gt;&lt;font
face="Calibri Light" size=2 color="#000000"&gt;Successful system testing [M]&lt;br&gt;&lt;font
face="Calibri Light" size=2 color="#000000"&gt;Acceptance of the capability by Organisation Certification and Accreditation [M]</t>
  </si>
  <si>
    <t>SE-021a</t>
  </si>
  <si>
    <t>User provisioning : part a : on-boarding</t>
  </si>
  <si>
    <t>&lt;font face="Calibri Light" size="2" color="black"&gt;The system is to provide efficient and effective mechanisms to manage provisioning / on-boarding of users – including an administrative interface, bulk provisioning facility, directory synchronisation, user management APIs and the ability to delegate administration for groups of users.</t>
  </si>
  <si>
    <t>&lt;font face="Calibri Light" size=2 color=black&gt;Support user provisioning management functions required by the Organisation.</t>
  </si>
  <si>
    <t>&lt;font face="Calibri Light" size=2 color="#000000"&gt;Successfully receive endorsement from Organisation architecture governance for the target system solution architecture and design [M]&lt;br&gt;&lt;br&gt;&lt;font
face="Calibri Light" size=2 color="#000000"&gt;Acceptance of the capability by Organisation operations [M]&lt;br&gt;&lt;font
face="Calibri Light" size=2 color="#000000"&gt;Successful system testing [M]&lt;br&gt;&lt;font
face="Calibri Light" size=2 color="#000000"&gt;Acceptance of the capability by Organisation Certification and Accreditation [M]</t>
  </si>
  <si>
    <t>SE-021b</t>
  </si>
  <si>
    <t>User de-provisioning : part b : off-boarding</t>
  </si>
  <si>
    <t>&lt;font face="Calibri Light" size="2" color="black"&gt;The system is to provide efficient and effective mechanisms to manage de-provisioning / off-boarding of users – including an administrative interface, bulk de-provisioning facility, directory synchronisation, user management APIs and the ability to delegate administration for groups of users.</t>
  </si>
  <si>
    <t>&lt;font face="Calibri Light" size=2 color=black&gt;Support user de-provisioning management functions required by the Organisation.</t>
  </si>
  <si>
    <t>&lt;font face="Calibri Light" size=2 color="#000000"&gt;Successfully receive endorsement from Organisation architecture governance for the target system solution architecture and design [M]&lt;br&gt;&lt;br&gt;&lt;font
face="Calibri Light" size=2 color="#000000"&gt;Acceptance of the capability by Organisation operations [M]&lt;br&gt;&lt;font
face="Calibri Light" size=2 color="#000000"&gt;Successful system testing [M]</t>
  </si>
  <si>
    <t>SE-022</t>
  </si>
  <si>
    <t>Authentication (general)</t>
  </si>
  <si>
    <t>&lt;font face="Calibri Light" size="2" color="black"&gt;Identification and authorisation mechanisms are to be in place to ensure only authorised users have access. The solution is to support externalised authentication of users through open standard protocols.&lt;br /&gt;&lt;br /&gt;&lt;font face="Calibri Light" size="2" color="black"&gt;Note: this requirement should be read in conjunction with requirements IFC-002 and IFC-006.&lt;br /&gt;&lt;br /&gt;&lt;font face="Calibri Light" size="2" color="black"&gt;Specify what authentication protocols your solution supports e.g. Security Assertion Markup Language (SAML) 2.0 and OpenID Connect.&lt;br /&gt;&lt;br /&gt;&lt;font face="Calibri Light" size="2" color="black"&gt;Specify which profiles, bindings and Versions are supported where relevant.&lt;br /&gt;&lt;br /&gt;&lt;font face="Calibri Light" size="2" color="black"&gt;Specify what authentication provider your solution supports e.g. RealMe, Azure AD, Google Sign-in, Facebook and note any constraints or limitations.</t>
  </si>
  <si>
    <t>&lt;font face="Calibri Light" size=2 color=black&gt;Supports logon of external target system users via Organisation approved authentication hubs.</t>
  </si>
  <si>
    <t>SE-023</t>
  </si>
  <si>
    <t>Privileged and administrative access controls</t>
  </si>
  <si>
    <t>&lt;font face="Calibri Light" size="2" color="black"&gt;The following additional controls are to be in place to ensure adequate protection of privileged and administrative functions (e.g. modification of account privileges, access to audit logs), including:&lt;br /&gt;&lt;br /&gt;&lt;font face="Calibri Light" size="2" color="black"&gt;• No standing access - elevated access will be granted to perform identified and approved tasks, and then promptly revoked.&lt;br /&gt;&lt;font face="Calibri Light" size="2" color="black"&gt;• Limited network access – network level access controls and/or a bastion host or jump box to ensure there is no direct access from untrusted networks.&lt;br /&gt;&lt;font face="Calibri Light" size="2" color="black"&gt;• Multi-factor authentication to reduce the impact of compromised credentials.&lt;br /&gt;&lt;font face="Calibri Light" size="2" color="black"&gt;• Logging and monitoring of all actions that individuals take while they have privileged access. This should include information about data or files transferred into or out of the production environment. These access and audit logs must be directly accessible to authorised Organisation staff.</t>
  </si>
  <si>
    <t>SE-024</t>
  </si>
  <si>
    <t>Secure Coding Practices</t>
  </si>
  <si>
    <t>&lt;font face="Calibri Light" size="2" color="black"&gt;The system design shall be consistent with the security principles documented by the Open Web Application Security Project (OWASP).</t>
  </si>
  <si>
    <t>&lt;font face="Calibri Light" size=2 color=black&gt;Security for the product must be implemented without locking the Organisation into using a specific vendor or technology.&lt;br&gt;&lt;br&gt;&lt;font
face="Calibri Light" size=2 color=black&gt;Note: OWASP 2013 top 10 Covers:&lt;br&gt;&lt;br&gt;&lt;font
face="Calibri Light" size=2 color=black&gt;A1: Injection&lt;br&gt;&lt;font
face="Calibri Light" size=2 color=black&gt;A2: Authentication and session management&lt;br&gt;&lt;font
face="Calibri Light" size=2 color=black&gt;A3: XSS (cross site scripting)&lt;br&gt;&lt;font
face="Calibri Light" size=2 color=black&gt;A4: Insecure direct object references&lt;br&gt;&lt;font
face="Calibri Light" size=2 color=black&gt;A5: Security misconfiguration&lt;br&gt;&lt;font
face="Calibri Light" size=2 color=black&gt;A6: Sensitive data exposureA7: Missing function level access control&lt;br&gt;&lt;font
face="Calibri Light" size=2 color=black&gt;A8: CSRF (cross site request forgery)&lt;br&gt;&lt;font
face="Calibri Light" size=2 color=black&gt;A9: Using components with known vulnerabilities&lt;br&gt;&lt;font
face="Calibri Light" size=2 color=black&gt;A10: Un-validated redirects and forwards</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</si>
  <si>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color="#000000"&gt;Acceptance of the capability by Organisation Certification and Accreditation [M]</t>
  </si>
  <si>
    <t>SE-025</t>
  </si>
  <si>
    <t>Conformance to the Privacy Act 1993</t>
  </si>
  <si>
    <t>&lt;font face="Calibri Light" size="2" color="black"&gt;The system shall comply with the Privacy Information Act and the changes coming in 2019.</t>
  </si>
  <si>
    <t>&lt;font face="Calibri Light" size=2 color=black&gt;To support compliance with the Privacy Information Act 1993.</t>
  </si>
  <si>
    <t>SE-026</t>
  </si>
  <si>
    <t>Sending of emails from the target solution</t>
  </si>
  <si>
    <t>&lt;font face="Calibri Light" size="2" color="black"&gt;The system shall integrate with the Organisation’s MS Exchange Server for sending of emails from target, including support for attachments and relevant integration to SEEMail.</t>
  </si>
  <si>
    <t>&lt;font face="Calibri Light" size=2 color=black&gt;To allow the service to send emails to recipients in a secure manner if they are enrolled in SEEMail.&lt;br&gt;&lt;br&gt;&lt;font
face="Calibri Light" size=2 color=black&gt;This also allows us to rationalise sending emails out of Organisation infrastructure via a pre-defined and existing route.</t>
  </si>
  <si>
    <t>PE-001</t>
  </si>
  <si>
    <t>Background processing</t>
  </si>
  <si>
    <t>&lt;span&gt;Any background processing must perform in a manner that does not adversely impact the performance of the system - during the core application availability window - beyond that stipulated by the Organisation.&lt;/span&gt;</t>
  </si>
  <si>
    <t>&lt;font face="Calibri Light" size=2 color=black&gt;Ensure the availability and performance of the system is not adversely impacted by background processing tasks.</t>
  </si>
  <si>
    <t>PE-002</t>
  </si>
  <si>
    <t>Transaction Volume</t>
  </si>
  <si>
    <t>&lt;font face="Calibri Light" size="2" color="black"&gt;a) The system is to maintain its performance levels during periods of high usage.&lt;br /&gt;&lt;br /&gt;&lt;font face="Calibri Light" size="2" color="black"&gt;b) The system is to process peak transactions while maintaining the system’s response times to end users.&lt;br /&gt;&lt;br /&gt;&lt;font face="Calibri Light" size="2" color="black"&gt;c) &amp;lt;UPDATE HERE&amp;gt; transactions per second is the current estimated peak, and can be used as the preliminary figure for initial system requirements.&lt;br /&gt;&lt;br /&gt;&lt;font face="Calibri Light" size="2" color="black"&gt;d) The system must be scalable to accommodate future levels of transaction volumes as indicated by the Organisation.</t>
  </si>
  <si>
    <t>&lt;font face="Calibri Light" size=2 color=black&gt;Ensure the availability and performance of the system is not adversely impacted by anticipated transaction volumes.&lt;br&gt;&lt;br&gt;&lt;font
face="Calibri Light" size=2 color=black&gt;Creation of a suitable testing strategy with defined transaction types/volumes and response times must be created and tested during operational readiness testing.</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</si>
  <si>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color="#000000"&gt;Successful performance testing [MA]&lt;br&gt;&lt;font
face="Calibri Light" size=2 color="#000000"&gt;Continually demonstrable and acceptable SLA / KPIs to Organisation business and operational owners [MA]</t>
  </si>
  <si>
    <t>PE-003</t>
  </si>
  <si>
    <t>Interaction Response Times</t>
  </si>
  <si>
    <t>&lt;font face="Calibri Light" size="2" color="black"&gt;The system will meet the following interaction response times under maximum load conditions, per concurrent user for standard interaction requests:&lt;br /&gt;&lt;br /&gt;&lt;font face="Calibri Light" size="2" color="black"&gt;• Maximum: 2 seconds (99% of results fall into this category)&lt;br /&gt;&lt;font face="Calibri Light" size="2" color="black"&gt;• Target: 1.5 seconds (95% of results fall into target)&lt;br /&gt;&lt;font face="Calibri Light" size="2" color="black"&gt;• Outstanding: 0.5 seconds (90% of results fall into outstanding)&lt;br /&gt;&lt;br /&gt;&lt;font face="Calibri Light" size="2" color="black"&gt;Note: An interaction is measured from the viewpoint of the user of the system, or the consumer of a service. The timing of an interaction starts from the system user, or service consumer, issuing a request and ends when the request has been completed and any resultant data returned to the issuer of the request.</t>
  </si>
  <si>
    <t>&lt;font face="Calibri Light" size=2 color=black&gt;Ensure the availability and performance of the system is not adversely impacted under maximum load conditions.&lt;br&gt;&lt;br&gt;&lt;font
face="Calibri Light" size=2 color=black&gt;Creation of a suitable testing strategy with defined transaction types/volumes and response times must be created and tested during operational readiness testing.</t>
  </si>
  <si>
    <t>PE-004a</t>
  </si>
  <si>
    <t>Performance Metrics : part a : Testable performance before a PRODUCTION release</t>
  </si>
  <si>
    <t>&lt;span&gt;The solution shall support performance testing before a PRODUCTION release.&lt;/span&gt;</t>
  </si>
  <si>
    <t>&lt;font face="Calibri Light" size=2 color=black&gt;Support ad-hoc determination of the performance of a candidate PRODUCTION release to ensure it is acceptable to end users.</t>
  </si>
  <si>
    <t>&lt;font face="Calibri Light" size=2 color="#000000"&gt;Successful performance testing [MA]&lt;br&gt;&lt;font
face="Calibri Light" size=2 color="#000000"&gt;Continually demonstrable and acceptable SLA / KPIs to Organisation business and operational owners [MA]</t>
  </si>
  <si>
    <t>PE-004b</t>
  </si>
  <si>
    <t>Performance Metrics : part b : Testable performance after a PRODUCTION release</t>
  </si>
  <si>
    <t>&lt;font face="Calibri Light" size="2" color="black"&gt;The solution shall support performance testing after a PRODUCTION release.</t>
  </si>
  <si>
    <t>&lt;font face="Calibri Light" size=2 color=black&gt;Support ad-hoc determination of the performance of the PRODUCTION system to ensure it is acceptable to end users.</t>
  </si>
  <si>
    <t>PE-004c</t>
  </si>
  <si>
    <t>Performance Metrics : part c : Historical KPI metrics in PRODUCTION</t>
  </si>
  <si>
    <t>&lt;font face="Calibri Light" size="2" color="black"&gt;The solution shall support historical records of Key Performance Indicators as determined by the Organisation (channels, duration, formats of reports).</t>
  </si>
  <si>
    <t>&lt;font face="Calibri Light" size=2 color=black&gt;Support historical KPI reports on key target channels and touch-points (align to toolsets supporting PE-004a/b as applicable)</t>
  </si>
  <si>
    <t>Solution Proposal/Development/Scalability</t>
  </si>
  <si>
    <t>CPDB/SC-001</t>
  </si>
  <si>
    <t>Concerns/Design;Undefined</t>
  </si>
  <si>
    <t>ISO-25010/Reliability/Availability/Scalability</t>
  </si>
  <si>
    <t>Scale Out/Up</t>
  </si>
  <si>
    <t>&lt;font face="Calibri Light" size="2" color="black"&gt;Please describe how the proposed solution is capable of remaining available while meeting sudden spikes in concurrent users.</t>
  </si>
  <si>
    <t>&lt;font face="Calibri Light" size="2" color="black"&gt;Towards meeting ISO-25010/Availability objectives, the proposed solution must be capable of automatically scaling horizontally out dynamically to multiple server devices, and then down again when no longer required.&lt;p&gt;&lt;font face="Calibri Light" size="2" color="black"&gt;&lt;/p&gt;</t>
  </si>
  <si>
    <t>Cloud based PaaS and CaaS cloud platforms provide this dynamic scaling ability practically out of the box.&lt;p&gt;For performance reasons, horizontal scaling is usually combined with shared memory caching system (eg: Redis Cache), a load balancer of some kind to spread incoming requests across the automatically provisioned virtual execution environments, and the use of session tokens that have no specific device affinity.&lt;/p&gt;</t>
  </si>
  <si>
    <t>&lt;font color="#000000" face="Calibri Light" size="2"&gt;Evaluate the response for the solution's ability to meet Qualities/ISO-25010/Reliability/Availability objectives.&lt;p&gt;&lt;span&gt;&lt;/span&gt;&lt;/p&gt;&lt;p&gt;&lt;span&gt;Note that&amp;nbsp; -- generally -- solutions that are installed to IaaS, whether in the cloud or not, generally do not meet this objective, nor can the issue be mitigated in any meaningful manner.&lt;/span&gt;&lt;/p&gt;</t>
  </si>
  <si>
    <t>SC-002</t>
  </si>
  <si>
    <t>Compressed assets</t>
  </si>
  <si>
    <t>&lt;font face="Calibri Light" size="2" color="black"&gt;Assets stored in the system will be compressed (zipped) as appropriate.</t>
  </si>
  <si>
    <t>&lt;font face="Calibri Light" size=2 color=black&gt;Reduce operational footprint re storage (being careful not to adversely impact on performance)</t>
  </si>
  <si>
    <t>Sighting</t>
  </si>
  <si>
    <t>US-001</t>
  </si>
  <si>
    <t>Data entry validation</t>
  </si>
  <si>
    <t>&lt;span&gt;The system will carry out syntactical and semantic validation when data is entered or modified at the user interface. In the event of validation failure for a record, all validation failures will be made available clearly indicating the failures.&lt;/span&gt;</t>
  </si>
  <si>
    <t>&lt;font face="Calibri Light" size=2 color=black&gt;Ensure all data entry is validated to conform to relevant business rules and protect the system from potentially malicious input.</t>
  </si>
  <si>
    <t>Automation</t>
  </si>
  <si>
    <t>US-002</t>
  </si>
  <si>
    <t>&lt;font face="Calibri Light" size="2" color="black"&gt;The application should not impede multiple (concurrent) users from using and maintaining the same data. The system will be designed so that data locking does not exclusively lock data in such way that it prevents other business users from using the system in an efficient manner.</t>
  </si>
  <si>
    <t>&lt;font face="Calibri Light" size=2 color=black&gt;One user using data will not impede another user from using and maintaining that same data. Lock management will be designed to support concurrent access to data for read, update and delete operations.</t>
  </si>
  <si>
    <t>&lt;font face="Calibri Light" size="2" color="#000000"&gt;Successfully receive endorsement from Organisation architecture governance for the target system solution architecture and design [M]&lt;br /&gt;&lt;font face="Calibri Light" size="2" color="#000000"&gt;An independent and authorised as-built review of the target system confirms alignment to target system solution architecture and design  [C]&lt;br /&gt;&lt;font face="Calibri Light" size="2" color="#000000"&gt;Successful system testing [M]</t>
  </si>
  <si>
    <t>US-004</t>
  </si>
  <si>
    <t>User Flow Following Exception</t>
  </si>
  <si>
    <t>&lt;font face="Calibri Light" size="2" color="black"&gt;a) The application is to provide the correct path for a user if an error or warning is encountered.&lt;br /&gt;&lt;font face="Calibri Light" size="2" color="black"&gt; &lt;br /&gt;&lt;font face="Calibri Light" size="2" color="black"&gt;b) In the event of an error the application does not allow the user to continue and explains what to do next in the error message displayed;&lt;br /&gt;&lt;br /&gt;&lt;font face="Calibri Light" size="2" color="black"&gt;c) In the event of a warning the application allows the user to continue and explains reason for warning in the warning message displayed.&lt;br /&gt;&lt;br /&gt;&lt;font face="Calibri Light" size="2" color="black"&gt;An error is defined as an instruction that is either not recognised by the system or is in violation of the procedural rules.&lt;br /&gt;&lt;br /&gt;&lt;font face="Calibri Light" size="2" color="black"&gt;A warning is defined as providing advice to the user that something (which may they may not be aware of) is unfavourable to (but does not violate) the rules in the system.</t>
  </si>
  <si>
    <t>&lt;font face="Calibri Light" size=2 color=black&gt;Ensure an appropriate level of detail is shown to the user when a system exception is encountered and what course of action the user will take.</t>
  </si>
  <si>
    <t>US-005a</t>
  </si>
  <si>
    <t>The user interface is to be designed to comply with accepted good practice for usability as defined within the New Zealand Government Web Toolkit Web Usability Standard (v1.2) or modern version.https://webtoolkit.govt.nz/standards/web-usability-standard-1-2/</t>
  </si>
  <si>
    <t>&lt;font face="Calibri Light" size=2 color=black&gt;Cross departmental requirement.&lt;br&gt;&lt;font
face="Calibri Light" size=2 color=black&gt; The system will confirm to the New Zealand all of government web usability standard.</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</si>
  <si>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color="#000000"&gt;Successful system testing [MA]</t>
  </si>
  <si>
    <t>US-005b</t>
  </si>
  <si>
    <t>UI Design : part a : Usability</t>
  </si>
  <si>
    <t>&lt;font face="Calibri Light" size="2" color="black"&gt;&lt;u&gt;The system design is to be consistent with NZ government Web Accessibility Standard (v1.0) or modern version.&lt;/u&gt;&lt;br /&gt;&lt;br /&gt;&lt;font face="Calibri Light" size="2" color="black"&gt;&lt;u&gt;https://webtoolkit.govt.nz/standards/web-accessibility-standard-1-0/&lt;/u&gt;</t>
  </si>
  <si>
    <t>US-005c</t>
  </si>
  <si>
    <t>UI Design : part b : Accessibility</t>
  </si>
  <si>
    <t>&lt;span&gt;The system UI design is to follow a standard industry approach.&lt;/span&gt;</t>
  </si>
  <si>
    <t>&lt;font face="Calibri Light" size=2 color=black&gt;The project will follow a standard approach (principles and processes) to support a UI which is aligned to current industry trends as applicable and endorsed by the Organisation.</t>
  </si>
  <si>
    <t>&lt;font face="Calibri Light" size=2 color="#000000"&gt;Successfully receive endorsement from Organisation architecture and business UI governance for target solution [M]&lt;br&gt;&lt;font
face="Calibri Light" size=2 color="#000000"&gt;An independent and authorised as-built review of the target system confirms alignment to target system solution architecture and design  [C]&lt;br&gt;&lt;font
face="Calibri Light" size=2 color="#000000"&gt;Successful system testing [M]</t>
  </si>
  <si>
    <t>US-006</t>
  </si>
  <si>
    <t>UI Design : part c : Recognised UI design standard</t>
  </si>
  <si>
    <t>&lt;font face="Calibri Light" size="2" color="black"&gt;The user interface is to allow a user to cancel out of any screen at any point in the process. It is permissible to interrupt the cancel in the case that there is unsaved data.</t>
  </si>
  <si>
    <t>&lt;font face="Calibri Light" size=2 color=black&gt;Usability requirement.</t>
  </si>
  <si>
    <t>Solution Proposal/Interface/Usability/Cancel</t>
  </si>
  <si>
    <t>CPDB/US-007</t>
  </si>
  <si>
    <t>Qualities/ISO-25010/Usability/Learnability</t>
  </si>
  <si>
    <t>Cancel</t>
  </si>
  <si>
    <t>&lt;font face="Calibri Light" size=2 color=black&gt;Contextual help&lt;br&gt;&lt;br&gt;&lt;font
face="Calibri Light" size=2 color=black&gt;The user interface is to provide contextual help (e.g. hover over field and help will be displayed or a ‘?’ button or link to display contextual help).</t>
  </si>
  <si>
    <t>Solution Proposal/Interface/Usability/Copy/Cut/Paste</t>
  </si>
  <si>
    <t>CPDB/US-008</t>
  </si>
  <si>
    <t>Qualities/ISO-25010/Usability/Operability</t>
  </si>
  <si>
    <t>Copy and Paste Ability</t>
  </si>
  <si>
    <t>&lt;font face="Calibri Light" size="2" color="black"&gt;The user interface is to allow users to copy informational data and textual content from the screen for pasting into another system. (i.e. output data and screen text).</t>
  </si>
  <si>
    <t>&lt;font face="Calibri Light" size="2" color="black"&gt;Towards meeting ISO-25010/Usability objectives, any user agent used should allow copy pasting of data.</t>
  </si>
  <si>
    <t>If the service's user agents are web browsers, this requirement is fulfilled by default.</t>
  </si>
  <si>
    <t>Undefined;Response Evaluation Panel</t>
  </si>
  <si>
    <t>&lt;font color="#000000" face="Calibri Light" size="2"&gt;If the User Agent is a web browser, this functionality is built in.&lt;p&gt;&lt;font color="#000000" face="Calibri Light" size="2"&gt;&lt;/p&gt;&lt;p&gt;&lt;font color="#000000" face="Calibri Light" size="2"&gt;If the solution requires something else than a web-browser to access the service, it should not be allowed.&lt;/p&gt;</t>
  </si>
  <si>
    <t>US-009</t>
  </si>
  <si>
    <t>Copying screen full of data</t>
  </si>
  <si>
    <t>&lt;span&gt;The user interface will allow the copying of all visible data entry fields on screen.&lt;/span&gt;</t>
  </si>
  <si>
    <t>&lt;font color="#000000" face="Calibri Light" size="2"&gt;Review the response for adherence to basic usability expectations.</t>
  </si>
  <si>
    <t>US-011</t>
  </si>
  <si>
    <t>Reference data</t>
  </si>
  <si>
    <t>&lt;font face="Calibri Light" size="2" color="black"&gt;For each controlled value selection list:&lt;br /&gt;&lt;br /&gt;&lt;font face="Calibri Light" size="2" color="black"&gt;• A user is able to enter multiple characters in order to position themselves in the list&lt;br /&gt;&lt;font face="Calibri Light" size="2" color="black"&gt;• A user is able to filter a drop-down list by entering a sequence of characters in the entry field&lt;br /&gt;&lt;font face="Calibri Light" size="2" color="black"&gt;• The list is scrollable, both upwards and downwards, for long lists</t>
  </si>
  <si>
    <t>US-012</t>
  </si>
  <si>
    <t>Printing screens</t>
  </si>
  <si>
    <t>&lt;font face="Calibri Light" size="2" color="black"&gt;Each screen within the user interface will have a presentable printable version. Website functionality including sidebars, headtarget, foottarget, and navigation will not be printed.</t>
  </si>
  <si>
    <t>US-013</t>
  </si>
  <si>
    <t>Read only fields</t>
  </si>
  <si>
    <t>&lt;font face="Calibri Light" size="2" color="black"&gt;Read only fields will be displayed using an agreed colour combination that allows users to recognise that the field is read only.</t>
  </si>
  <si>
    <t>US-014</t>
  </si>
  <si>
    <t>Screen resolution : support for responsive design</t>
  </si>
  <si>
    <t>&lt;font face="Calibri Light" size="2" color="black"&gt;Suggested (subject to verification) screen resolutions are as follows:&lt;br /&gt;&lt;br /&gt;&lt;font face="Calibri Light" size="2" color="black"&gt;• PC form factor screens should target a screen aspect ratio of 16:9.&lt;br /&gt;&lt;font face="Calibri Light" size="2" color="black"&gt;• Minimum screen resolution is 1366x768 (laptops) or 1680x1440 (PCs).&lt;br /&gt;&lt;font face="Calibri Light" size="2" color="black"&gt;• Optimal screen resolution is 1440x900 (laptops) or 1920x1080 (PCs).&lt;br /&gt;&lt;font face="Calibri Light" size="2" color="black"&gt;• For mobile devices (tablets/phones) a range of screen resolutions may be required to cater for good usability and should be stated by device type supported.</t>
  </si>
  <si>
    <t>&lt;font face="Calibri Light" size=2 color=black&gt;Ensure the system rendtarget correctly on the end user’s consuming device whist still maintaining the full functionality of target.</t>
  </si>
  <si>
    <t>US-015</t>
  </si>
  <si>
    <t>Horizontal scrolling</t>
  </si>
  <si>
    <t>&lt;span&gt;The user interface will not require horizontal scrolling with a display resolution of optimal size or greater.&lt;/span&gt;</t>
  </si>
  <si>
    <t>&lt;font face="Calibri Light" size=2 color=black&gt;Improve the usability of the system by not requiring a user to scroll horizontally.&lt;br&gt;&lt;font
face="Calibri Light" size=2 color=black&gt; Linked to US-014.</t>
  </si>
  <si>
    <t>US-016</t>
  </si>
  <si>
    <t>Vertical scrolling</t>
  </si>
  <si>
    <t>&lt;font face="Calibri Light" size="2" color="black"&gt;Vertical scrolling should be kept to a minimum, and should be by design.&lt;br /&gt;&lt;br /&gt;&lt;font face="Calibri Light" size="2" color="black"&gt;Where the viewport is smaller than the page size interactions within the viewport should not cause changes outside the viewport, for example clicking a button in the view port should not result in an error message appearing outside the viewport.</t>
  </si>
  <si>
    <t>&lt;font face="Calibri Light" size=2 color=black&gt;Improve the usability of the system by minimising the need for a user to scroll vertically.&lt;br&gt;&lt;font
face="Calibri Light" size=2 color=black&gt; Linked to US-014.</t>
  </si>
  <si>
    <t>US-017</t>
  </si>
  <si>
    <t>Scrolling with Mouse wheel or similar (at the cursor location)</t>
  </si>
  <si>
    <t>&lt;font face="Calibri Light" size="2" color="black"&gt;Using the mouse wheel (or similar control such as touch) to scroll up and down will result in the screen of data that is currently visible being scrolled and NOT any values for specific fields or controls.</t>
  </si>
  <si>
    <t>US-018</t>
  </si>
  <si>
    <t>Unsaved Data</t>
  </si>
  <si>
    <t>&lt;font face="Calibri Light" size="2" color="black"&gt;If user elects to exit a transaction without saving entered or updated data the user interface will notify them that they have unsaved changes and request confirmation of the decision to exit.</t>
  </si>
  <si>
    <t>US-019</t>
  </si>
  <si>
    <t>Visibility of data</t>
  </si>
  <si>
    <t>&lt;font face="Calibri Light" size="2" color="black"&gt;If the data within a field is greater than the screen can display then a mechanism will be provided to view the data (such as scrolling or popup notes that activate as the mouse pointer is hovered over the field).</t>
  </si>
  <si>
    <t>US-020a</t>
  </si>
  <si>
    <t>Ease of access for end users : part a : Internal Organisation LAN users</t>
  </si>
  <si>
    <t>&lt;span&gt;Internal Organisation LAN users shall have an accessible link for the landing page of the target system via the Organisation’s home page.&lt;/span&gt;</t>
  </si>
  <si>
    <t>&lt;font face="Calibri Light" size=2 color=black&gt;To support ease of access for the user.</t>
  </si>
  <si>
    <t>&lt;font face="Calibri Light" size=2 color="#000000"&gt;Successful system testing [M]</t>
  </si>
  <si>
    <t>US-020b</t>
  </si>
  <si>
    <t>Ease of access for end users : part b : External users</t>
  </si>
  <si>
    <t>&lt;font face="Calibri Light" size="2" color="black"&gt;External users shall have an accessible link for the landing page of the target system if appropriate - e.g. via their school’s intranet home page.</t>
  </si>
  <si>
    <t>IN-001</t>
  </si>
  <si>
    <t>Master Reference Data</t>
  </si>
  <si>
    <t>&lt;font face="Calibri Light" size="2" color="black"&gt;The system is to adhere to the Organisation’s Master Reference Data Standards, in particular:&lt;br /&gt;&lt;br /&gt;&lt;font face="Calibri Light" size="2" color="black"&gt;• Reuse existing master reference data where it exists or&lt;br /&gt;&lt;font face="Calibri Light" size="2" color="black"&gt;• Create new master reference data (refer to the Organisation's good practice guide for creating new master reference data or relevant industry standards/concepts)&lt;br /&gt;&lt;br /&gt;&lt;font face="Calibri Light" size="2" color="black"&gt;Reference data must be represented in the database (enumeration in application code is insufficient)</t>
  </si>
  <si>
    <t>&lt;font face="Calibri Light" size=2 color=black&gt;Align to Organisation enterprise architecture principles to greatly improve support and interoperability between systems.</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</si>
  <si>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t>
  </si>
  <si>
    <t>IN-002</t>
  </si>
  <si>
    <t>Integration technologies</t>
  </si>
  <si>
    <t>&lt;font face="Calibri Light" size="2" color="black"&gt;The system is to use Organisation preferred integration technologies as appropriate to meet requirements:&lt;br /&gt;&lt;br /&gt;&lt;font face="Calibri Light" size="2" color="black"&gt;• Appropriately secure RESTful services for transactions&lt;br /&gt;&lt;font face="Calibri Light" size="2" color="black"&gt;• ETL is used for data integration into and out of business data stores, data warehouses, and where data is made available external to the Organisation&lt;br /&gt;&lt;font face="Calibri Light" size="2" color="black"&gt;• SSIS is used for application and operational purposes</t>
  </si>
  <si>
    <t>&lt;font face="Calibri Light" size=2 color="#000000"&gt;Successfully receive endorsement from Organisation architecture governance for the target system solution architecture and design [M]&lt;br&gt;&lt;br&gt;&lt;font
face="Calibri Light" size=2 color="#000000"&gt;An independent and authorised as-built review of the target system confirms alignment to target system solution architecture and design  [C]&lt;br&gt;&lt;br&gt;</t>
  </si>
  <si>
    <t>IN-003</t>
  </si>
  <si>
    <t>API coverage</t>
  </si>
  <si>
    <t>&lt;font face="Calibri Light" size="2" color="black"&gt;To enable flexibility around future integration and channel strategy requirements, the solution is to expose all core functionality and data import/export through published APIs.&lt;br /&gt;&lt;br /&gt;&lt;ul&gt;&lt;li&gt;&lt;font face="Calibri Light" size="2" color="black"&gt;APIs will be supported with software development kits (SDKs) including command line interfaces and wrapptarget for common programming languages.&lt;/li&gt;&lt;/ul&gt;</t>
  </si>
  <si>
    <t>IN-004</t>
  </si>
  <si>
    <t>Support for IPv4/6 network connectivity</t>
  </si>
  <si>
    <t>&lt;font face="Calibri Light" size="2" color="black"&gt;Support IPv4 and IPv6 end users access to the target solution.</t>
  </si>
  <si>
    <t>&lt;font face="Calibri Light" size=2 color=black&gt;Support users of the system via all available network addressing versions.&lt;br&gt;&lt;br&gt;&lt;font
face="Calibri Light" size=2 color=black&gt;Ensure all end users of target can consume the system across:&lt;br&gt;&lt;br&gt;&lt;font
face="Calibri Light" size=2 color=black&gt;a) IPv4 pure client&lt;br&gt;&lt;font
face="Calibri Light" size=2 color=black&gt;b) IPv6 pure client&lt;br&gt;&lt;font
face="Calibri Light" size=2 color=black&gt;c) IPv4/IPv6 dual stack client</t>
  </si>
  <si>
    <t>&lt;font face="Calibri Light" size=2 color="#000000"&gt;Successfully receive endorsement from Organisation architecture governance for the target system solution architecture and design [M]&lt;br&gt;&lt;br&gt;&lt;font
face="Calibri Light" size=2 color="#000000"&gt;An independent and authorised as-built review of the target system confirms alignment to target system solution architecture and design  [C]&lt;br&gt;&lt;br&gt;&lt;font
face="Calibri Light" size=2 color="#000000"&gt;Successful system testing [MA]</t>
  </si>
  <si>
    <t>IN-005a</t>
  </si>
  <si>
    <t>All of Government API standard : part a : Internal APIs</t>
  </si>
  <si>
    <t>&lt;font face="Calibri Light" size="2" color="black"&gt;Adopt the AoG API standard for APIs.</t>
  </si>
  <si>
    <t>&lt;font face="Calibri Light" size=2 color=black&gt;Align to AoG API standards to greatly improve support and interoperability between systems.</t>
  </si>
  <si>
    <t>IN-005b</t>
  </si>
  <si>
    <t>All of Government API standard : part b : External APIs</t>
  </si>
  <si>
    <t>&lt;font face="Calibri Light" size=2 color=black&gt;Align to AoG API standards to greatly improve support and interoperability between systems.&lt;br&gt;&lt;font
face="Calibri Light" size=2 color=black&gt; Note: The current scope of target does not include external APIs but this NFR is listed for future openness.</t>
  </si>
  <si>
    <t>TR-001</t>
  </si>
  <si>
    <t>Application exception logging</t>
  </si>
  <si>
    <t>&lt;font face="Calibri Light" size="2" color="black"&gt;The system is to log any exceptions to an appropriate log and make the information accessible to a system administrator role.</t>
  </si>
  <si>
    <t>&lt;font face="Calibri Light" size=2 color=black&gt;Ensure adequate exception logging to support discovery and diagnosis of errors by appropriate support persons.</t>
  </si>
  <si>
    <t>TR-002</t>
  </si>
  <si>
    <t>Application logging in the audit trail</t>
  </si>
  <si>
    <t>&lt;font face="Calibri Light" size="2" color="black"&gt;&lt;u&gt;a) The system is to capture the appropriate level of audit information for all transactions that read, create, update or delete data.&lt;/u&gt;&lt;br /&gt;&lt;br /&gt;&lt;font face="Calibri Light" size="2" color="black"&gt;&lt;u&gt;b) Technical and business users reading audit trail data can determine, for all transactions that read, created, updated or deleted:&lt;/u&gt;&lt;br /&gt;&lt;br /&gt;&lt;font face="Calibri Light" size="2" color="black"&gt;&lt;u&gt;• Who (user / system)&lt;/u&gt;&lt;br /&gt;&lt;font face="Calibri Light" size="2" color="black"&gt;&lt;u&gt;• Date and time of action&lt;/u&gt;&lt;br /&gt;&lt;font face="Calibri Light" size="2" color="black"&gt;&lt;u&gt;• Copy of fields prior to change&lt;/u&gt;&lt;br /&gt;&lt;font face="Calibri Light" size="2" color="black"&gt;&lt;u&gt;• Copy of fields prior after change&lt;/u&gt;&lt;br /&gt;&lt;font face="Calibri Light" size="2" color="black"&gt;&lt;u&gt;• Audit information will be un-editable, and directly accessible to authorised Organisation staff&lt;/u&gt;</t>
  </si>
  <si>
    <t>&lt;font face="Calibri Light" size=2 color=black&gt;Ensure all data access is audited to support audit activities as required,</t>
  </si>
  <si>
    <t>FL-001</t>
  </si>
  <si>
    <t>Configuration</t>
  </si>
  <si>
    <t>&lt;font face="Calibri Light" size="2" color="black"&gt;General system configuration is to be implemented in the application with the use of configurable parameters.</t>
  </si>
  <si>
    <t>&lt;font face="Calibri Light" size=2 color=black&gt;Ensure general system configuration changes can be made without having to perform coding changes in the system.</t>
  </si>
  <si>
    <t>FL-002</t>
  </si>
  <si>
    <t>Concerns/System/Development</t>
  </si>
  <si>
    <t>ISO-25010/Security</t>
  </si>
  <si>
    <t>Functionality Componentisation</t>
  </si>
  <si>
    <t>&lt;font face="Calibri Light" size="2" color="black"&gt;Functionality is to be supported via discrete components to support suitably decoupled system architecture.</t>
  </si>
  <si>
    <t>&lt;font face="Calibri Light" size=2 color=black&gt;The solution implementation should not impede updates to discreet components of the core product set (avoid having to do a full release of the whole solution).</t>
  </si>
  <si>
    <t>FL-003</t>
  </si>
  <si>
    <t>Multi-tier structure</t>
  </si>
  <si>
    <t>&lt;font face="Calibri Light" size="2" color="black"&gt;The solution is to be flexible and reusable by segregating the application into tierst.&lt;br /&gt;&lt;br /&gt;&lt;font face="Calibri Light" size="2" color="black"&gt;For example, the target solution may consist of separate web, application, enterprise, service, and data layers as applicable.</t>
  </si>
  <si>
    <t>&lt;font face="Calibri Light" size=2 color=black&gt;Supports maintainability and conforms to industry standard architecture re flexibility and resiliency.</t>
  </si>
  <si>
    <t>FL-005a</t>
  </si>
  <si>
    <t>Database abstraction : part a : Introduce a data access layer (DAL)</t>
  </si>
  <si>
    <t>&lt;font face="Calibri Light" size="2" color="black"&gt;The solution must support a data access layer (DAL) to provide data abstraction independent of any vendor specific data access function.</t>
  </si>
  <si>
    <t>&lt;font face="Calibri Light" size=2 color=black&gt;A data abstraction layer exists over the database to provide database vendor independence.</t>
  </si>
  <si>
    <t>FL-005b</t>
  </si>
  <si>
    <t>Database abstraction : part b : Utilisation of standard cloud database technologies</t>
  </si>
  <si>
    <t>&lt;ol&gt;&lt;li&gt;&lt;font face="Calibri Light" size="2" color="black"&gt;The solution should support the utilisation of standard cloud database technologies as part of delivering on FL-003.&lt;/li&gt;&lt;/ol&gt;</t>
  </si>
  <si>
    <t>&lt;font face="Calibri Light" size=2 color=black&gt;N-tier architecture, defence in depth, alignment to industry standard deployment patterns.&lt;br&gt;&lt;br&gt;&lt;font
face="Calibri Light" size=2 color=black&gt;Preference for well-established cloud technologies and satisfactorily completed GCIO cloud framework adoption questions.</t>
  </si>
  <si>
    <t>FL-006</t>
  </si>
  <si>
    <t>Business logic processing</t>
  </si>
  <si>
    <t>&lt;font face="Calibri Light" size="2" color="black"&gt;a) The solution is to use a data access layer (DAL) to simplify access to stored data.&lt;br /&gt;&lt;br /&gt;&lt;font face="Calibri Light" size="2" color="black"&gt;b) There is no business logic processing completed in the DAL.&lt;br /&gt;&lt;br /&gt;&lt;font face="Calibri Light" size="2" color="black"&gt;c) Business logic processing is mapped to the DAL not in it.</t>
  </si>
  <si>
    <t>&lt;font face="Calibri Light" size=2 color=black&gt;Ensure business logic resides above the data access layer re industry standard deployment patterns.</t>
  </si>
  <si>
    <t>PT-001</t>
  </si>
  <si>
    <t>64 bit operating systems</t>
  </si>
  <si>
    <t>&lt;font face="Calibri Light" size="2" color="black"&gt;All server components and client components of the system are to be compatible with 64 bit operating systems.</t>
  </si>
  <si>
    <t>&lt;font face="Calibri Light" size=2 color=black&gt;Support for modern operating systems.</t>
  </si>
  <si>
    <t>PT-002</t>
  </si>
  <si>
    <t>OnPrem/IaaS</t>
  </si>
  <si>
    <t xml:space="preserve"> Server platform</t>
  </si>
  <si>
    <t>&lt;font face="Calibri Light" size="2" color="black"&gt;On Premise:&lt;br /&gt;&lt;br /&gt;&lt;br /&gt;&lt;font face="Calibri Light" size="2" color="black"&gt;The system will support implementation on the Organisation's infrastructure platform&lt;br /&gt;&lt;br /&gt;&lt;font face="Calibri Light" size="2" color="black"&gt;• Windows Server 2012 R2&lt;br /&gt;&lt;font face="Calibri Light" size="2" color="black"&gt;• Windows Server 2016&lt;br /&gt;&lt;font face="Calibri Light" size="2" color="black"&gt;• System Centre Configuration Manager 2012&lt;br /&gt;&lt;font face="Calibri Light" size="2" color="black"&gt;• Can operate in both physical and virtual environments</t>
  </si>
  <si>
    <t>PT-003a</t>
  </si>
  <si>
    <t>Web browser support : part a : Internal Organisation LAN users</t>
  </si>
  <si>
    <t>&lt;font face="Calibri Light" size="2" color="black"&gt;The user interface is to provide consistent and valid behaviour on a range of Organisation approved browsers/operating systems for internal Organisation users.</t>
  </si>
  <si>
    <t>&lt;font face="Calibri Light" size=2 color=black&gt;Ensure internal Organisation LAN users of target can utilise the system on standard Organisation devices and software.</t>
  </si>
  <si>
    <t>&lt;font face="Calibri Light" size=2 color="#000000"&gt;Successfully receive endorsement from Organisation architecture governance for the target system solution architecture and design [M]&lt;br&gt;&lt;br&gt;&lt;font
face="Calibri Light" size=2 color="#000000"&gt;An independent and authorised as-built review of the target system confirms alignment to target system solution architecture and design  [C]&lt;br&gt;&lt;br&gt;&lt;font
face="Calibri Light" size=2 color="#000000"&gt;Successful periodic system testing [MA]</t>
  </si>
  <si>
    <t>PT-003b</t>
  </si>
  <si>
    <t>Web browser support : part b : External users</t>
  </si>
  <si>
    <t>&lt;font face="Calibri Light" size="2" color="black"&gt;The user interface must provide consistent and valid behaviour on a range of Organisation approved browsers/operating systems for external users.</t>
  </si>
  <si>
    <t>&lt;font face="Calibri Light" size=2 color=black&gt;Ensure external users of target can utilise the system on standard Organisation approved browsers and operating systems.&lt;br&gt;&lt;br&gt;&lt;font
face="Calibri Light" size=2 color=black&gt;Such a list of approved browsers and operating systems will need to be maintained as part of target BAU activities (including relevant periodic testing).</t>
  </si>
  <si>
    <t>&lt;font face="Calibri Light" size=2 color="#000000"&gt;Successfully receive endorsement from Organisation architecture governance for the target system solution architecture and design [M]&lt;br&gt;&lt;font
face="Calibri Light" size=2 color="#000000"&gt;An independent and authorised as-built review of the target system confirms alignment to target system solution architecture and design  [C]&lt;br&gt;&lt;font
face="Calibri Light" size=2 color="#000000"&gt;Successful periodic system testing [MA]</t>
  </si>
  <si>
    <t>PT-004</t>
  </si>
  <si>
    <t>Web browser standards</t>
  </si>
  <si>
    <t>&lt;font face="Calibri Light" size="2" color="black"&gt;Web browsers are to support the following web standards:&lt;br /&gt;&lt;br /&gt;&lt;font face="Calibri Light" size="2" color="black"&gt;• Markup Languages; HTML 5&lt;br /&gt;&lt;font face="Calibri Light" size="2" color="black"&gt;• Stylesheets; CSS levels 2.1, 3, and CSS 4, all W3C recommended modules&lt;br /&gt;&lt;font face="Calibri Light" size="2" color="black"&gt;• Document object model; DOM level 3, ECMA-262 ECMAScript 5.1 (see standards note below)&lt;br /&gt;&lt;font face="Calibri Light" size="2" color="black"&gt;• Web content accessibility; W3C web content accessibility guidelines&lt;br /&gt;&lt;br /&gt;&lt;font face="Calibri Light" size="2" color="black"&gt;The solution web interfaces will not rely on technologies such as:&lt;br /&gt;&lt;br /&gt;&lt;font face="Calibri Light" size="2" color="black"&gt;• ActiveX&lt;br /&gt;&lt;font face="Calibri Light" size="2" color="black"&gt;• Adobe Flash, Flex, or AIR&lt;br /&gt;&lt;font face="Calibri Light" size="2" color="black"&gt;• Microsoft ClickOnce&lt;br /&gt;&lt;font face="Calibri Light" size="2" color="black"&gt;• Java or JavaFX&lt;br /&gt;&lt;font face="Calibri Light" size="2" color="black"&gt;• Embarcadero DataSnap&lt;br /&gt;&lt;font face="Calibri Light" size="2" color="black"&gt;• Microsoft Remote Desktop Services, or similar&lt;br /&gt;&lt;font face="Calibri Light" size="2" color="black"&gt;• Platform specific mobile or browser apps</t>
  </si>
  <si>
    <t>&lt;font face="Calibri Light" size=2 color=black&gt;Ensure target is easily consumable to end users by being built using appropriate and standard web technologies – i.e. users do not require client browser plugins/fat-client software.</t>
  </si>
  <si>
    <t>PT-005</t>
  </si>
  <si>
    <t>Web client devices – form factor</t>
  </si>
  <si>
    <t>&lt;font face="Calibri Light" size="2" color="black"&gt;The solution is to provide responsive user interfaces that support and provide good usability on both mobile and PC form factor based devices.</t>
  </si>
  <si>
    <t>&lt;font face="Calibri Light" size=2 color=black&gt;Support a multitude of end user devices. Ensure the target system is not limited to only PC form factors but also support relevant tablets/mobile devices.</t>
  </si>
  <si>
    <t>PT-006</t>
  </si>
  <si>
    <t>Robots Exclusion Protocol</t>
  </si>
  <si>
    <t>&lt;font face="Calibri Light" size="2" color="black"&gt;a) Access to externally facing websites for web robots (unauthenticated automated web clients/crawltarget used by search engines) will be enabled.&lt;br /&gt;&lt;br /&gt;&lt;font face="Calibri Light" size="2" color="black"&gt;b) The robots.txt file will be used if required to restrict access to robots, or to restrict access to directories. The following robots will be enabled:&lt;br /&gt;&lt;br /&gt;&lt;font face="Calibri Light" size="2" color="black"&gt;• The various googlebots&lt;br /&gt;&lt;font face="Calibri Light" size="2" color="black"&gt;• The msn and bing bots&lt;br /&gt;&lt;font face="Calibri Light" size="2" color="black"&gt;• The archive.org bot&lt;br /&gt;&lt;font face="Calibri Light" size="2" color="black"&gt;• The meta robot tag will not be used&lt;br /&gt;&lt;br /&gt;&lt;font face="Calibri Light" size="2" color="black"&gt;c) Robots should be allowed to see the following content, in addition to the base HTML and the before mentioned robots enabled:&lt;br /&gt;&lt;br /&gt;&lt;font face="Calibri Light" size="2" color="black"&gt;• CSS&lt;br /&gt;&lt;font face="Calibri Light" size="2" color="black"&gt;• Javascript&lt;br /&gt;&lt;font face="Calibri Light" size="2" color="black"&gt;• Images&lt;br /&gt;&lt;font face="Calibri Light" size="2" color="black"&gt;• Files&lt;br /&gt;&lt;font face="Calibri Light" size="2" color="black"&gt;• Base HTML</t>
  </si>
  <si>
    <t>&lt;font face="Calibri Light" size=2 color=black&gt;Part of SEO (Search Engine Optimisation) for target to proactively manage how search results for target content is displayed via search engines such as Google and Bing etc.</t>
  </si>
  <si>
    <t>PT-007</t>
  </si>
  <si>
    <t>Sitemaps (external portal only)</t>
  </si>
  <si>
    <t>&lt;font face="Calibri Light" size="2" color="black"&gt;The system will use sitemaps to inform search engines about pages, on their sites, that are available for crawling.</t>
  </si>
  <si>
    <t>PT-009</t>
  </si>
  <si>
    <t>Client software dependencies</t>
  </si>
  <si>
    <t>&lt;font face="Calibri Light" size="2" color="black"&gt;Any client software is to be self-contained and will NOT depend on third party software being installed (for example Microsoft Outlook or other Office components).&lt;br /&gt;&lt;br /&gt;&lt;font face="Calibri Light" size="2" color="black"&gt;The only exception being as approved by the Organisation.</t>
  </si>
  <si>
    <t>&lt;font face="Calibri Light" size=2 color=black&gt;Ensures the only users of the system that may require specialist client software are target support users.</t>
  </si>
  <si>
    <t>RU-001</t>
  </si>
  <si>
    <t>Service Oriented Architecture (SOA)</t>
  </si>
  <si>
    <t>&lt;font face="Calibri Light" size="2" color="black"&gt;a) All interfaces provided by the system As a Service Client service are to be able to be reused across other applications&lt;br /&gt;&lt;br /&gt;&lt;font face="Calibri Light" size="2" color="black"&gt;b) Application functionality designed As a Service Client service is independent of vendor, product or technology and can be used across other applications&lt;br /&gt;&lt;br /&gt;&lt;font face="Calibri Light" size="2" color="black"&gt;c) Access to services is subject to authentication and authorisation.&lt;br /&gt;&lt;br /&gt;&lt;ul&gt;&lt;li&gt;&lt;font face="Calibri Light" size="2" color="black"&gt;d) The system interfaces will adhere to RESTful SOA principles and practices using JSON and a messaging paradigm.&lt;/li&gt;&lt;/ul&gt;</t>
  </si>
  <si>
    <t>RU-002</t>
  </si>
  <si>
    <t>Re-use of services</t>
  </si>
  <si>
    <t>&lt;font face="Calibri Light" size="2" color="black"&gt;Services are to be developed so they can be used or reused to provide new services to this or other applications.</t>
  </si>
  <si>
    <t>&lt;font face="Calibri Light" size=2 color=black&gt;Enable reuse of services across the Organisation.</t>
  </si>
  <si>
    <t>&lt;font face="Calibri Light" size=2 color="#000000"&gt;Successfully receive endorsement from Organisation architecture governance for the target system solution architecture and design [M]&lt;br&gt;&lt;br&gt;&lt;font
face="Calibri Light" size=2 color="#000000"&gt;Successful system testing [S]</t>
  </si>
  <si>
    <t>MN-001</t>
  </si>
  <si>
    <t>System parameterisation</t>
  </si>
  <si>
    <t>&lt;font face="Calibri Light" size="2" color="black"&gt;Non-functional specific parameters are to be externalised for system administrators to maintain without needing to perform a reinstall of the application. See also FL-001</t>
  </si>
  <si>
    <t>MN-002</t>
  </si>
  <si>
    <t>Configurable environment parameters</t>
  </si>
  <si>
    <t>&lt;ul&gt;&lt;li&gt;&lt;font face="Calibri Light" size="2" color="black"&gt;Environment specific parameters (including, but not limited to URLs, usernames, passwords and identifitarget) are to be externalised into suitable properties files.  See also FL-001&lt;/li&gt;&lt;/ul&gt;</t>
  </si>
  <si>
    <t>MN-003</t>
  </si>
  <si>
    <t>Language support</t>
  </si>
  <si>
    <t>&lt;font face="Calibri Light" size="2" color="black"&gt;The system is to have the capability to support new languages via the use of configuration parameters. English will be the system default language.</t>
  </si>
  <si>
    <t>&lt;font face="Calibri Light" size=2 color=black&gt;Ensure the system can support new languages as required.</t>
  </si>
  <si>
    <t>MN-006a</t>
  </si>
  <si>
    <t>Web content updates via CMS support : part a : static web content</t>
  </si>
  <si>
    <t>&lt;font face="Calibri Light" size="2" color="black"&gt;The system is to support web content updates for static content (non form or transactional based page elements) via a Content Management System.</t>
  </si>
  <si>
    <t>&lt;font face="Calibri Light" size=2 color=black&gt;Allow web content to be updated via a CMS to ensure changes can be applied without the need to perform a full software build and release.</t>
  </si>
  <si>
    <t>MN-006b</t>
  </si>
  <si>
    <t>Web content updates via CMS support : part b : form and transactional element web content</t>
  </si>
  <si>
    <t>&lt;font face="Calibri Light" size="2" color="black"&gt;The system is to support web content updates for form and transactional elements via a Content Management System or suitable (easy to utilise) configurational capability.</t>
  </si>
  <si>
    <t>DS-001</t>
  </si>
  <si>
    <t>Audit Trail of Deployments</t>
  </si>
  <si>
    <t>&lt;font face="Calibri Light" size="2" color="black"&gt;a) An audit trail of all deployment and configuration change events are to be recorded.&lt;br /&gt;&lt;br /&gt;&lt;font face="Calibri Light" size="2" color="black"&gt;b) Deployments will generate an audit trail that tracks:&lt;br /&gt;&lt;br /&gt;&lt;font face="Calibri Light" size="2" color="black"&gt;• Approving CAB reference&lt;br /&gt;&lt;font face="Calibri Light" size="2" color="black"&gt;• Who triggered the deployment&lt;br /&gt;&lt;font face="Calibri Light" size="2" color="black"&gt;• Timings for each deployment process&lt;br /&gt;&lt;font face="Calibri Light" size="2" color="black"&gt;• Details of the activities of each process&lt;br /&gt;&lt;font face="Calibri Light" size="2" color="black"&gt;• Error details&lt;br /&gt;&lt;br /&gt;&lt;font face="Calibri Light" size="2" color="black"&gt;c) Changes to the system configurations will generate an audit trail that tracks:&lt;br /&gt;&lt;br /&gt;&lt;font face="Calibri Light" size="2" color="black"&gt;• Who changed the system configuration&lt;br /&gt;&lt;font face="Calibri Light" size="2" color="black"&gt;• Date and time change made&lt;br /&gt;&lt;font face="Calibri Light" size="2" color="black"&gt;• Data before change made&lt;br /&gt;&lt;font face="Calibri Light" size="2" color="black"&gt;• Data after change made</t>
  </si>
  <si>
    <t>&lt;font face="Calibri Light" size=2 color=black&gt;Ensure relevant details of any deployment based changes to the system exist to support relevant audit activities.</t>
  </si>
  <si>
    <t>DS-002</t>
  </si>
  <si>
    <t>Automated Deployment</t>
  </si>
  <si>
    <t>&lt;font face="Calibri Light" size="2" color="black"&gt;The system is to use automated tools for installing software artefacts into existing and new environments.</t>
  </si>
  <si>
    <t>&lt;font face="Calibri Light" size=2 color=black&gt;Tools are used to automate deployment processes into existing and new environments, log actions carried out and provide the system administrator with full control of the destination(s) and install.</t>
  </si>
  <si>
    <t>DS-003</t>
  </si>
  <si>
    <t>Individual Deployment Units</t>
  </si>
  <si>
    <t>&lt;ol&gt;&lt;li&gt;&lt;font face="Calibri Light" size="2" color="black"&gt;All software artefacts are to be available as independent deployment units in order to enable patching to avoid a full deployment in order to improve or fix a piece of the solution’s software.&lt;/li&gt;&lt;/ol&gt;</t>
  </si>
  <si>
    <t>&lt;font face="Calibri Light" size=2 color=black&gt;Support patching in the system at a component level and not via a full reinstallation / deployment.</t>
  </si>
  <si>
    <t>DS-004</t>
  </si>
  <si>
    <t>Major software releases</t>
  </si>
  <si>
    <t>&lt;font face="Calibri Light" size="2" color="black"&gt;a) Every major software release is to have the ability to be installed as both an upgrade and a fresh installation&lt;br /&gt;&lt;br /&gt;&lt;font face="Calibri Light" size="2" color="black"&gt;b) The ability to deploy a release to the environment without having to do progressive releases. e.g. able to release Version 3.0 to an environment that already has version 1.3 installed</t>
  </si>
  <si>
    <t>&lt;font face="Calibri Light" size=2 color=black&gt;Support agility to apply updates at an independent component level or via full system installation.</t>
  </si>
  <si>
    <t>DS-005</t>
  </si>
  <si>
    <t>Reversing Deployments</t>
  </si>
  <si>
    <t>&lt;font face="Calibri Light" size="2" color="black"&gt;The environment is be able to revert back to a previous state of the solution after a release was deployed.</t>
  </si>
  <si>
    <t>&lt;font face="Calibri Light" size=2 color=black&gt;Allow the system to return to a pre-deployment state in the event an rollback of a release is required.</t>
  </si>
  <si>
    <t>DS-006</t>
  </si>
  <si>
    <t>Decommissioning strategy</t>
  </si>
  <si>
    <t>&lt;font face="Calibri Light" size="2" color="black"&gt;Ensure a decommissioning strategy is in place for applicable systems from go-live.</t>
  </si>
  <si>
    <t>&lt;font face="Calibri Light" size=2 color=black&gt;Ensures suitable cessation and closure of the existing systems takes place in a controlled and pre-determined manner.</t>
  </si>
  <si>
    <t>&lt;font face="Calibri Light" size=2 color="#000000"&gt;Successfully receive endorsement from Organisation architecture governance for the target system solution architecture and design [M]&lt;br&gt;&lt;font
face="Calibri Light" size=2 color="#000000"&gt;Acceptance of the capability by Organisation operations [M]&lt;br&gt;&lt;font
face="Calibri Light" size=2 color="#000000"&gt;Decommissioning of all applicable systems, including cessation of relevant contractual terms. Includes consideration for archiving of appropriate system data to satisfy future business needs and the Public Records Act 2005. [C]</t>
  </si>
  <si>
    <t>DS-007a</t>
  </si>
  <si>
    <t>Stakeholders/Development Specialists</t>
  </si>
  <si>
    <t>Code repository : part a : coding artefacts</t>
  </si>
  <si>
    <t>&lt;font color="#000000" face="Calibri Light" size="2"&gt;Code developed to create, configure or integrate a Custom or SaaS system MUST be persisted in a Git Repository managed by the organisation provided project's Application Lifecycle Management (ALM) Service Suite.</t>
  </si>
  <si>
    <t>&lt;font face="Calibri Light" size=2 color=black&gt;Ensures alignment to Organisation management practice for vendor and internal code deliverables.</t>
  </si>
  <si>
    <t>DS-007b</t>
  </si>
  <si>
    <t>Code repository : part b : coding standards</t>
  </si>
  <si>
    <t>&lt;font face="Calibri Light" size="2" color="black"&gt;Develop code to the Organisation defined standards.</t>
  </si>
  <si>
    <t>&lt;font face="Calibri Light" size="2" color="black"&gt;Towards meeting ISO-25010/Maintainability objectives, ensure the code is understandable by permanent and hired resources other than the resources who developed the code in the first place.</t>
  </si>
  <si>
    <t>Use industry accepted standards.&lt;p&gt;Develop a coding culture based on code quality inspections initiated by Pull Requests.&lt;/p&gt;</t>
  </si>
  <si>
    <t>DS-007c</t>
  </si>
  <si>
    <t>Code repository : part c : code documentation</t>
  </si>
  <si>
    <t>&lt;font face="Calibri Light" size="2" color="black"&gt;Code is documented to Organisation code documentation standards.</t>
  </si>
  <si>
    <t>&lt;font face="Calibri Light" size=2 color=black&gt;Ensures alignment to Organisation management practice for vendor and internal code documentation standards.</t>
  </si>
  <si>
    <t>Ensure code for machines is understandable to the humans who have to maintain it.&lt;p&gt;Ensure the humans who maintain it do not have to have been part of the team that originally developed it.&lt;/p&gt;&lt;p&gt;Code as if the code i&lt;/p&gt;</t>
  </si>
  <si>
    <t>DS-007d</t>
  </si>
  <si>
    <t>Code repository : part d : code unit tests</t>
  </si>
  <si>
    <t>&lt;span&gt;Code committed to the Organisation’s repository for target also has relevant unit test code (and suitable documentation) committed alongside it.&lt;/span&gt;</t>
  </si>
  <si>
    <t>&lt;font face="Calibri Light" size=2 color=black&gt;Ensures alignment to Organisation management practice for vendor and internal unit test deliverables.</t>
  </si>
  <si>
    <t>MG-001a</t>
  </si>
  <si>
    <t>Administrative tools : part a : web browser</t>
  </si>
  <si>
    <t>&lt;font face="Calibri Light" size="2" color="black"&gt;A system administrator is to be able to monitor the health and performance of the solution via an industry standard (and suitably secure) web based browser.</t>
  </si>
  <si>
    <t>&lt;font face="Calibri Light" size=2 color=black&gt;Ensure a system administrator can adequately monitor the health of the system via an industry standard web browser.</t>
  </si>
  <si>
    <t>MG-001b</t>
  </si>
  <si>
    <t>Administrative tools : part b : mobile application</t>
  </si>
  <si>
    <t>&lt;font face="Calibri Light" size="2" color="black"&gt;A system administrator is to be able to monitor the health and performance of the solution via an industry standard (and suitably secure) mobile application.</t>
  </si>
  <si>
    <t>&lt;font face="Calibri Light" size=2 color=black&gt;Ensure a system administrator can adequately monitor the health of the system via an industry standard mobile application.</t>
  </si>
  <si>
    <t>MG-002</t>
  </si>
  <si>
    <t>Query the data audit trail</t>
  </si>
  <si>
    <t>&lt;font face="Calibri Light" size="2" color="black"&gt;Tools will be provided to relevant users that enable efficient querying of data audit trails. Audit information should include but is not limited to:&lt;br /&gt;&lt;br /&gt;&lt;font face="Calibri Light" size="2" color="black"&gt;• Name (user id or process name)&lt;br /&gt;&lt;font face="Calibri Light" size="2" color="black"&gt;• Date and time of action&lt;br /&gt;&lt;font face="Calibri Light" size="2" color="black"&gt;• Copy of fields prior to change&lt;br /&gt;&lt;font face="Calibri Light" size="2" color="black"&gt;• Copy of fields prior after change</t>
  </si>
  <si>
    <t>&lt;font face="Calibri Light" size=2 color=black&gt;Ensure easy access to data audit trails in the system.&lt;br&gt;&lt;br&gt;&lt;font
face="Calibri Light" size=2 color=black&gt;Note that the audit trail won’t be audited for access (CRUD).</t>
  </si>
  <si>
    <t>IM-001</t>
  </si>
  <si>
    <t>Data Archiving</t>
  </si>
  <si>
    <t>&lt;font face="Calibri Light" size="2" color="black"&gt;The system is to provide the capability to archive data from its runtime data store in an anonymised manner to an alternative archive storage repository once it is no longer needed by the business.</t>
  </si>
  <si>
    <t>&lt;font face="Calibri Light" size=2 color=black&gt;Support anonymised “big data” sharing to approved parties.</t>
  </si>
  <si>
    <t>IM-002</t>
  </si>
  <si>
    <t>Archiving and Purging Rules</t>
  </si>
  <si>
    <t>&lt;font face="Calibri Light" size="2" color="black"&gt;The system is to provide the capabilities to define rules for determining what data will be archived and when.</t>
  </si>
  <si>
    <t>&lt;font face="Calibri Light" size=2 color=black&gt;Also see IMS-003</t>
  </si>
  <si>
    <t>GP-gen- 001</t>
  </si>
  <si>
    <t>Physical Data Model Domain standards</t>
  </si>
  <si>
    <t>&lt;font face="Calibri Light" size="2" color="black"&gt;The Physical Data Model is to comply with the Organisation's data domain standards.&lt;br /&gt;&lt;br /&gt;&lt;font face="Calibri Light" size="2" color="black"&gt;Data domain standards encompass the naming, type, scale, and precision applied to the storage of data values.</t>
  </si>
  <si>
    <t>GP-gen- 002</t>
  </si>
  <si>
    <t>Security standards</t>
  </si>
  <si>
    <t>&lt;font face="Calibri Light" size="2" color="black"&gt;The Government Protective Security Requirements (http://www.protectivesecurity.govt.nz/) and Government Communications Security Bureau – NZ Information Security Manual (http://www.gcsb.govt.nz/publications/the-nz-information-security-manual/) apply.</t>
  </si>
  <si>
    <t>GP-gen- 003</t>
  </si>
  <si>
    <t>Software release</t>
  </si>
  <si>
    <t>&lt;font face="Calibri Light" size="2" color="black"&gt;The release notes for the target system are to follow the Organisation's release template standard.</t>
  </si>
  <si>
    <t>&lt;font face="Calibri Light" size=2 color=black&gt;Align to Organisation standard operational practices to greatly improve support of the system.</t>
  </si>
  <si>
    <t>GP-gen- 004</t>
  </si>
  <si>
    <t>Electronic Record Keeping Metadata standard</t>
  </si>
  <si>
    <t>&lt;font face="Calibri Light" size="2" color="black"&gt;This standard (S8) is mandatory under the Public Records Act (PRA). The Technical Specifications are not mandatory under the PRA.</t>
  </si>
  <si>
    <t>&lt;font face="Calibri Light" size=2 color=black&gt;Ensure adequate compliance to PRA legislation.</t>
  </si>
  <si>
    <t>Concerns/Direction/Governance</t>
  </si>
  <si>
    <t>Proposed</t>
  </si>
  <si>
    <t>0x0A72E148</t>
  </si>
  <si>
    <t>Concerns/Direction</t>
  </si>
  <si>
    <t>Qualities/ISO-25010/Functionality/Appropriateness</t>
  </si>
  <si>
    <t>P</t>
  </si>
  <si>
    <t>Enablement</t>
  </si>
  <si>
    <t>&lt;span&gt;Principled, opportunity-focused services to enable users to operate more efficiently.&lt;/span&gt;</t>
  </si>
  <si>
    <t>&lt;span&gt;This statement addresses Purpose.&lt;/span&gt;</t>
  </si>
  <si>
    <t>.</t>
  </si>
  <si>
    <t>0xC89DD996</t>
  </si>
  <si>
    <t>Qualities/ISO-25010/Performance/Resource Usage/Reputation &amp; Trust</t>
  </si>
  <si>
    <t>Secure, Open, Direct Access</t>
  </si>
  <si>
    <t>&lt;span&gt;Confidential, usable, appropriate, audited access anytime from anywhere from any device to reliable, timely, correctable, versioned information using current open integration standards, through the least layers.&lt;/span&gt;</t>
  </si>
  <si>
    <t>&lt;span&gt;This statement addresses Information and Security.&lt;/span&gt;</t>
  </si>
  <si>
    <t>0xA0F5FD74</t>
  </si>
  <si>
    <t>Open Cloud First</t>
  </si>
  <si>
    <t>&lt;span&gt;Cloud first, services first, suite first, web API first, open standards first, open source first.&lt;/span&gt;</t>
  </si>
  <si>
    <t>This statement addresses Platform, Integration and Standards.</t>
  </si>
  <si>
    <t>0x3EDE3777</t>
  </si>
  <si>
    <t>Qualities/ISO-25010/Security/Accountability</t>
  </si>
  <si>
    <t>Continuous Compliance</t>
  </si>
  <si>
    <t>&lt;span&gt;Privacy Act 1993, NZDIMP, NZISM, NZGWAS, NZGWUS, NZGOAL, Public Records Act 2005.&lt;/span&gt;</t>
  </si>
  <si>
    <t>This statement addresses Compliance to Governance agreed contraints.</t>
  </si>
  <si>
    <t>0x503DA978</t>
  </si>
  <si>
    <t>Collaborative Swift Value Delivery</t>
  </si>
  <si>
    <t>&lt;span&gt;Automated rapid, iterative delivery of validated value to end users by collaborative cross-functional teams.&lt;/span&gt;</t>
  </si>
  <si>
    <t>&lt;span&gt;This statement addresses Delivery of Value.&lt;/span&gt;</t>
  </si>
  <si>
    <t>Concerns/Definition</t>
  </si>
  <si>
    <t>SSDB/0xF7394661</t>
  </si>
  <si>
    <t>Stakeholders/Analysts</t>
  </si>
  <si>
    <t>RR</t>
  </si>
  <si>
    <t>SMART Objectives</t>
  </si>
  <si>
    <t>&lt;span&gt;Requirements MUST be SMART Objectives defined as Obligations, Recommendations, Permissions or Prohibition.&lt;/span&gt;</t>
  </si>
  <si>
    <t>&lt;span&gt;The largest cause of failure of projects that contain an IT element is due to incorrect, ambiguous, unachievable, unmeasurable, costly and/or inappropriate requirements.&lt;/span&gt;</t>
  </si>
  <si>
    <t>&lt;span&gt;Requirements SHOULD start by defining what ISO-25010 Quality (value) the Statement is intended to deliver, and be expressed As a Service Client terse atomic/singular and achievable Obligation, Recommendation, Permission or Prohibition using RFC 2119 terminology (MUST, SHOULD, MAY, MUST NOT).&amp;nbsp;&lt;/span&gt;&lt;p&gt;When Statements clearly define the the desired value, Rationale sections are often superfluous.&lt;br /&gt;&lt;br /&gt;&lt;span&gt;References:&lt;/span&gt;&lt;br /&gt;&lt;a href="https://www.ietf.org/rfc/rfc2119.txt" class="text-blue underline" target="_blank" rel="noreferrer noopener"&gt;https://www.ietf.org/rfc/rfc2119.txt&lt;/a&gt;&lt;/p&gt;</t>
  </si>
  <si>
    <t>&lt;p&gt;Requirements are the written clauses of the boundary within which a vendor delivered system will be deemed acceptable.&lt;/p&gt;&lt;p&gt;On the other hand,&amp;nbsp;it is understood that some unforeseens constraints will be encountered.&lt;/p&gt;&lt;p&gt;It is important that vendors are given formal scope to work around the constraint (Permission), within reason, while avoid solutions that would be deemed of low quality (Prohibitions), and delivering on the non-negotiables (Obligations).&lt;/p&gt;&lt;p&gt;It is the nature of successful project requirement packs that the solution is comprised of Requirements that are mostly Obligations and a few Prohibitions. Permissions (MAY) and Recommendations (SHOULD) tend to lead to ambiguity and discussion as well as end up on not being delivered.&lt;/p&gt;&lt;p&gt;Therefore, It is up to the Analyst to do the necessary investigations to ensure that the requirements pack uses Obligations that are Complete, and Correct, such that few Requirements end up as Recommendations and Permissions.&lt;/p&gt;</t>
  </si>
  <si>
    <t>SSDB/0xD3D90507</t>
  </si>
  <si>
    <t>Unique IDs</t>
  </si>
  <si>
    <t>&lt;span&gt;Requirements SHOULD have a Unique Identifier (UID) attribute.&lt;/span&gt;</t>
  </si>
  <si>
    <t>Common Requirements should be able to be identified across projects. &lt;br /&gt;&lt;span&gt;Specific Requirements should be able to be searched for and found within the organisation's EDMS system&lt;/span&gt;&lt;span&gt;(it is really hard to find the correct document when every project starts with REQ-0001).&lt;/span&gt;</t>
  </si>
  <si>
    <t>&lt;span&gt;Resources:&lt;/span&gt;&lt;br /&gt;&lt;span&gt;Consider using: &lt;/span&gt;&lt;a href="https://crccalc.com/" class="text-blue underline" target="_blank" rel="noreferrer noopener"&gt;https://crccalc.com/&lt;/a&gt;&lt;span&gt; to generate CRC-32 values from Statement titles/textual ids.&lt;/span&gt;</t>
  </si>
  <si>
    <t>The industry is used to developing requirements in word or excel documents, intended for print, using a numbering system (1,2,3, etc.)</t>
  </si>
  <si>
    <t>Accountable Production Lead Panel</t>
  </si>
  <si>
    <t>SSDB/0x06B0085E</t>
  </si>
  <si>
    <t>IF/ELSE/UNLESS</t>
  </si>
  <si>
    <t>&lt;span&gt;Requirements MAY contain an IF statement to define the condition under which the Statement applies.&lt;/span&gt;</t>
  </si>
  <si>
    <t>&lt;span&gt;Generic Requirements may contain Statements that are applicable only in some circumstances.&lt;/span&gt;</t>
  </si>
  <si>
    <t>&lt;span&gt;Comments:&lt;/span&gt;&lt;br /&gt;&lt;span&gt;Whereas IF/ELSE are acceptable terms, OR statements probably will indicate the Statement is not Atomic and therefore should be avoided.&lt;/span&gt;</t>
  </si>
  <si>
    <t>Althought the words AND and OR add ambiguity&amp;nbsp; to Requirements, the word IF is acceptable as it provides Context as to when to apply it.</t>
  </si>
  <si>
    <t>SSDB/0x8343D778</t>
  </si>
  <si>
    <t>SHALL/WILL</t>
  </si>
  <si>
    <t>&lt;span&gt;Requirements MUST NOT use the terms Will and Shall.&lt;/span&gt;</t>
  </si>
  <si>
    <t>The terms Will and Shall produce more litigation than Obligation (MUST) statements.</t>
  </si>
  <si>
    <t>&lt;span&gt;Use instead on RFC 2119 defined terms.&lt;/span&gt;&lt;br /&gt;&lt;br /&gt;&lt;span&gt;Will and Shall have been determined As a Service Client key cause for differences of opinion of when an deliverable is due, and whether it is an Obligation or Recommendation.&lt;/span&gt;</t>
  </si>
  <si>
    <t>The ambiguity as to &lt;i&gt;when&lt;/i&gt; the requirement is to be fulfilled have caused much litigation.&lt;p&gt;According to Wikipedia:&lt;br /&gt;&lt;i&gt;"The legal reference&amp;nbsp;&lt;font color="#222222" face="sans-serif"&gt;&lt;span&gt;Words and Phrases&lt;/span&gt;&amp;nbsp;dedicates 76 pages to summarizing hundreds of lawsuits that centered around the meaning of the word shall. When referencing a legal or technical requirement,&amp;nbsp;&lt;font color="#222222" face="sans-serif"&gt;&lt;span&gt;Words and Phrases&lt;/span&gt;&amp;nbsp;instead favors&amp;nbsp;&lt;font color="#222222" face="sans-serif"&gt;&lt;span&gt;must&lt;/span&gt;&amp;nbsp;while reserving&amp;nbsp;&lt;font color="#222222" face="sans-serif"&gt;&lt;span&gt;should&lt;/span&gt;&amp;nbsp;for recommendations."&lt;/i&gt;&lt;/p&gt;&lt;p&gt;The following explanation from the FAA is more complete:&lt;/p&gt;&lt;p&gt;&lt;ul&gt;&lt;li&gt;&lt;a href="https://www.faa.gov/about/initiatives/plain_language/articles/mandatory/"&gt;&lt;i&gt;https://www.faa.gov/about/initiatives/plain_language/articles/mandatory/&lt;/i&gt;&lt;/a&gt;&lt;/li&gt;&lt;/ul&gt;&lt;/p&gt;</t>
  </si>
  <si>
    <t>SSDB/0xDAAE93B8</t>
  </si>
  <si>
    <t>Organisation Agnostic Statements</t>
  </si>
  <si>
    <t>&lt;span&gt;Requirements SHOULD be organisation agnostic.&lt;/span&gt;</t>
  </si>
  <si>
    <t>&lt;span&gt;Systems should be inter-operable, following principles that apply across the largest number of organisations.&lt;/span&gt;</t>
  </si>
  <si>
    <t>&lt;span&gt;Requirements specific to a single organisation are suspect of being poor value statements, leading to systems that are not inter-operable, are expensive to operate, maintain and extend.&lt;/span&gt;&lt;br /&gt;&lt;br /&gt;&lt;span&gt;Avoid using the name of a speific organisation, simply referring to them as "this Organisation" or "3rd party [consumer|provider] Organisations" in order to focus less on a specific organisation, and more on the Information, Functions and Roles required of the system.&lt;/span&gt;</t>
  </si>
  <si>
    <t>Evidence shows that when an organisation thinks of themselves as truly unique, developing their own system without first looking at the problem abstractly, looking for similarities with other organisations -- they end up reinventing the wheel. Or, more precisely, just a part of the wheel.</t>
  </si>
  <si>
    <t>0xF8DADE77</t>
  </si>
  <si>
    <t>ISO-25010/Usability/Learnability</t>
  </si>
  <si>
    <t>In-System Assistance</t>
  </si>
  <si>
    <t>&lt;span&gt;The system MUST provide assistance to end users.&lt;/span&gt;</t>
  </si>
  <si>
    <t>Assistance must be provided to allow end users to understand what is expected of them to complete a task.&lt;br /&gt;&lt;br /&gt;&lt;span&gt;Assistance can be provided in a variety of manners, including -- but not limited -- to the following:&lt;/span&gt;&lt;br /&gt;&lt;br /&gt;&lt;span&gt;In-View instructions panels&lt;/span&gt;&lt;br /&gt;&lt;span&gt;Tooltips beside controls (note that Hovering is not a recommended approach to UI design as it is not available on mobile devices).&lt;/span&gt;&lt;br /&gt;&lt;span&gt;Default Values&lt;/span&gt;&lt;br /&gt;&lt;span&gt;Suggested Values (Ghosting)&lt;/span&gt;&lt;br /&gt;&lt;span&gt;Autcompletion&lt;/span&gt;&lt;br /&gt;&lt;span&gt;Progressive Disclosure of Fields&lt;/span&gt;&lt;br /&gt;&lt;span&gt;In-System documentation&lt;/span&gt;&lt;br /&gt;&lt;span&gt;System Support contact information&lt;/span&gt;</t>
  </si>
  <si>
    <t>0x605EDFB5</t>
  </si>
  <si>
    <t>No Training Required</t>
  </si>
  <si>
    <t>&lt;span&gt;The system MUST not require external documentation for end users to complete their work.&lt;/span&gt;</t>
  </si>
  <si>
    <t>&lt;span&gt;The system should not be overly complex. It should be simple enough that in-system help is sufficient to understand how to operate the system.&lt;/span&gt;&lt;br /&gt;&lt;br /&gt;&lt;span&gt;Developing training material is an additional expensive.   Training users is a hidden expense.&lt;/span&gt;</t>
  </si>
  <si>
    <t>&lt;span&gt;Assistance must be provided to allow end users to understand what is expected of them to complete a task.&lt;/span&gt;&lt;br /&gt;&lt;br /&gt;&lt;span&gt;Assistance can be provided in a variety of manners, including -- but not limited -- to the following:&lt;/span&gt;&lt;br /&gt;&lt;br /&gt;&lt;span&gt;In-View instructions panels&lt;/span&gt;&lt;br /&gt;&lt;span&gt;Tooltips beside controls (note that Hovering is not a recommended approach to UI design as it is not available on mobile devices).&lt;/span&gt;&lt;br /&gt;&lt;span&gt;Default Values&lt;/span&gt;&lt;br /&gt;&lt;span&gt;Suggested Values (Ghosting)&lt;/span&gt;&lt;br /&gt;&lt;span&gt;Autcompletion&lt;/span&gt;&lt;br /&gt;&lt;span&gt;Progressive Disclosure of Fields&lt;/span&gt;&lt;br /&gt;&lt;span&gt;In-System documentation&lt;/span&gt;&lt;br /&gt;&lt;span&gt;System Support contact information&lt;/span&gt;</t>
  </si>
  <si>
    <t>0xF24F20AE</t>
  </si>
  <si>
    <t>ISO-25010/Usability/Err Protection</t>
  </si>
  <si>
    <t>Error Messages</t>
  </si>
  <si>
    <t>&lt;span&gt;The system MUST capture and hide unexpected system errors messages and present a custom error message in its place.&lt;/span&gt;</t>
  </si>
  <si>
    <t>&lt;span&gt;The error message must not display system messages or stack traces that may disclose sensitive information.&lt;/span&gt;&lt;br /&gt;&lt;br /&gt;&lt;span&gt;In custom systems, the error message MUST contain an ID of the internal error log, to assist with by Support services.&lt;/span&gt;</t>
  </si>
  <si>
    <t>0x5247762D</t>
  </si>
  <si>
    <t>ISO-25010/Usability/Configurability</t>
  </si>
  <si>
    <t>Self Configurable</t>
  </si>
  <si>
    <t>&lt;span&gt;The system SHOULD provide an interface for end users to configure user-specific settings.&lt;/span&gt;</t>
  </si>
  <si>
    <t>&lt;span&gt;Providing a means for end users to manage their own preferences leads to lower support costs.&lt;/span&gt;</t>
  </si>
  <si>
    <t>0x56C68EB6</t>
  </si>
  <si>
    <t>Group Configurable</t>
  </si>
  <si>
    <t>&lt;span&gt;The system SHOULD provide an interface for Business specialists and User Organisation Organisers to manage the members of an organisation of users.&lt;/span&gt;</t>
  </si>
  <si>
    <t>&lt;span&gt;Large Organisations are comprised of smaller organisations of users (business departments, etc.). &lt;/span&gt;&lt;br /&gt;&lt;br /&gt;&lt;span&gt;Support costs are decreased by providing a means for users to organise the users within the groups they are responsible for.&lt;/span&gt;</t>
  </si>
  <si>
    <t>0x4B2DEC01</t>
  </si>
  <si>
    <t>ISO-25010/Usability/Aesthetics</t>
  </si>
  <si>
    <t>Branding</t>
  </si>
  <si>
    <t>&lt;span&gt;The system SHOULD be capable of matching corporate branding.&lt;/span&gt;</t>
  </si>
  <si>
    <t>&lt;span&gt;If the system is a SaaS, corporate branding may be limited to naming and logo.&lt;/span&gt;&lt;br /&gt;&lt;span&gt;If not a SaaS, the system's appearance should be capable of being authorised to match the organisation's other systems.&lt;/span&gt;</t>
  </si>
  <si>
    <t>Concerns/Delivery/Accreditation</t>
  </si>
  <si>
    <t>CPDB/DE-007</t>
  </si>
  <si>
    <t>Security Certification and Accreditation (Support)</t>
  </si>
  <si>
    <t>Please provide information demonstrating experience with delivering solutions that meet the organisation's Security Certification and Accreditation process.</t>
  </si>
  <si>
    <t>To support productionisation of target (or the use of production data) the system must pass Ministry’s C&amp;amp;A process which will require relevant details from the vendor as required.</t>
  </si>
  <si>
    <t>Evaluate the proposal for the vendor's ability to provide information on the following:&lt;p&gt;&lt;ul&gt;&lt;li&gt;processes used to manage resources who will work&amp;nbsp;&lt;/li&gt;&lt;li&gt;processes used to limit access to the physical environment where the system will be hosted&lt;/li&gt;&lt;li&gt;processes used to limit access to data persisted by the system&lt;/li&gt;&lt;li&gt;providing information about how the system will limit functionality and access to information based on roles/permissions&lt;/li&gt;&lt;li&gt;&lt;/li&gt;&lt;/ul&gt;&lt;/p&gt;</t>
  </si>
  <si>
    <t>ISO-25010/Compatibility/Interoperability</t>
  </si>
  <si>
    <t>Organisation WebSite Integration</t>
  </si>
  <si>
    <t>The system MUST be linked to from the Organisation's Website.</t>
  </si>
  <si>
    <t>Towards both ISO-25010/Usability and ISO-25010/Compatibility/Interoperability objectives,&amp;nbsp;all (public and private) end users must be able to discover the service and navigate to it from the from corporate site.&lt;p&gt;Application of Authentication rules is then used to control access to the service.&lt;/p&gt;</t>
  </si>
  <si>
    <t>Note that it is another demonstration as to why it is best practice to develop a single site (therefore only one link required in the organisation portal) for both internal corporate and external public users -- rather than develop two services.</t>
  </si>
  <si>
    <t>0x825DC94E</t>
  </si>
  <si>
    <t>Choose Usable</t>
  </si>
  <si>
    <t>&lt;span&gt;The Usability of SaaS system MUST meet applicable Accessibility standards legal obligations.&lt;/span&gt;</t>
  </si>
  <si>
    <t>&lt;span&gt;In NZ, the Usability Standards are mandatory for all Public Service departments and Non-Public Service departments in the State Services.&lt;/span&gt;</t>
  </si>
  <si>
    <t>&lt;span&gt;Resources:&lt;/span&gt;&lt;br /&gt;&lt;a href="https://webtoolkit.govt.nz/standards/web-usability-standard-1-2/" class="text-blue underline" target="_blank" rel="noreferrer noopener"&gt;https://webtoolkit.govt.nz/standards/web-usability-standard-1-2/&lt;/a&gt;</t>
  </si>
  <si>
    <t>Towards meeting ISO-25010/Usability/Accessibility objectives,&lt;p&gt;As an Accreditation Specialist,&lt;/p&gt;&lt;p&gt;I Desire the solution's web interfaces to meet any applicable legal obligations towards being accessible.&lt;/p&gt;</t>
  </si>
  <si>
    <t>0x6FAA9CAC</t>
  </si>
  <si>
    <t>ISO-25010/Usability/Recognizability</t>
  </si>
  <si>
    <t>Usable</t>
  </si>
  <si>
    <t>&lt;span&gt;IF the system is custom developed, it MUST meet applicable usability standards legal obligations.&lt;/span&gt;</t>
  </si>
  <si>
    <t>&lt;span&gt;In NZ, the Usability Standards are mandatory for all Public Service departments and Non-Public Service departments in the State Services.&lt;/span&gt;&lt;br /&gt;&lt;br /&gt;&lt;span&gt;Resources:&lt;/span&gt;&lt;br /&gt;&lt;a href="https://webtoolkit.govt.nz/standards/web-usability-standard-1-2/" class="text-blue underline" target="_blank" rel="noreferrer noopener"&gt;https://webtoolkit.govt.nz/standards/web-usability-standard-1-2/&lt;/a&gt;</t>
  </si>
  <si>
    <t>&lt;span&gt;Towards meeting ISO-25010/Usability/Accessibility objectives,&lt;/span&gt;&lt;p&gt;As an Accreditation Specialist,&lt;/p&gt;&lt;p&gt;I Desire the solution's web interfaces to meet applicable legal obligations towards being usable.&lt;/p&gt;</t>
  </si>
  <si>
    <t>0xBADF8E58</t>
  </si>
  <si>
    <t>Stakeholders/Quality Assurance Specialists</t>
  </si>
  <si>
    <t>Accessible</t>
  </si>
  <si>
    <t>&lt;span&gt;IF the system is to be developed, it MUST meet applicable standards.&lt;/span&gt;</t>
  </si>
  <si>
    <t>&lt;span&gt;In large organisations a significant number of users are visually impaired. &lt;/span&gt;&lt;br /&gt;&lt;br /&gt;&lt;span&gt;Projects should not put the organisation in harms way (due to litigation by users who are excluded from being productive).&lt;/span&gt;&lt;br /&gt;&lt;br /&gt;&lt;span&gt;In NZ, the Web Accessibility Standard is mandatory for all Public Service departments and Non-Public Service departments in the State Services.&lt;/span&gt;&lt;br /&gt;</t>
  </si>
  <si>
    <t>&lt;span&gt;Resources:&lt;/span&gt;&lt;br /&gt;&lt;a href="https://webtoolkit.govt.nz/standards/web-accessibility-standard-1-0/" class="text-blue underline" target="_blank" rel="noreferrer noopener"&gt;https://webtoolkit.govt.nz/standards/web-accessibility-standard-1-0/&lt;/a&gt;</t>
  </si>
  <si>
    <t>0xA89BA2CD</t>
  </si>
  <si>
    <t>Choose Accessible</t>
  </si>
  <si>
    <t>&lt;span&gt;The accessibility of SaaS systems by visually impaired users SHOULD be assessed against applicable standards.&lt;/span&gt;</t>
  </si>
  <si>
    <t>&lt;span&gt;In large organisations a significant number of users are visually impaired. &lt;/span&gt;&lt;br /&gt;&lt;br /&gt;&lt;span&gt;Projects should not put the organisation in harms way (due to litigation by users who are excluded from being productive).&lt;/span&gt;</t>
  </si>
  <si>
    <t>0xAB86F0B7</t>
  </si>
  <si>
    <t>Stakeholders/Business Support Specialists</t>
  </si>
  <si>
    <t>Globalisable Formatting</t>
  </si>
  <si>
    <t>&lt;span&gt;Displayed dates, times, numbers and currency MUST be formatted as per the User Agent's configurable locale-region code.&lt;/span&gt;</t>
  </si>
  <si>
    <t>&lt;span&gt;The system must manage information in a universal format (UTC, etc.) but display the information in a format most productive for end users.&lt;/span&gt;</t>
  </si>
  <si>
    <t>0xE3240CD0</t>
  </si>
  <si>
    <t>ISO-25010/Functionality/Correctness</t>
  </si>
  <si>
    <t>Stakeholders/Business Service Providers</t>
  </si>
  <si>
    <t>Localised DateTime</t>
  </si>
  <si>
    <t>&lt;span&gt;Dates and times MUST be displayed in the configurable time-zone of the service client.&lt;/span&gt;</t>
  </si>
  <si>
    <t>&lt;span&gt;The system must persist date and time in a universal format (UTC) but end users must be able to expect their interfaces to be rendered in their locale specified time.&lt;/span&gt;&lt;br /&gt;&lt;br /&gt;&lt;span&gt;The locale may be set by their client user agent and/or their client device's general configuration settings.&lt;/span&gt;&lt;br /&gt;&lt;br /&gt;&lt;span&gt;This Obligation is associated to the "Globalised DateTime" Obligation.&lt;/span&gt;</t>
  </si>
  <si>
    <t>&lt;span&gt;The system MUST be localiseable into other languages (e.g. Te Reo).&lt;/span&gt;&lt;br /&gt;&lt;br /&gt;&lt;span&gt;Some cultures understand associate different meanings and importance to various symbols and images.&lt;/span&gt;</t>
  </si>
  <si>
    <t>0x30778CBE</t>
  </si>
  <si>
    <t>Usability/Localisable Text and Images</t>
  </si>
  <si>
    <t>The system MUST allow for interface text (and optionally images) be based on the configurable user agent's region-culture codes.</t>
  </si>
  <si>
    <t>0x05CB5467</t>
  </si>
  <si>
    <t>ISO-25010/Security/Integrity</t>
  </si>
  <si>
    <t>Security/Malware Protection</t>
  </si>
  <si>
    <t>&lt;span&gt;Media uploaded to the service SHOULD be validated for malware before being persisted and subsequently redistributed.&lt;/span&gt;</t>
  </si>
  <si>
    <t>&lt;span&gt;End users should be able to trust media downloaded from an organisation managed service.&lt;/span&gt;</t>
  </si>
  <si>
    <t>&lt;span&gt;The service SHOULD be able to be integrated with an organisation acceptable and/or provided malware detection service.&lt;/span&gt;&lt;br /&gt;</t>
  </si>
  <si>
    <t>0xD9EACD85</t>
  </si>
  <si>
    <t>System/System Separation</t>
  </si>
  <si>
    <t>&lt;span&gt;IF the system is not a SaaS, the system MUST be capable of being hosted on dedicated infrastructure.&lt;/span&gt;</t>
  </si>
  <si>
    <t>&lt;span&gt;The level of isolation between systems required is informed by the highest data classification of the information managed by the system.&lt;/span&gt;&lt;br /&gt;&lt;br /&gt;&lt;span&gt;Some data classifications require that system data is only logically separated from other tenants. Others require physical separation.&lt;/span&gt;</t>
  </si>
  <si>
    <t>0x9265B50E</t>
  </si>
  <si>
    <t>Maintainable/Approved Environments</t>
  </si>
  <si>
    <t>&lt;span&gt;All server components MUST be deployed to either an organisation approved cloud provider, or to organisation managed infrastructure.&lt;/span&gt;</t>
  </si>
  <si>
    <t>&lt;span&gt;The use of ISO-27001 and ISO-27018 compliant cloud provider platforms is preferred to organisation managed infrastructure and services.&lt;/span&gt;&lt;br /&gt;&lt;span&gt;Take into consideration the organisation's principle of SaaS before PaaS before Containers before IaaS before Physical installations, as well as national limits as to where to persist information depending on the data classification.&lt;/span&gt;&lt;br /&gt;&lt;br /&gt;&lt;span&gt;The environment must:&lt;/span&gt;&lt;br /&gt;&lt;span&gt;- meet ISO-27001 and ISO-27018 certification&lt;/span&gt;&lt;br /&gt;&lt;span&gt;- undergo regular SOC2 reporting&lt;/span&gt;&lt;br /&gt;&lt;span&gt;- limit physical access to premises&lt;/span&gt;&lt;br /&gt;&lt;span&gt;- any access to physical premises is be accompanied and audited&lt;/span&gt;&lt;br /&gt;&lt;span&gt;- all changes to physical infrastructure be sighted by a second person and audited.&lt;/span&gt;&lt;br /&gt;&lt;br /&gt;&lt;span&gt;Any environment chosen must have an SLA of 99.9% or higher (distinct from the system's SLA).&lt;/span&gt;&lt;br /&gt;&lt;br /&gt;&lt;span&gt;Testing:&lt;/span&gt;&lt;br /&gt;&lt;span&gt;Sighting of operational documentation.&lt;/span&gt;</t>
  </si>
  <si>
    <t>0x331551F4</t>
  </si>
  <si>
    <t>Security/Encrypt Storage</t>
  </si>
  <si>
    <t>All storage mechanisms MUST be encrypted.</t>
  </si>
  <si>
    <t>&lt;span&gt;Data at rest MUST be protected from tampering. This includes, but is not limited to: databases, storage accounts for media, diagnostics, auditing, backups.&lt;/span&gt;&lt;br /&gt;&lt;br /&gt;&lt;span&gt;The content of Unencrypted storage containers (eg: VM images) can be downloaded, read, changed, and uploaded. &lt;/span&gt;</t>
  </si>
  <si>
    <t>0x8E431016</t>
  </si>
  <si>
    <t>ISO-25010/Security/Confidentiality</t>
  </si>
  <si>
    <t>Stakeholders/Security Specialists</t>
  </si>
  <si>
    <t>Security/Confidential Communication</t>
  </si>
  <si>
    <t>&lt;span&gt;All communication between client and service components MUST be transmitted over encrypted channels.&lt;/span&gt;</t>
  </si>
  <si>
    <t>&lt;span&gt;Web communication must be over HTTPS, using PCI compliant encryption.&lt;/span&gt;&lt;br /&gt;&lt;span&gt;HTTP must be redirected to HTTPS.&lt;/span&gt;&lt;br /&gt;&lt;span&gt;Mementos and security tokens must not be communicated over insecure channels (eg: web cookies should be marked with the "secure" flag, and bearer tokens should only be attached if the channel is confidential).&lt;/span&gt;&lt;br /&gt;&lt;br /&gt;&lt;span&gt;For non-SaaS systems, communication between any components must also be secure (HTTPS for API calls, SSL for Redis, and encrypt database connections by using "encrypted=true" and 'Trust Server Certificate=true'.&lt;/span&gt;</t>
  </si>
  <si>
    <t>0x824EE62A</t>
  </si>
  <si>
    <t>Security/Redirect Insecure Communication</t>
  </si>
  <si>
    <t>&lt;span&gt;Insecure communication MUST be redirected to secure equivalent endpoints.&lt;/span&gt;</t>
  </si>
  <si>
    <t>&lt;span&gt;Confidential tokens are a required foundation for the communication of confidential and un-tampered information.&lt;/span&gt;</t>
  </si>
  <si>
    <t>&lt;span&gt;It is a poor user experience that increase customer support costs to not allow HTTP. But it must be done carefully (see 'Secure Cookies' requirement).&lt;/span&gt;</t>
  </si>
  <si>
    <t>0x25DEB44A</t>
  </si>
  <si>
    <t>Security/No Mixed Confidentiality</t>
  </si>
  <si>
    <t>&lt;span&gt;Mixed-security (i.e. scripts and images sent over HTTP) MUST NOT be permitted.&lt;/span&gt;</t>
  </si>
  <si>
    <t>&lt;span&gt;Content, where-ever it is served from (server or CDN), whatever it is (image, script, css, html, or data), MUST be over confidential communication channels (HTTPS).&lt;/span&gt;</t>
  </si>
  <si>
    <t>Security/External Identity [Token] Provider</t>
  </si>
  <si>
    <t>&lt;span&gt;Users MUST be authenticated using an external Identity Provider.&lt;/span&gt;</t>
  </si>
  <si>
    <t>&lt;span&gt;Leverage the expertise of external specialised services to persist credentials.&lt;/span&gt;</t>
  </si>
  <si>
    <t>&lt;span&gt;Some systems will not be capable of using external sservices, and require the storage of user identities and credentials in-system -- but these systems MUST be and thoroughly reviewed before approval is granted for UNCLASSIFIED data.&lt;/span&gt;</t>
  </si>
  <si>
    <t>0x7288BC6A</t>
  </si>
  <si>
    <t>Security/External Authentication</t>
  </si>
  <si>
    <t>&lt;span&gt;Users MUST be authenticated using an Identity Provider external to the solution's systems.&lt;/span&gt;</t>
  </si>
  <si>
    <t>&lt;span&gt;Implications:&lt;/span&gt;&lt;br /&gt;&lt;span&gt;The system must integrate with an organisation approved identity service endpoint (eg: Azure AD and/or ADFS).&lt;/span&gt;&lt;br /&gt;&lt;span&gt;Direct dependencies on LAN based Windows AD (NTLM or Kerberos) should be notified to project governance temporary approval for consideration whether to temporarily approve or not.&lt;/span&gt;</t>
  </si>
  <si>
    <t>0xCB5B8256</t>
  </si>
  <si>
    <t>ISO-25010/Security/Accountabiilty</t>
  </si>
  <si>
    <t>Security/Untamperable Audit Logs</t>
  </si>
  <si>
    <t>&lt;span&gt;Operation Logs SHOULD be inaccessible and/or untamperable.&lt;/span&gt;</t>
  </si>
  <si>
    <t>&lt;span&gt;Operation Log entries may be signed and/or persisted in a different encrypted data store than the transactional datastore.&lt;/span&gt;</t>
  </si>
  <si>
    <t>0x6072952F</t>
  </si>
  <si>
    <t>Security/Audit Operations</t>
  </si>
  <si>
    <t>Operations that create, update or delete mutable data MUST be audited against the security principal that performed the operation.</t>
  </si>
  <si>
    <t>&lt;span&gt;Note that most systems will not provide a means to audit Views as they won't be tracking Anonymous users.&lt;/span&gt;&lt;br /&gt;&lt;br /&gt;&lt;span&gt;Comment:&lt;/span&gt;&lt;br /&gt;&lt;span&gt;Auditing is not the same as collecting Diagnostics records. Diagnostics is an inappropriate tool for performing auditing.&lt;/span&gt;</t>
  </si>
  <si>
    <t>Operations that view data SHOULD be audited against the security principal that performed the operation.</t>
  </si>
  <si>
    <t>It is important to be able to audit who actually has seen a piece of information.&lt;p&gt;But it is uncommon for all but the most capable system designs to incorporate this feature (although it is technically not that difficult) due to the perceived difficulty.&lt;/p&gt;</t>
  </si>
  <si>
    <t>0xD47D812F</t>
  </si>
  <si>
    <t>Security/Penetration Testing</t>
  </si>
  <si>
    <t>The system MUST provide evidence of passing a Penetration Test, or be exempted from requiring one.</t>
  </si>
  <si>
    <t>&lt;span&gt;The disclosure that a System has been compromised has significant and lasting negative  impact on the reputation of not just on the system, but also on the whole organisation.&lt;/span&gt;</t>
  </si>
  <si>
    <t>&lt;span&gt;Comments:&lt;/span&gt;&lt;br /&gt;&lt;span&gt; Penetration Tests will not be able to be obtained for many SaaS services (O365, etc.).&lt;/span&gt;&lt;br /&gt;&lt;br /&gt;&lt;span&gt;When possible, an optimal outcome would be the ability to repeatedly perform credible static and dynamic testing within the deployment pipeline.  If testing is not achievable by automation, the use of an independent 3rd party specialist service should be used.&lt;/span&gt;&lt;br /&gt;&lt;br /&gt;&lt;span&gt;Testing should included the latest OWASP Top Ten.&lt;/span&gt;&lt;br /&gt;&lt;br /&gt;&lt;span&gt;Test results, when performed, must contain no residual High, and no residual Medium technical risks.&lt;/span&gt;&lt;br /&gt;&lt;br /&gt;&lt;br /&gt;&lt;span&gt;Resources:&lt;/span&gt;&lt;br /&gt;&lt;a href="https://www.owasp.org/" class="text-blue underline" target="_blank" rel="noreferrer noopener"&gt;https://www.owasp.org/&lt;/a&gt;&lt;br /&gt;&lt;a href="https://www.owasp.org/images/7/72/OWASP_Top_10-2017_%28en%29.pdf.pdf" class="text-blue underline" target="_blank" rel="noreferrer noopener"&gt;https://www.owasp.org/images/7/72/OWASP_Top_10-2017_%28en%29.pdf.pdf&lt;/a&gt;</t>
  </si>
  <si>
    <t>The service delivery service SHOULD be include automated penetration testing in the automated delivery pipeline.</t>
  </si>
  <si>
    <t>0x70302E92</t>
  </si>
  <si>
    <t>Compliance/NZISM</t>
  </si>
  <si>
    <t>&lt;span&gt;The solution SHOULD make reasonable attempts to address the recommendations specified in the New Zealand Information Security Manual (NZISM). &lt;/span&gt;</t>
  </si>
  <si>
    <t>&lt;span&gt;Not all recommendations in the NZISM can reasonably be met.&lt;/span&gt;&lt;br /&gt;&lt;br /&gt;&lt;span&gt;But the following are certainly ones that are expected to be implemented, and governance applied if exemptions are required:&lt;/span&gt;&lt;br /&gt;&lt;br /&gt;&lt;span&gt;* Hosted on organisation approved cloud provider infrastructure or organisation managed infrastructure.&lt;/span&gt;&lt;br /&gt;&lt;span&gt;* The use of confidential communication channels between components when ever technically possible (HTTPS, encrypted db connection strings, SSH, secure email, etc).&lt;/span&gt;&lt;br /&gt;&lt;span&gt;* Encryption of data at rest (encrypted databases).&lt;/span&gt;&lt;br /&gt;&lt;span&gt;* The use of external identity providers.&lt;/span&gt;&lt;br /&gt;&lt;span&gt;* Auditing of access to and changes to component configuration.&lt;/span&gt;</t>
  </si>
  <si>
    <t>0x65989AC8</t>
  </si>
  <si>
    <t>Reliability/Sessionless</t>
  </si>
  <si>
    <t>&lt;span&gt;The system MUST be sessionless.&lt;/span&gt;</t>
  </si>
  <si>
    <t>0x7874E348</t>
  </si>
  <si>
    <t>ISO-25010/Reliability/Availability</t>
  </si>
  <si>
    <t>Reliability/Recoverable</t>
  </si>
  <si>
    <t>&lt;span&gt;The system MUST be recoverable after unexpected errors.&lt;/span&gt;</t>
  </si>
  <si>
    <t>&lt;span&gt;As defined elsewhere, the user should be displayed a custom error message (in order to hide any potentially sensitive information) and provided instructions on how to proceed.&lt;/span&gt;</t>
  </si>
  <si>
    <t>0x22B2A86F</t>
  </si>
  <si>
    <t>&lt;span&gt;Upon unexpected errors, end users MUST be able to recover from unexpected system behaviour.&lt;/span&gt;</t>
  </si>
  <si>
    <t>&lt;span&gt;Users must be presented with a custom message, recover and continue to be productive.&lt;/span&gt;</t>
  </si>
  <si>
    <t>0x17B1103B</t>
  </si>
  <si>
    <t>Reliability/SLA Available</t>
  </si>
  <si>
    <t>&lt;span&gt;The system MUST be available at least 99.9% of every 2 week cycle.&lt;/span&gt;</t>
  </si>
  <si>
    <t>&lt;span&gt;99.9% per month means the following downtime is permitted:&lt;/span&gt;&lt;br /&gt;&lt;br /&gt;&lt;span&gt;- Daily: 1m 26.4s&lt;/span&gt;&lt;br /&gt;&lt;span&gt;- Weekly: 10m 4.8s&lt;/span&gt;&lt;br /&gt;&lt;span&gt;- Monthly: 43m 49.7s&lt;/span&gt;&lt;br /&gt;&lt;span&gt;- Yearly: 8h 45m 57.0s&lt;/span&gt;&lt;br /&gt;&lt;br /&gt;&lt;br /&gt;&lt;span&gt;If the system is not a SaaS and is to be deployed by organisation resources, an automated build, test and deployment pipeline is required to meet the above constraints while deploying every 2 weeks, as per the organisation's Agile delivery objectives.&lt;/span&gt;&lt;br /&gt;&lt;br /&gt;&lt;span&gt;Resources:&lt;/span&gt;&lt;br /&gt;&lt;a href="https://uptime.is/99.9" class="text-blue underline" target="_blank" rel="noreferrer noopener"&gt;https://uptime.is/99.9&lt;/a&gt;</t>
  </si>
  <si>
    <t>0xD7158BC0</t>
  </si>
  <si>
    <t>ISO-25010/Security/Privacy/Data Use</t>
  </si>
  <si>
    <t>Privacy/PII/Permitted Use</t>
  </si>
  <si>
    <t>&lt;span&gt;The system SHOULD be capable of asking permission of end users for the use of their data, while explaining what it will be used for.&lt;/span&gt;</t>
  </si>
  <si>
    <t>&lt;span&gt;As per the "Compliance" requirement, the Privacy Act must be abided by when persisting or using end user information. &lt;/span&gt;&lt;br /&gt;&lt;br /&gt;&lt;span&gt;There are gaps between the Privacy Act and GDRP, but it is to be expected that the Privacy Act will be ammended to match or surpass the GDRP. It is far cheaper to work towards meeting GDRP requirements than have to retrofit these objectives later -- or be forced to stop using a SaaS that is not being updated to meet the requirements.&lt;/span&gt;</t>
  </si>
  <si>
    <t>0x5B2AFE6C</t>
  </si>
  <si>
    <t>ISO-25010/Security/Privacy</t>
  </si>
  <si>
    <t>Privacy/PII/NearShore Storage</t>
  </si>
  <si>
    <t>&lt;span&gt;Personally Identifiable Information (PII) SHOULD be persisted in on-shore or near-shore data centers.&lt;/span&gt;</t>
  </si>
  <si>
    <t>&lt;span&gt;Information entrusted by end users should be persisted in countries with reliable and aligned legal frameworks regarding access to persisted data.&lt;/span&gt;</t>
  </si>
  <si>
    <t>0x90F49545</t>
  </si>
  <si>
    <t>Privacy/PII/Minimum Collection</t>
  </si>
  <si>
    <t>&lt;span&gt;The system MUST collect the minimum PII to function correctly.&lt;/span&gt;</t>
  </si>
  <si>
    <t>0x504BCF28</t>
  </si>
  <si>
    <t>Privacy/PII/Minimum Disclosure</t>
  </si>
  <si>
    <t>&lt;span&gt;The principle of minimum disclosure MUST be applied to Personal Identifiable Information (PII).&lt;/span&gt;</t>
  </si>
  <si>
    <t>0xBE60AE4B</t>
  </si>
  <si>
    <t>Privacy/PII/Correctable</t>
  </si>
  <si>
    <t>&lt;span&gt;Users of the system SHOULD be able to submit for approval corrections to their Personally Identifiable Information (PII).&lt;/span&gt;</t>
  </si>
  <si>
    <t>Most systems retrieve their information from remote systems. The whole solution (not necessarily the system itself although that would be beneficial) should provide instructions of an automated means to redirect users to the source system.</t>
  </si>
  <si>
    <t>0x6EFA0C53</t>
  </si>
  <si>
    <t>Data/Migration/Export</t>
  </si>
  <si>
    <t>&lt;span&gt;System data managed by the system MUST be exportable in an machine processable format.&lt;/span&gt;</t>
  </si>
  <si>
    <t>Towards Interoperability objectives, it is important that the system's data can be exported and projected into a format that is importable by other services.&lt;p&gt;This is especially important As a Service Client feature required to correctly meet end of life/exit strategies.&lt;/p&gt;</t>
  </si>
  <si>
    <t>0x65AE39B8</t>
  </si>
  <si>
    <t>ISO-25010/Portability/Installability</t>
  </si>
  <si>
    <t>Deployment/Fortnightly</t>
  </si>
  <si>
    <t>&lt;span&gt;If the system is not a SaaS, it MUST be deployable to Production every 2 weeks.&lt;/span&gt;</t>
  </si>
  <si>
    <t>&lt;span&gt;Redeploying every two weeks ensures that the system's deployment is automated. &lt;/span&gt;&lt;p&gt;&lt;span&gt;&lt;/span&gt;&lt;/p&gt;&lt;p&gt;&lt;span&gt;It also allows for demonstrating the deployment mechanism remains  constantly functional and rapid over the product lifespan of the system, ready for use when new features are tested and added to the product.&lt;/span&gt;&lt;/p&gt;</t>
  </si>
  <si>
    <t>0x91CD0CBE</t>
  </si>
  <si>
    <t>Deployment/Standard Memory</t>
  </si>
  <si>
    <t>&lt;span&gt;IF the system is not a SaaS, the system MUST require *less than or equal to 8x the minimum memory specification of the Execution Environment Device's installed OS in order to  meet defined performance and threshold qualities. &lt;/span&gt;</t>
  </si>
  <si>
    <t>&lt;span&gt;The organisation must avoid systems that cannot execute their functions without atypical and costly equipment.&lt;/span&gt;&lt;br /&gt;&lt;br /&gt;&lt;span&gt;Minimum specifications are pretty basic (eg: 512Mb for Windows Server 2012) so we're talking about a max of 4Gb. Note that this testing limit does not indicate an execution limit: once testing has demonstrated that expected qualities are met, individual projects are free to investigate whether the use of more resources in production environments is of *value*.&lt;/span&gt;</t>
  </si>
  <si>
    <t>0x007C7AE4</t>
  </si>
  <si>
    <t>Deployment/Pipeline as Primary Deliverable</t>
  </si>
  <si>
    <t>&lt;span&gt;The System MUST be deployed and/or provisioned in a repeatable rapid automated manner.&lt;/span&gt;</t>
  </si>
  <si>
    <t>&lt;span&gt;Implications:&lt;/span&gt;&lt;br /&gt;&lt;span&gt;If the system is to be deployed As a Service Client PaaS, Container or IaaS based solution -- as oppossed to a SaaS -- a deployment pipeline MUST be the primary solution's deliverable.&lt;/span&gt;&lt;br /&gt;</t>
  </si>
  <si>
    <t>0x68969720</t>
  </si>
  <si>
    <t>Deployment/Standard Devices</t>
  </si>
  <si>
    <t>&lt;span&gt;IF the system is not a SaaS, the system MUST require *less than or equal to* **4x** the minimum CPU specification of the Execution Environment Device's installed OS in order to  meet defined performance and threshold qualities. &lt;/span&gt;</t>
  </si>
  <si>
    <t>&lt;span&gt;The organisation must avoid systems that cannot execute their functions without atypical and costly equipment.&lt;/span&gt;&lt;br /&gt;&lt;br /&gt;&lt;span&gt;The minimum spec for Windows Server 2012 (only used as an example) is 1.4Ghz core, in which case the max to be used for testing purposes MAY be **4x** Cores (ignore the Mhz) -- SHOULD be **2x** cores.&lt;/span&gt;&lt;br /&gt;&lt;br /&gt;&lt;span&gt;Note that this testing limit does not indicate an execution limit: once testing has demonstrated that expected qualities are met, individual projects are free to investigate whether the use of more resources in production environments is of *value*.&lt;/span&gt;</t>
  </si>
  <si>
    <t>0x07C26691</t>
  </si>
  <si>
    <t>ISO-25010/Performance/Time Behaviour/Response</t>
  </si>
  <si>
    <t>Stakeholders/Customer Support Specialists</t>
  </si>
  <si>
    <t>Performance/Complete Rapidly</t>
  </si>
  <si>
    <t>&lt;span&gt;90% of routine user operations MUST complete within 1 second, 99% within 2 seconds, 100% within 5 seconds.&lt;/span&gt;</t>
  </si>
  <si>
    <t>&lt;span&gt;Responsive systems keep users engaged, who in turn make less data quality entry mistakes.&lt;/span&gt;&lt;br /&gt;&lt;br /&gt;&lt;span&gt;Note that *"Complete"* includes all communication between Client User-Agent and Service has completed and the UI has completed updating itself.&lt;/span&gt;</t>
  </si>
  <si>
    <t>0x063D57A6</t>
  </si>
  <si>
    <t>ISO-25010/Performance/Time Behaviour/Startup</t>
  </si>
  <si>
    <t>Deployment/Rapid</t>
  </si>
  <si>
    <t>&lt;span&gt;If the System is not a SaaS, the System MUST be deployable to a new environment -- using a single, automated, action – within 20 minutes.&lt;/span&gt;</t>
  </si>
  <si>
    <t>0xEB94FE03</t>
  </si>
  <si>
    <t>Compliance</t>
  </si>
  <si>
    <t>&lt;span&gt;The system MUST be compliant with or exempted from applicable laws within the nations the organisation provides the service.&lt;/span&gt;</t>
  </si>
  <si>
    <t>&lt;span&gt;A system must function within the constraints of the law and agreed norms of its users.&lt;/span&gt;</t>
  </si>
  <si>
    <t>&lt;span&gt;In New Zealand the system must be compliant with the following:&lt;/span&gt;&lt;br /&gt;&lt;span&gt;- Privacy Act 1993 (12 principles)&lt;/span&gt;&lt;br /&gt;&lt;span&gt;- Public Records Act 2005&lt;/span&gt;&lt;br /&gt;&lt;br /&gt;&lt;span&gt;Depending on the data managed by a system, the following might also have to be complied with:&lt;/span&gt;&lt;br /&gt;&lt;span&gt;- The Education Act 1989&lt;/span&gt;&lt;br /&gt;&lt;span&gt;- The Education (Update) Amendment Act 2017&lt;/span&gt;&lt;br /&gt;&lt;span&gt;- Harmful Digital Communications Bill&lt;/span&gt;&lt;br /&gt;&lt;br /&gt;&lt;span&gt;In addition to the above, the following apply to most systems:&lt;/span&gt;&lt;br /&gt;&lt;br /&gt;&lt;span&gt;- &lt;/span&gt;&lt;a href="https://www.ict.govt.nz/guidance-and-resources/standards-compliance/api-standard-and-guidelines/" class="text-blue underline" target="_blank" rel="noreferrer noopener"&gt;https://www.ict.govt.nz/guidance-and-resources/standards-compliance/api-standard-and-guidelines/&lt;/a&gt;&lt;br /&gt;&lt;span&gt;- &lt;/span&gt;&lt;a href="https://www.ict.govt.nz/guidance-and-resources/standards-compliance/web-standards/" class="text-blue underline" target="_blank" rel="noreferrer noopener"&gt;https://www.ict.govt.nz/guidance-and-resources/standards-compliance/web-standards/&lt;/a&gt;&lt;br /&gt;&lt;span&gt;- &lt;/span&gt;&lt;a href="https://www.ict.govt.nz/guidance-and-resources/using-cloud-services/" class="text-blue underline" target="_blank" rel="noreferrer noopener"&gt;https://www.ict.govt.nz/guidance-and-resources/using-cloud-services/&lt;/a&gt;</t>
  </si>
  <si>
    <t>0xD9B1A65F</t>
  </si>
  <si>
    <t>ISO-25010/Performance/Resource Usage/IO</t>
  </si>
  <si>
    <t>Performance/Throughput Capable</t>
  </si>
  <si>
    <t>&lt;span&gt;The system MUST maintain the maximum number of normal operations 95% of the time while meeting its System Resource Utilization and Interaction Response Time obligations.&lt;/span&gt;</t>
  </si>
  <si>
    <t>Testing:&lt;br /&gt;&lt;span&gt;A test sequence of 5 minutes is satisfactory to prove this (anything longer is a waste of time, contrary to suggestions by consultants).&lt;/span&gt;</t>
  </si>
  <si>
    <t>0xE62F7240</t>
  </si>
  <si>
    <t>JSON/XML APIs</t>
  </si>
  <si>
    <t>&lt;span&gt;Information transmitted over API MUST be serializable to JSON.&lt;/span&gt;</t>
  </si>
  <si>
    <t>&lt;span&gt;References:&lt;/span&gt;&lt;br /&gt;&lt;a href="https://tools.ietf.org/html/rfc8259" class="text-blue underline" target="_blank" rel="noreferrer noopener"&gt;https://tools.ietf.org/html/rfc8259&lt;/a&gt;</t>
  </si>
  <si>
    <t>&lt;span&gt;Services MUST be deployed to shared infrastructure.&lt;/span&gt;</t>
  </si>
  <si>
    <t>&lt;span&gt;On physical infrastucture this implies the use of virtual servers. On cloud provider infrastructure this implies PaaS service infrastructure.&lt;/span&gt;</t>
  </si>
  <si>
    <t>0xF14CFCA8</t>
  </si>
  <si>
    <t>ISO-25010/Performance/Resource Usage</t>
  </si>
  <si>
    <t>Installability/Be Conservative</t>
  </si>
  <si>
    <t>&lt;span&gt;Tertiary Services MUST be conservatively selected.&lt;/span&gt;</t>
  </si>
  <si>
    <t>&lt;span&gt;It's easy to go wild in the cloud and select services spec'ed to handle conditions far beyond current needs.&lt;/span&gt;&lt;br /&gt;&lt;span&gt;Don't. It all adds up over a system's product lifespan.&lt;/span&gt;</t>
  </si>
  <si>
    <t>0xD8C50392</t>
  </si>
  <si>
    <t>XML APIs</t>
  </si>
  <si>
    <t>&lt;span&gt;Information transmitted over API SHOULD be serializable to XML.&lt;/span&gt;</t>
  </si>
  <si>
    <t>&lt;span&gt;The use of JSON is preferred, but XML still hAs a Service Client place in some cases (eg: integration with legacy systems).&lt;/span&gt;</t>
  </si>
  <si>
    <t>0xD343AD57</t>
  </si>
  <si>
    <t>Resource Capable</t>
  </si>
  <si>
    <t>&lt;span&gt;The system MUST be capable of meeting stated response and throughput constraint requirements.&lt;/span&gt;&lt;br /&gt;&lt;br /&gt;&lt;span&gt;IF the system is not a SaaS, the above constraints MUST be met while consuming less than 60% of each host's available resources.&lt;/span&gt;</t>
  </si>
  <si>
    <t>&lt;span&gt;Although resource wastage is undesirable, physical hardware fails faster when run at or near maximum capacity.&lt;/span&gt;&lt;br /&gt;&lt;br /&gt;&lt;span&gt;Virtual hardware obfuscates what is happening at the physical hardware level, but the principle stands. A horizontally scalable system will cause the spin up of additional systems when the CPU passes a configurable value (eg; 50%).&lt;/span&gt;</t>
  </si>
  <si>
    <t>0x910A71C3</t>
  </si>
  <si>
    <t>SaaS before IaaS</t>
  </si>
  <si>
    <t>&lt;span&gt;System design and components SHOULD be chosen on the basis of the organisation's principle of "SaaS before PaaS, before Containers,  before IaaS, before Physical".&lt;/span&gt;</t>
  </si>
  <si>
    <t>&lt;span&gt;PaaS offer the lowest deployment and operation costs, and all new 'green-field' development SHOULD target PaaS in order to take advantage of the cost-savings and built in capabilities -- but not all legacy applications can be cost-effectively re-engineered to be hosted on PaaS. &lt;/span&gt;&lt;br /&gt;&lt;br /&gt;&lt;span&gt;In such cases, although more costly, IaaS and virtual containers may be the only practical option. &lt;/span&gt;&lt;br /&gt;&lt;br /&gt;&lt;span&gt;Hosting directly on physical infrastructure does not meet the organisation's *Cloud First* design principle.&lt;/span&gt;&lt;br /&gt;&lt;br /&gt;&lt;span&gt;Note that the principle is a recommendation: buying systems can have significant hidden integration and lost opportunity costs.&lt;/span&gt;</t>
  </si>
  <si>
    <t>0x7B1CA2BC</t>
  </si>
  <si>
    <t>Queryable APIs</t>
  </si>
  <si>
    <t>&lt;span&gt;APIs SHOULD be developed to be queryable.&lt;/span&gt;</t>
  </si>
  <si>
    <t>&lt;span&gt;Determining ahead of time what APIs are desired by end users is  impossible to determine correctly and remains expensive to correct afterwards. &lt;/span&gt;&lt;br /&gt;&lt;br /&gt;&lt;span&gt;Hence having queryability on APIs is valuable. &lt;/span&gt;&lt;br /&gt;&lt;br /&gt;&lt;span&gt;Although GraphML is gaining traction, ODATA remains the only Standards based Query extension to REST. Refer to ISO/IEC 20802-1:2016 (OData 4.0 Protocol) and ISO/IEC 20802-2:2016 (OData 4.0 JSON Format).&lt;/span&gt;&lt;br /&gt;&lt;br /&gt;&lt;span&gt;Note that adherence to OpenAPI is important, but does not solve Queryability and probably should be implemented separately.&lt;/span&gt;</t>
  </si>
  <si>
    <t>0x655BA0F3</t>
  </si>
  <si>
    <t>Cloud</t>
  </si>
  <si>
    <t>ISO-25010/Maintainability/Supportability</t>
  </si>
  <si>
    <t>Cloud First</t>
  </si>
  <si>
    <t>The System SHOULD be cloud hosted.</t>
  </si>
  <si>
    <t>&lt;span&gt;Use organisation approved cloud services in preference to traditional IT systems because they are more cost effective, agile, are generally more secure and provide greater choice.&lt;/span&gt;&lt;br /&gt;&lt;br /&gt;&lt;span&gt;Organisation approved cloud services have the following basic characteristics:&lt;/span&gt;&lt;br /&gt;&lt;span&gt;- have obtained ISO-27001 and ISO-27018 certification&lt;/span&gt;&lt;br /&gt;&lt;span&gt;- undergo regular SOC2 reporting&lt;/span&gt;&lt;br /&gt;&lt;span&gt;- access is limited, audited, and never permitted to individuals without accompaniment and visual supervision of operations undertaken.&lt;/span&gt;&lt;br /&gt;&lt;span&gt;- all configuration changes are audited&lt;/span&gt;&lt;br /&gt;&lt;span&gt;- infrastructure is monitored&lt;/span&gt;</t>
  </si>
  <si>
    <t>0x137520AC</t>
  </si>
  <si>
    <t>Universal</t>
  </si>
  <si>
    <t>&lt;span&gt;The systems MUST be operable in different locales and cultures other than the service's location.&lt;/span&gt;</t>
  </si>
  <si>
    <t>&lt;span&gt;The system MUST persist data (eg: Dates, Times) in a universal manner (eg: UTC Date offsets) and transmitted in a universal format where possible (eg: see ISO 8601), so that it can be rendered relative to end user's local time. &lt;/span&gt;&lt;br /&gt;&lt;br /&gt;&lt;span&gt;As per other Obligations, the system MUST be capable of rendering operational instructions (eg: interface texts) and formatted data as per  configurable locale-region codes.&lt;/span&gt;&lt;br /&gt;&lt;br /&gt;&lt;span&gt;Mutable Ids MUST be UUID based -- not Integers. for all systems that are expected to require either horizontal scaling at the data storage level, and/or require offline record creation (eg: via mobile clients and/or distributed systems, such as SMS records).&lt;/span&gt;</t>
  </si>
  <si>
    <t>0x58B00A8E</t>
  </si>
  <si>
    <t>The system MUST be capable to provide concurrent services to the maximum number of potential users in the countries the system is designed to provide -- all while meeting throughput constraint requirements stated elsewhere.</t>
  </si>
  <si>
    <t>&lt;span&gt;A gross "back-of-an-envelope" estimate of the size of the possible user base is sufficient for estimating required capacity:&lt;/span&gt;&lt;br /&gt;&lt;br /&gt;&lt;span&gt;- some business department users (eg: &amp;lt;250 users)&lt;/span&gt;&lt;br /&gt;&lt;span&gt;- a a small organisation (eg: &amp;lt;1000 users) &lt;/span&gt;&lt;br /&gt;&lt;span&gt;- a medium sized organisation (eg: 10,000), &lt;/span&gt;&lt;br /&gt;&lt;span&gt;- a whole sector (eg: &amp;lt;50,000), &lt;/span&gt;&lt;br /&gt;&lt;span&gt;- a small country's user base (eg: 500,000)&lt;/span&gt;&lt;br /&gt;&lt;span&gt;- international (eg: 1,000,000+ dispersed in multiple countries).&lt;/span&gt;&lt;br /&gt;&lt;br /&gt;&lt;span&gt;For anything larger than the first option (&amp;lt;250 concurrent users), if the system is not a SaaS, the system must be designed to take advantage of elastic horizontally scalable infrastructure capabilities to expand and contract as needed to meet demand.&lt;/span&gt;&lt;br /&gt;&lt;br /&gt;&lt;span&gt;The service must not require dedicated, on-standby, infrastructure to run.&lt;/span&gt;</t>
  </si>
  <si>
    <t>0xCC6568FA</t>
  </si>
  <si>
    <t>API for Supportability</t>
  </si>
  <si>
    <t>&lt;span&gt;The system SHOULD provide an interface for end user customer support purposes.&lt;/span&gt;</t>
  </si>
  <si>
    <t>&lt;span&gt;Customer support specialists must be provided the tools to help system users.&lt;/span&gt;</t>
  </si>
  <si>
    <t>0x3890E23A</t>
  </si>
  <si>
    <t>REST APIs</t>
  </si>
  <si>
    <t>&lt;span&gt;System APIs SHOULD be REST-ful.&lt;/span&gt;</t>
  </si>
  <si>
    <t>&lt;span&gt;REST APIs are preferred to older protocols, such as SOAP, for its tighter focus on purpose, improving maintainability, and availability from the market of current integration capabilities.&lt;/span&gt;</t>
  </si>
  <si>
    <t>0x3260BAA7</t>
  </si>
  <si>
    <t>API for Configurability</t>
  </si>
  <si>
    <t>&lt;span&gt;The system MUST provide an interface for system configuration.&lt;/span&gt;</t>
  </si>
  <si>
    <t>&lt;span&gt;System support specialists must be provided the tools to maintain the system.&lt;/span&gt;</t>
  </si>
  <si>
    <t>0xC0ABE2CE</t>
  </si>
  <si>
    <t>Documentation/Support</t>
  </si>
  <si>
    <t>&lt;span&gt;The system MUST be delivered with succinct documentation as necessary for Support Specialists to maintain operations.&lt;/span&gt;</t>
  </si>
  <si>
    <t>&lt;span&gt;If the system is not a SaaS, the system should not require a manual deployment document (as it is deployed by automation), but the pipeline itself should be documented closest to the pipeline (ie, in the ALM's wiki).&lt;/span&gt;</t>
  </si>
  <si>
    <t>0x0431C51D</t>
  </si>
  <si>
    <t>SMTP Integration</t>
  </si>
  <si>
    <t>&lt;span&gt;The system MUST be capable of being integrated with an organisation approved and/or provided SMTP Service.&lt;/span&gt;</t>
  </si>
  <si>
    <t>&lt;span&gt;For security and trust objectives, Notifications sent by a system should be easily identifiable as coming from a system managed by the organisation.&lt;/span&gt;</t>
  </si>
  <si>
    <t>0x30529581</t>
  </si>
  <si>
    <t>All Stakeholders</t>
  </si>
  <si>
    <t>&lt;span&gt;The solution SHOULD address the functional requirements of multiple stakeholders groups.&lt;/span&gt;</t>
  </si>
  <si>
    <t>&lt;span&gt;A key source of of frustration and solution failure is concentrating on one stakeholder group's requirements at the expense of others.&lt;/span&gt;&lt;br /&gt;&lt;br /&gt;&lt;span&gt;A system MUST address the functional requirements of multiple stakeholders groups, including the following:&lt;/span&gt;&lt;br /&gt;&lt;span&gt;- Business Stakeholders&lt;/span&gt;&lt;br /&gt;&lt;span&gt;- End Users&lt;/span&gt;&lt;br /&gt;&lt;span&gt;- Support Specialists, including:&lt;/span&gt;&lt;br /&gt;&lt;span&gt;- Customer Support Specialists&lt;/span&gt;&lt;br /&gt;&lt;span&gt;- Business Support Specialists&lt;/span&gt;&lt;br /&gt;&lt;span&gt;- Application Support Specialists&lt;/span&gt;&lt;br /&gt;&lt;span&gt;- Data Support Specialists&lt;/span&gt;&lt;br /&gt;&lt;span&gt;- Infrastructure Support Specialists&lt;/span&gt;&lt;br /&gt;&lt;span&gt;- Security Specialists&lt;/span&gt;</t>
  </si>
  <si>
    <t>0x0464D39A</t>
  </si>
  <si>
    <t>Data Migration</t>
  </si>
  <si>
    <t>&lt;span&gt;The system MUST provide a means to import existing data using a data-validating process.&lt;/span&gt;</t>
  </si>
  <si>
    <t>&lt;span&gt;Data migration via databases bulk record imports (whether done by ETL or not) is to be avoided:&lt;/span&gt;&lt;br /&gt;&lt;span&gt;- it bypasses authentication&lt;/span&gt;&lt;br /&gt;&lt;span&gt;- it bypasses system validation logic.&lt;/span&gt;&lt;br /&gt;&lt;br /&gt;&lt;span&gt;Data extracted from legacy systems must be converted to API compliant data first (ie JSON) then fed through the system's API to ensure it passes validation before being used.&lt;/span&gt;</t>
  </si>
  <si>
    <t>0xF396808C</t>
  </si>
  <si>
    <t>Trap Errors</t>
  </si>
  <si>
    <t>&lt;span&gt;The system MUST trap and record unexpected errors.&lt;/span&gt;</t>
  </si>
  <si>
    <t>&lt;span&gt;If not a SaaS the diagnostic trace of the error must be made available to the organisation's support specialists in order to provide answers to end users, as well as provide feedback regarding further development priorities.&lt;/span&gt;</t>
  </si>
  <si>
    <t>0x7B4E492E</t>
  </si>
  <si>
    <t>Improvable Requirements</t>
  </si>
  <si>
    <t>&lt;span&gt;Mutually agreed Requirements MAY be added as the project progresses.&lt;/span&gt;</t>
  </si>
  <si>
    <t>&lt;span&gt;Requirements should not be fixed in stone at the beginning of projects (nobody has 20/20 vision into the future). Mutually acceptable amendments and/or additions must be able to be made without undue fuss if they remove ambiguity and improve quality while improving the chances of a successful delivery.&lt;/span&gt;</t>
  </si>
  <si>
    <t>0x73DBFACC</t>
  </si>
  <si>
    <t>Data/Validation</t>
  </si>
  <si>
    <t>&lt;span&gt;The system MUST validate data prior to it being operated on and/or persisted.&lt;/span&gt;</t>
  </si>
  <si>
    <t>&lt;span&gt;Incorrect data promotes incorrect information, incorrect decisions leading to waste of organisation resources.&lt;/span&gt;</t>
  </si>
  <si>
    <t>ISO-25010/Functionality</t>
  </si>
  <si>
    <t>Data/MIgration/Import</t>
  </si>
  <si>
    <t>&lt;span&gt;At the end of the system's product life data MUST be exportable in order to be more easily projected into a format that can be imported into the system's replacement system.&lt;/span&gt;&lt;br /&gt;&lt;br /&gt;&lt;span&gt;Meeting this exit strategy obligation aligns with the organisation's design principles.&lt;/span&gt;</t>
  </si>
  <si>
    <t>ISO-25010/Functionality/Appropriateness</t>
  </si>
  <si>
    <t>0xF594B85C</t>
  </si>
  <si>
    <t>Integration/DW</t>
  </si>
  <si>
    <t>&lt;span&gt;Unless the system is a SaaS, the system's data MUST be available for regular export to an organisation managed data warehouse.&lt;/span&gt;</t>
  </si>
  <si>
    <t>&lt;span&gt;The data must be available (eg: by API) that can be accessed by an ETL service.&lt;/span&gt;&lt;br /&gt;&lt;br /&gt;&lt;span&gt;Note that if the service is a cloud hosted SaaS, a cloud based ETL service may be used to extract data.&lt;/span&gt;</t>
  </si>
  <si>
    <t>Integration/MTA</t>
  </si>
  <si>
    <t>All code MUST be developed such that there are all compilation Errors or Warnings are addressed prior to work being committed.</t>
  </si>
  <si>
    <t>Towards ISO-25010/Maintainability objectives, it is important the support developers are not distracted by errors from previous developers, nor ignore ones that could potentially affect service security or availability.</t>
  </si>
  <si>
    <t>&lt;p&gt;Developers' code compilation tools must be configured to "Treat Warnings as Errors".&lt;/p&gt;&lt;p&gt;It is common for developers to prefer expediency and turn this feature off. This is a mistake, and waste of valuable information: developers may not automatically recognize the impact of warnings -- but there's a reason that compilers bring attention to specific issues rather than let them slide.&lt;/p&gt;</t>
  </si>
  <si>
    <t>Concerns/Design/Qualities/Security/Authenticity</t>
  </si>
  <si>
    <t>CPDB/TBD/x</t>
  </si>
  <si>
    <t>Security Authorisation</t>
  </si>
  <si>
    <t>Please describe how your solution provides confidential authorised audited access to appropriate security principals.</t>
  </si>
  <si>
    <t>Information should be made available where appropriate. &lt;p&gt;Access to information by authenticated users should be audited.&lt;/p&gt;</t>
  </si>
  <si>
    <t>&lt;p&gt;Consider describing how:&lt;/p&gt;&lt;p&gt;* Data in transit is secured between all components (not just user's Client and Server) using secure channels (HTTPS) as well as secured connection strings&lt;/p&gt;&lt;p&gt;* Data at Rest is secured using encrypted data storage&lt;/p&gt;&lt;p&gt;The encryption approach, algorithm and strength used&amp;nbsp;should be&amp;nbsp;current and recommended.&lt;/p&gt;&lt;li&gt;Data is protected from unauthorised change via both physical and remote access&lt;/li&gt;&lt;li&gt;Authorised changes to records is audited both within and off the system&lt;/li&gt;&lt;li&gt;Audit records are protected against tampering&lt;/li&gt;&lt;li&gt;Availability of the service protected from Denial of Service (DoS)&amp;nbsp;attacks.&lt;/li&gt;&lt;li&gt;User provided data (form data and media) is validated for malware (e.g., by a malware protection service and/or a Web Application Firewall) prior to being saved.&amp;nbsp;&lt;/li&gt;</t>
  </si>
  <si>
    <t>Evaluate the service for adherence to Qualities/ISO-25010/Security considerations, including:&lt;p&gt;&lt;ul&gt;&lt;li&gt;Qualities/ISO-25010/Security/Confidentiality (over web channels secured by strong and current encryption)&lt;/li&gt;&lt;li&gt;Qualities/ISO-25010/Security/Accountability (via Audit records created from Session information)&lt;/li&gt;&lt;li&gt;Qualities/ISO-25010/Security/Authenticity (via ensuring users are autheticated)&lt;/li&gt;&lt;/ul&gt;&lt;/p&gt;</t>
  </si>
  <si>
    <t>SSDB/TBD</t>
  </si>
  <si>
    <t>Automated Deployments</t>
  </si>
  <si>
    <t>Please describe how the solution can be automatically built, configured, tested and deployed on a regular basis at a high cadence to multiple environments.</t>
  </si>
  <si>
    <t>Deployment of whole systems or deployment of just the configuration of 3rd party cloud services should be done in such a way as it can be performed rapidly and&amp;nbsp;&lt;span&gt;correctly, whenever required, by different resources than those who performed the initial development.&lt;/span&gt;&lt;p&gt;&lt;span&gt;&lt;/span&gt;&lt;/p&gt;&lt;p&gt;&lt;span&gt;&lt;/span&gt;&lt;/p&gt;</t>
  </si>
  <si>
    <t>&lt;span&gt;Customers expect IT to be able to regularly deploy quality tested services.&lt;/span&gt;&lt;p&gt;&lt;span&gt;&lt;/span&gt;&lt;/p&gt;&lt;p&gt;&lt;span&gt;This requires a Continuous Integration and Deployment pipeline that ensures the following tests are performed by automation:&lt;br /&gt;&lt;span&gt;* Unit Tests,&amp;nbsp;&lt;br /&gt;&lt;span&gt;&lt;span&gt;* Function Tests,&amp;nbsp;&lt;br /&gt;&lt;span&gt;* Penetration Tests,&amp;nbsp;&lt;br /&gt;&lt;span&gt;* Scalability Tests,&lt;br /&gt;&lt;span&gt;* Performance Tests&lt;/span&gt;&lt;/span&gt;&lt;/span&gt;&lt;/span&gt;&lt;/span&gt;&lt;/span&gt;&lt;/span&gt;&lt;/p&gt;&lt;p&gt;&lt;span&gt;&lt;/span&gt;&lt;/p&gt;&lt;p&gt;&lt;span&gt;The organisation's change to a DevOps approach to developing and operating IT systems reflects our recognition that project failure is directly tied to a couple of key issues:&lt;br /&gt;* &lt;span&gt;Focusing most attention on the development with little thought for operations, even though that is often up to 10 times longer,&lt;br /&gt;* &lt;span&gt;Project requirements are disproportionatly developed by one or two stakeholder groups, relegating other stakeholder groups to pick up the pieces as best they can.&lt;br /&gt;* &lt;span&gt;Focusing on manual effort first, and automation last leads to never getting to automation of testing or delivery, resulting in glacial delivery cycles that cannot keep up to changing business demands.&lt;/span&gt;&lt;/span&gt;&lt;/span&gt;&lt;/span&gt;&lt;p&gt;&lt;span&gt;&lt;/span&gt;&lt;/p&gt;&lt;p&gt;&lt;span&gt;&lt;/span&gt;&lt;/p&gt;&lt;p&gt;&lt;span&gt;Adhering to the organisation's principle of Pipeline before Product, the organisation requires the primary deliverable to be a configured Application Lifecylce Management (ALM) environment that contains Build and Deployment pipelines that manage the building, configuring, provisioning, testing and deployment of a solution to target environments.&lt;/span&gt;&lt;/p&gt;&lt;p&gt;Whereas in the past the organisation managed projects by focusing most effort on getting to an initial go-live delivery of the service and one or two subsequent redeployments, the organisation now focuses its effort on developing a continuous deployment environment and pipeline &lt;i&gt;first&lt;/i&gt;.&amp;nbsp;&lt;/p&gt;&lt;p&gt;Towards this objective, we manage projects using an Application Lifecycle Management (ALM) Service Suite (in our case Azure DevOps), configured to one or more of the following steps:&lt;br /&gt;* Compile a solution's code (if a custom solution) into components, test them using unit tests, then package them into deployment artifacts,* Deploy the solution's artifacts to a target environment&lt;/p&gt;&lt;/p&gt;</t>
  </si>
  <si>
    <t>Evaluate the response for its understanding that the pipeline is the primary deliverable</t>
  </si>
  <si>
    <t>Concerns/Design/Qualities/UsabilityLearnability</t>
  </si>
  <si>
    <t>Unspecified</t>
  </si>
  <si>
    <t>Qualities/ISO-25010/Usability</t>
  </si>
  <si>
    <t>Solution Proposal/Usability</t>
  </si>
  <si>
    <t>Please describe how your solution strives to make its interface more usable, in order to make work easier for end users, and decrease errors in input.</t>
  </si>
  <si>
    <t>Towards ISO-25010/Usability standards, so that data input into the system is of higher value, the system's interfaces should be aesthetically coherent and simple, so that it is recognizable and understandable.</t>
  </si>
  <si>
    <t>Consider addressing how the following concerns are addressed:&lt;ul&gt;&lt;li&gt;Ensuring that Views have a single primary action, reducing delays due to making choice&lt;/li&gt;&lt;li&gt;Ensuring that Views are compact such that they do not require Horizontal or Vertical scrolling in order to see everything&lt;/li&gt;&lt;li&gt;Allow Copy/Cut/Paste operations to facilitate entry&lt;/li&gt;&lt;li&gt;Using monochromatic icons for improved recognition by visually impaired users&lt;/li&gt;&lt;li&gt;Using consistent navigation to facilitate recognition and learnability of the system.&lt;/li&gt;&lt;li&gt;Whether the information on Views -- especially Schedules and Grids -- can be printed, either by hiding headers and footers, or developing associated Reports.&lt;/li&gt;&lt;/ul&gt;</t>
  </si>
  <si>
    <t>Evaluate the response to&amp;nbsp; ensure the soloution</t>
  </si>
  <si>
    <t>Concerns/Data/Import</t>
  </si>
  <si>
    <t>Data Migration (In)</t>
  </si>
  <si>
    <t>Please describe how the proposed solution provides processes and mechanisms (e.g.: an API) to import information required to provision the system for use.</t>
  </si>
  <si>
    <t>&lt;p&gt;A system must be provisioned for the organisation's specific use cases before it can be used.&lt;/p&gt;</t>
  </si>
  <si>
    <t>&lt;span&gt;Consider the following forms of data that may require provisioning:&lt;/span&gt;&lt;ul&gt;&lt;li&gt;&lt;span&gt;permissions,&amp;nbsp;&lt;/span&gt;&lt;/li&gt;&lt;li&gt;&lt;span&gt;roles,&amp;nbsp;&lt;/span&gt;&lt;/li&gt;&lt;li&gt;tenants,&amp;nbsp;&lt;/li&gt;&lt;li&gt;organisations,&amp;nbsp;&lt;/li&gt;&lt;li&gt;immutable reference data,&amp;nbsp;&lt;/li&gt;&lt;li&gt;&lt;span&gt;mutable reference data,&amp;nbsp;&lt;/span&gt;&lt;/li&gt;&lt;li&gt;&lt;span&gt;mutable business rules,&amp;nbsp;&lt;/span&gt;&lt;/li&gt;&lt;li&gt;&lt;span&gt;existing business records.&lt;/span&gt;&lt;/li&gt;&lt;ul&gt;&lt;/ul&gt;&lt;li&gt;&lt;span&gt;users, associated to one or more&amp;nbsp;Identity Provider (IdP)&amp;nbsp;logins.&lt;/span&gt;&lt;/li&gt;&lt;/ul&gt;&lt;p&gt;&lt;span&gt;&lt;br /&gt;&lt;/span&gt;&lt;/p&gt;&lt;p&gt;&lt;span&gt;Note that Users may require migration (for data consistency), as well as integration with one or more IdP provided by the Organisation.&lt;/span&gt;&lt;/p&gt;</t>
  </si>
  <si>
    <t>Evaluate the proposal As a Service Client business solution, rather than just a technical solution, considering all steps that must be implemented before the technical system can be used by a business unit.&amp;nbsp;&lt;p&gt;Provisioning the system with organisation specific data is one such step.&lt;/p&gt;&lt;p&gt;Evaluate the system for the following qualities:&lt;/p&gt;&lt;p&gt;&lt;ul&gt;&lt;li&gt;Qualities/ISO-25010/Portability/Installability (of both the system and data)&lt;/li&gt;&lt;li&gt;Qualities/ISO-25010/Compatibility/Interoperability (prefer current integration patterns, such as JSON over REST, to older integration patterns, such as XML over SOAP, or worse, CSV).&lt;/li&gt;&lt;/ul&gt;&lt;/p&gt;&lt;p&gt;&lt;/p&gt;</t>
  </si>
  <si>
    <t>RFP Statements</t>
  </si>
  <si>
    <t>Statements for RFPs must elicit Descriptions of how a service is rendered -- as opposed to Statements for Requirements, which must be Atomic Obligations, Recommendations, Permissions or Prohibitions.</t>
  </si>
  <si>
    <t>Proposals are to enlarge the understanding of how a solution could be developed, whereas Requirements are Constraints.</t>
  </si>
  <si>
    <t>Consider starting RFP Statements with something akin to "Please describe how...".&amp;nbsp;&lt;p&gt;Consider developing Requirement Statements along the line of "The Solution MUST ..."&lt;/p&gt;</t>
  </si>
  <si>
    <t>Similar to Request for Interest (RFI),&amp;nbsp;&amp;nbsp;Request for Proposals (RFPs) are about defining a business service Problem to which a Solution is required, and the Constraints within which it must be delivered.&amp;nbsp;&lt;p&gt;They are &lt;u&gt;&lt;i&gt;not&lt;/i&gt;&lt;/u&gt; technical specifications for a System that must be delivered.&lt;/p&gt;&lt;p&gt;Respondents to RFPs:&lt;/p&gt;&lt;p&gt;&lt;ul&gt;&lt;li&gt;are under pressure to absorb a lot of information about a different business domain than their own, in order to respond to within tight deadlines;&lt;/li&gt;&lt;li&gt;more often than not propose amalgamations of stock software components, assembled as closely as possible to meet the solution's requirements;&lt;/li&gt;&lt;li&gt;sometimes don't fully understand the extent of the problem and its constraints (it's not their primary domain after all), but in order to win the evaluation, will err on the side of saying they will be able to do it, without giving explanation as to how.&lt;/li&gt;&lt;/ul&gt;&lt;/p&gt;&lt;p&gt;Asking Respondents how their solution will solve the problem while working within stated Constraints helps ensure that the respondent gives due thought to the issue, and provides insight into their thinking as to how their solution will do so.&amp;nbsp;&lt;/p&gt;</t>
  </si>
  <si>
    <t>Validate that RFP Statements start with statements akin to "Please describe how...", as opposed to [Quality|Functional] Requirement Statements which should look more like "The solution MUST..."</t>
  </si>
  <si>
    <t>Concerns/Agreements</t>
  </si>
  <si>
    <t>Principle Alignment</t>
  </si>
  <si>
    <t>Please describe which of this organisation's key principles the solution aligns with, and which it does not.</t>
  </si>
  <si>
    <t>In order to reduce misunderstanding and improve the chance for successful outcomes valued by both parties, organisations and their individual members should align in principle before engaging in a relationship to work together.</t>
  </si>
  <si>
    <t>The key principles are simply about ensuring all parties understand thee following basic concepts:&lt;p&gt;&lt;ul&gt;&lt;li&gt;continually ensuring that effort is focused on meeting the expectations of who &lt;i&gt;consumes&lt;/i&gt; the solution rather than who &lt;i&gt;provides&lt;/i&gt; the service,&amp;nbsp;&lt;/li&gt;&lt;li&gt;providing appropriate, audited, access to information to improve trustability by transparency where feasible,&lt;/li&gt;&lt;li&gt;ensuring the focus is creating an automated continuous delivery pipeline &lt;i&gt;first&lt;/i&gt;, in order to rapidly and&amp;nbsp;&lt;span&gt;quickly&amp;nbsp;and&amp;nbsp;&lt;/span&gt;iteratively deliver results to end users over the product's lifespan&lt;/li&gt;&lt;li&gt;meeting our obligations and agreements regarding ensuring the confidentiality and accuracy of the data we're entrusted with, keeping both the data and audit records of changes to the data indefinitely, ensuring the information is easily accessible&amp;nbsp;&lt;span&gt;and usable&amp;nbsp;&lt;/span&gt;by both users and remote services using current devices and protocols.&lt;/li&gt;&lt;/ul&gt;&lt;p&gt;More important to the success of the project is understanding what parts of the above cannot be met at this point in time, and whether alignment is expected to be obtained within the first 6 months of the project, or will remain an ongoing Issue.&lt;/p&gt;&lt;/p&gt;</t>
  </si>
  <si>
    <t>Evaluate the response for an understanding that the success of the solution over the service lifetime (the full 7 to 10 years, as opposed to the first few years of active development) can be directly associated to whether an automated, non-manual, delivery pipeline is in place to manage delivery over and over again, by resources that are different from the resources that oversaw the development of the solution.</t>
  </si>
  <si>
    <t>Stakeholders/Solution Architects</t>
  </si>
  <si>
    <t>RFI Statements</t>
  </si>
  <si>
    <t>Statements within RFI's MUST focus on defining the &lt;i&gt;Problem&lt;/i&gt; for which a &lt;i&gt;Solution is required, &lt;/i&gt;while abstaining from the describing a&amp;nbsp;&lt;i&gt;Solution&lt;/i&gt; to the problem.</t>
  </si>
  <si>
    <t>&lt;span&gt;If RFI Statements are too prescriptive of a specific Solution, Respondents will respond with a design that mirrors the design implied by the statement, obviating the key benefits of an RFI -- namely to test assumptions on approach, market capability and ultimately cost.&lt;/span&gt;</t>
  </si>
  <si>
    <t>&lt;p&gt;&lt;span&gt;RFI's are calls for Input /&amp;nbsp;&lt;/span&gt;&lt;span&gt;&lt;i&gt;Ideas&lt;/i&gt;&lt;/span&gt;&lt;span&gt;&amp;nbsp;-- generally to test Assumptions on Objectives, Tools, Options and Cost.&lt;/span&gt;&lt;/p&gt;&lt;p&gt;&lt;span&gt;&lt;/span&gt;&lt;/p&gt;&lt;p&gt;&lt;span&gt;RFI and are not a call for&amp;nbsp;&lt;/span&gt;&lt;i&gt;Solutions (which is what an RFP is)&lt;/i&gt;&lt;span&gt;.&amp;nbsp;&lt;/span&gt;&lt;/p&gt;&lt;p&gt;&lt;span&gt;&lt;/span&gt;&lt;/p&gt;&lt;p&gt;&lt;span&gt;Hence the Statements must be more open ended.&lt;/span&gt;&lt;/p&gt;&lt;p&gt;For example:&lt;/p&gt;&lt;p&gt;- RFP: The identity component of the solution MUST sustain a load of 900 requests for second.&amp;nbsp;&lt;/p&gt;&lt;p&gt;versus:&lt;/p&gt;&lt;p&gt;- RFI: 10,000 students should be able to logon each morning, generally within a duration of 3 minutes.&lt;/p&gt;</t>
  </si>
  <si>
    <t>&lt;span&gt;If RFI Statements are too prescriptive of a specific Solution, Respondents will respond with a design that mirrors the design implied by the statement, obviating the purpose of an RFI.&lt;/span&gt;</t>
  </si>
  <si>
    <t>Response Evaluation Panel;Accountable Lead Analyst</t>
  </si>
  <si>
    <t>Undefined;Concerns/Direction/Resourcing</t>
  </si>
  <si>
    <t>Qualities/ISO-25010/Reliability;Qualities/ISO-25010/Maintainability;Qualities/ISO-xxxxx/Governance/Resourcing</t>
  </si>
  <si>
    <t>Stakeholders/Business/Sponsor</t>
  </si>
  <si>
    <t>Appropriate Resourcing</t>
  </si>
  <si>
    <t>The vast majority of times, resources used to deliver MUST be certified in the service, process or product being delivered.&amp;nbsp;&amp;nbsp;</t>
  </si>
  <si>
    <t>It is not in the benefit of the consumer to take on unnecessary risks associated to using resources not having experience and training in how to deliver the solution as expected, efficiently.&lt;br /&gt;It is not in the benefit of the consumer to&amp;nbsp;&lt;span&gt;pay for on the job training.&lt;/span&gt;</t>
  </si>
  <si>
    <t>Please summarize how resources are hired, trained, and are certified by an independent 3rd party in the services, processes and products that are part of the solution's&amp;nbsp;deliverables.&lt;br /&gt;&lt;br /&gt;&lt;p&gt;&lt;span&gt;Note: if the resources for the project are not yet chosen or are not yet certified, please describe how you will ensure they are certified before they are put on the project.&amp;nbsp;&lt;/span&gt;&lt;/p&gt;&lt;p&gt;- PMs: PRINCE 2 and/or Scrum Master Certification&lt;/p&gt;&lt;p&gt;- Analysts: when were they re-certified as analysts?&amp;nbsp;&lt;/p&gt;&lt;p&gt;- Developers: what development certifications does each developer have? On what technologies have they been certified? When &amp;amp; what version of the relevant technology?&amp;nbsp;&lt;/p&gt;&lt;p&gt;- Testers: when was the last time they were re-certified as being proficient in defining tests for automation? Are they certified as being proficient in automation based testing?&lt;/p&gt;</t>
  </si>
  <si>
    <t>It is fundamental that the right persons are used for the job. Certification is a a cost that&amp;nbsp; respondents are not keen on committing to, but there are no other common mechanisms to validate the proficiency of vendor resources, without trial and error, paid for by the consumer.&amp;nbsp;&amp;nbsp;&lt;p&gt;Without demonstrably competent analysts, the discovery and definitions stages produce an incomplete map of concerned stakeholders and list of their requirements.&lt;/p&gt;&lt;p&gt;&lt;span&gt;Without demonstrably competent and current architects, poor design decisions will be made on infrastructure, security, privacy, functionality,&amp;nbsp;&lt;/span&gt;&lt;span&gt;storage, integration&lt;/span&gt;&lt;span&gt;&amp;nbsp;&lt;/span&gt;&lt;span&gt;and presentation choices.&amp;nbsp;&lt;/span&gt;&lt;/p&gt;&lt;p&gt;Without demonstrably competent and current testers, testing is slowed to a non-automated pace that is expensive to implement over the short term and the the service's full life-cycle.&lt;/p&gt;&lt;p&gt;Without demonstrable competent and current developers, the product is not developed to current best practices, leading to poor development decisions on infrastructure, security, privacy, storage, integration and interface choices.&lt;/p&gt;</t>
  </si>
  <si>
    <t>Technical accreditation rarely keeps up with the speed of new technologies.&amp;nbsp;&lt;p&gt;But a behaviour pattern can be gleaned from resumes and other sources of information, demonstrating a professional curiosity to investigate and keep moderately capable on current and relevant emergent technologies.&lt;/p&gt;</t>
  </si>
  <si>
    <t>Concerns/Direction/Agency</t>
  </si>
  <si>
    <t>Concerns/Direction/Self-Agency</t>
  </si>
  <si>
    <t>Qualities/ISO-25010/Functionality;Qualities/ISO-25010/Security;Qualities/ISO-25010/Usability;Qualities/ISO-25010/Reliability;Qualities/ISO-25010/Maintainability;Qualities/ISO-25012/Currentness;Qualities/ISO-25012/Confidentiality</t>
  </si>
  <si>
    <t>Principled</t>
  </si>
  <si>
    <t>All submitted designs and effort MUST be demonstrably in alignment with the organisations design principles. Deviations MUST be approved by the consumer's Solution Architect, via Governance, and recorded As a Service Client Design Decision.&amp;nbsp;&amp;nbsp;</t>
  </si>
  <si>
    <t>An Unprincipled approach to design and development leads to an unruled and unfocused delivery process to easily controlled by charisma and/or position of project delivery stakeholders, to the detriment of long-term project owner, and service users, support, maintenance, privacy and security stakeholders.&amp;nbsp;&amp;nbsp;</t>
  </si>
  <si>
    <t>In a nutshell, the design principles cover the following concerns:&lt;p&gt;- Customer Focus, addressed by ensuring that Decisions, Definitions, Design are made prioritizing end users over both solution delivery stakeholders and enterprise users Desires,&lt;br /&gt;&lt;p&gt;- Data Access addressed by making data appropriately accessible and usable by the widest range of users, from the widest range of locations,&amp;nbsp;&lt;/p&gt;&lt;p&gt;- Security addressed by restricting access to production data during development, at rest and in transit,&lt;/p&gt;&lt;p&gt;- Accreditabillity addressed by the solution demonstrably meeting security, privacy, archiving, environment, sector laws &amp;amp; regulations,&amp;nbsp;&lt;/p&gt;&lt;p&gt;- responsive Delivery addressed by agile practices built around automation.&lt;/p&gt;&lt;/p&gt;</t>
  </si>
  <si>
    <t>Please ensure that all currently received Requirements are reviewed to concur that:&lt;br /&gt;- they are in alignment with your understanding of this organisation's principles&lt;p&gt;- can be met by your proposed solution&lt;/p&gt;&lt;p&gt;or that you have described deviations for them to be reviewed and potentially arbitrated under Governance and recorded as project Decisions.&lt;/p&gt;</t>
  </si>
  <si>
    <t>Clear Principles make available to all stakeholders the framework by which decisions are made, reducing the need for arbitration by Governance, providing more agency to stakeholders, increasing delivery speed, therefore reducing the overall cost of development.</t>
  </si>
  <si>
    <t>Response Evaluation Panel;Accountable Lead Architect</t>
  </si>
  <si>
    <t>Concerns/Delivery/Automation</t>
  </si>
  <si>
    <t>Qualities/ISO-25010/Maintainability;Qualities/ISO-25010/Portability/Installability</t>
  </si>
  <si>
    <t>Delivery/Automated</t>
  </si>
  <si>
    <t>&lt;span&gt;Prior to designing, developing and delivering the solution service itself,&amp;nbsp;&lt;/span&gt;the solution MUST design, develop and deliver an automated delivery pipeline to deploy and test any and all infrastructure, configuration, components and integration requirements of the solution.&amp;nbsp;&amp;nbsp;</t>
  </si>
  <si>
    <t>The service is expected to be deployed to production over 200 times (updated and deployed every 2 weeks over a 7 year service lifespan), not counting the myriad of deployments to other environments (development, testing, etc).&amp;nbsp;</t>
  </si>
  <si>
    <t>Please summarize how you will propose to develop an automation pipeline on an organisation accepted deployment technology stack, before commencing any deployment, development, or configuration of this project's solution components,&amp;nbsp;&lt;span&gt;describing the following aspects, where applicable:&lt;/span&gt;&lt;p&gt;- code compilation if applicable&lt;/p&gt;&lt;p&gt;-&amp;nbsp;&lt;span&gt;automated&lt;/span&gt;&lt;span&gt;&amp;nbsp;&lt;/span&gt;unit testing&lt;/p&gt;&lt;p&gt;&lt;p&gt;- infrastructure deployment using Infrastructure as Code&lt;/p&gt;&lt;/p&gt;&lt;p&gt;- system component deployment&lt;/p&gt;&lt;p&gt;&lt;p&gt;- system configuration deployment&lt;/p&gt;&lt;p&gt;-&amp;nbsp;&lt;span&gt;automated&lt;/span&gt;&lt;span&gt;&amp;nbsp;&lt;/span&gt;integration testing&lt;/p&gt;&lt;p&gt;- data deployment&lt;/p&gt;&lt;p&gt;- automated functional testing&lt;/p&gt;&lt;/p&gt;&lt;p&gt;- availability testing&lt;/p&gt;&lt;p&gt;&lt;p&gt;&amp;nbsp;&lt;/p&gt;&lt;/p&gt;</t>
  </si>
  <si>
    <t>&lt;span&gt;The success of the project is&amp;nbsp;&lt;/span&gt;&lt;u&gt;&lt;i&gt;not&lt;/i&gt;&lt;/u&gt;&lt;span&gt;&amp;nbsp;to deliver an working environment -- it is to deliver an&amp;nbsp; automated process which deploys a service that is&amp;nbsp;regularly updated to stay current and valued by its end users.&amp;nbsp;&amp;nbsp;&lt;/span&gt;&lt;p&gt;An automated test suite within an automated deployment pipeline -- covering all customization and/or configuration -- is currently the best long term solution to ensuring that changes do not inadvertently introduce bugs into the used service.&amp;nbsp;&lt;/p&gt;</t>
  </si>
  <si>
    <t>Concerns/Delivery/Testing</t>
  </si>
  <si>
    <t>Concerns/Delivery/Automation/Testing</t>
  </si>
  <si>
    <t>Qualities/ISO-25010/Maintainability/Testability;Qualities/ISO-25010/Maintainability/Analysability</t>
  </si>
  <si>
    <t>Stakeholders/Quality Assurance Specialists;Stakeholders/Operations Support Specialists</t>
  </si>
  <si>
    <t>Delivery/QA/Automation</t>
  </si>
  <si>
    <t>All Deployment, Integration, custom Configuration, Customization or Functionality MUST be demonstrable via Automated running of Test Definitions prepared by Tester Analysts.</t>
  </si>
  <si>
    <t>The main thrust of Development usually is complete in under 3 years by one team, and ongoing issues, fixes, and changes may continue throughout the rest of the solution's service lifespan, applied by a smaller residual team that may or may not have a collective memory or documentation explaining why certain technical choices were made. Without automated tests within an automated deployment pipeline to alert them of unconsidered side effects, the project hAs a Service Client significant risks of introducing bugs into production environments.&amp;nbsp;</t>
  </si>
  <si>
    <t>Please summarize your teams automated testing experience and/or&amp;nbsp; capabilities and how these can be applied to deliver an automated test environment that will work long after the upfront core development phase.</t>
  </si>
  <si>
    <t>The success of the project is &lt;u&gt;&lt;i&gt;not&lt;/i&gt;&lt;/u&gt; to deliver an working environment -- it is to deliver an&amp;nbsp; automated process which deploys a service that is&amp;nbsp;regularly updated to stay current and valued by its end users.&amp;nbsp;&amp;nbsp;&lt;p&gt;An automated test suite within an automated deployment pipeline -- covering all customization and/or configuration -- is currently the best long term solution to ensuring that changes do not inadvertently introduce bugs into the used service.&amp;nbsp;&lt;/p&gt;</t>
  </si>
  <si>
    <t>The respondent should have inquired as to which deployment service / ALM is used.&lt;p&gt;&lt;br /&gt;&lt;p&gt;The deployment pipeline design should address the relevant steps out of the following:&lt;/p&gt;&lt;p&gt;- Code compilation&lt;/p&gt;&lt;p&gt;- Unit testing&lt;/p&gt;&lt;p&gt;- Infrastructure deployment (using Infrastructure as Code)&lt;/p&gt;&lt;p&gt;- Component deployment&lt;/p&gt;&lt;p&gt;- component service configuration&lt;/p&gt;&lt;p&gt;-&amp;nbsp;&lt;span&gt;Automated&lt;/span&gt;&lt;span&gt;&amp;nbsp;&lt;/span&gt;Integration testing&amp;nbsp;&lt;/p&gt;&lt;p&gt;- Automated Functionality testing&lt;/p&gt;&lt;p&gt;- Automated availability testing&amp;nbsp;&lt;/p&gt;&lt;/p&gt;</t>
  </si>
  <si>
    <t>Concerns/Direction/Governance;Concerns/Accreditation</t>
  </si>
  <si>
    <t>Qualities/ISO-25010/Security;Qualities/ISO-25010/Usability;Qualities/ISO-25010/Reliability;Qualities/ISO-25010/Performance;Qualities/ISO-25010/Performance/Resource Usage/Reputation &amp; Trust</t>
  </si>
  <si>
    <t>Stakeholders/Accreditors</t>
  </si>
  <si>
    <t>Accreditation/Always</t>
  </si>
  <si>
    <t>Services deployed by this organisation MUST be accredited before delivery to production environment.</t>
  </si>
  <si>
    <t>This organisation can be fined and its reputation negatively impacted by a security and/or privacy breach.&lt;p&gt;It can be fined by employees and users for discriminatory accessibility issue.&amp;nbsp;&amp;nbsp;&lt;/p&gt;&lt;p&gt;Productivity and user engagement can be negatively affected by lack of functionality, availability, learnability or availability.&lt;/p&gt;&lt;p&gt;Currency of service can be negatively impacted by systems that are not customizable,&amp;nbsp; maintainable, modifyable, and/or quickly re-deployable.&lt;/p&gt;</t>
  </si>
  <si>
    <t>&lt;span&gt;Accreditation is based on demonstrable proof of 3rd party assessment of the following concerns:&lt;/span&gt;&lt;p&gt;- Security&lt;/p&gt;&lt;p&gt;- Privacy&lt;/p&gt;&lt;p&gt;- Archiving&lt;/p&gt;&lt;p&gt;- Legal&lt;/p&gt;&lt;p&gt;- Availability&lt;/p&gt;&lt;p&gt;- Usability&lt;/p&gt;</t>
  </si>
  <si>
    <t>Please summarize how the components of the solution will be independently validated as not putting this organisation at risk of a public security, privacy, accessibility, usability, maintainability,legal issue.</t>
  </si>
  <si>
    <t>Security penetration tests are expensive and take time, and if not performed by the solution proponent before this organisation accepts the proposal, the costs of the tests will fall to this organisation to pay for.&lt;p&gt;Even if this organisation is willing to pay for this investigation by an independent 3rd party assessor, they take time and can hold up deployment schedules.&lt;/p&gt;</t>
  </si>
  <si>
    <t>Concerns/Design/Platform/Expenses</t>
  </si>
  <si>
    <t>Concerns/Design/Expenses</t>
  </si>
  <si>
    <t>Qualities/ISO-25010/Performance/Resource Usage/Effort &amp; Cost</t>
  </si>
  <si>
    <t>Design/Ongoing Expenses</t>
  </si>
  <si>
    <t>Ongoing cost of the solution's proposed services and products SHOULD be investigated, summarized and presented prior to making architectural design choices.</t>
  </si>
  <si>
    <t>&lt;p&gt;All system components, whether SaaS, PaaS or IaaS have some form of associated physical and virtual hosting, licensing, installation, backup, protection, integration, supervision, reporting, maintenance and upgrading operations over the service's whole lifecycle. These expenses must be available and considered when making architectural decisions.&amp;nbsp; &amp;nbsp;&lt;/p&gt;</t>
  </si>
  <si>
    <t>This organisation partners with a multitude of other organisations, within which members may belong to one or more of them. The potentially large number of organisations and members -- and reuse of services but in different organisational contexts -- can directly and significantly impact ongoing licensing costs.&lt;p&gt;On the other hand open source IaaS and PaaS based products may not have no licensing costs, but instead may require resources with multiple areas of technical expertise to maintain and upgrade components for the service's lifespan. If these technical areas of expertise do not remain mainstream they will become rarer, and therefore more costly, over the component's service lifespan.&lt;br /&gt;&amp;nbsp;Note: IaaS based components remain at odds with this organisation's design principles and strategic objectives.&lt;/p&gt;</t>
  </si>
  <si>
    <t>&lt;span&gt;Please summarize the source, key contributing factors&amp;nbsp;&lt;/span&gt;&lt;span&gt;(eg: whether the price is per user, per installation, per month, etc.) and magnitude/ballpark estimate of&amp;nbsp;&lt;/span&gt;&lt;span&gt;expected component service costs.&amp;nbsp;&lt;/span&gt;</t>
  </si>
  <si>
    <t>Lead architects must be fully appraised of short and long term budgets in order to make appropriate component choices.&lt;p&gt;Lead architects must inform sponsors about budgeting errors common to IT projects. These include:&lt;/p&gt;&lt;p&gt;- running development projects as fixed term custom CapEx depreciating investments and not ongoing OpEx accruing investments&lt;/p&gt;&lt;p&gt;- concentrating on the initial discovery, definition, design and development phase, and not the ongoing licensing, audits, support, monitoring, maintenance, upgrading, and improvements, regular testing and deployment.&lt;/p&gt;</t>
  </si>
  <si>
    <t>Qualities/ISO-25010/Portability/Installability;Qualities/ISO-25010/Maintainability/Modifiability</t>
  </si>
  <si>
    <t>Design/Environment</t>
  </si>
  <si>
    <t>The solution's primary components MUST be HTTP/S server based.</t>
  </si>
  <si>
    <t>Physical and/or virtual infrastructure implies multiple costs including but not limited to rent, physical infrastructure, energy, physical and remote access control security, and constant maintenance&amp;nbsp;&lt;span&gt;for the solution's service lifespan, in order&amp;nbsp;&lt;/span&gt;to keep underlying operating systems and perimeter security current and capable against constantly evolving threats.</t>
  </si>
  <si>
    <t>This organisation's strategic direction is towards cloud hosted PaaS and SaaS services.&lt;p&gt;Client facing services must be developed using configurable and customizable PaaS components.&lt;/p&gt;&lt;p&gt;organisation user facing services must be hosted on configurable and/or customizable SaaS or PaaS services.&lt;/p&gt;&lt;p&gt;Components that must be deployed to physical or virtual devices (IaaS) must be avoided.&lt;/p&gt;</t>
  </si>
  <si>
    <t>Please summarize whether this solution's components are SaaS or PaaS based.</t>
  </si>
  <si>
    <t>Mature -- ie, older -- systems were developed for deployment on premise (IaaS).&amp;nbsp;&lt;br /&gt;&lt;br /&gt;&lt;p&gt;Many vendors have been unable to reinvest significantly in their products to redevelop them to lighten them and take advantage of the improved functionality, availability and cost savings provided by cloud based infrastructure and services.&amp;nbsp; In essence, their products are not really cloud-based, but rather legacy approaches, repackaged to run in the cloud.&amp;nbsp; These semi-updated products generally have all the costs associated to legacy on-prem components.&lt;/p&gt;&lt;p&gt;More current systems will take advantage of cloud capabilities (and hopefully pass savings along to consumers) -- but they risk:&lt;/p&gt;&lt;p&gt;- not being as mature in terms of features&lt;/p&gt;&lt;p&gt;- focusing on integrating with other current, cloud based services, and not legacy systems, which may be an current initial project constraint.&lt;/p&gt;</t>
  </si>
  <si>
    <t>Concerns/Design/Integration</t>
  </si>
  <si>
    <t>Concerns/Development/Integration;Concerns/Data/Import;Concerns/Data/Export;Concerns/Development/Interfaces/API;Concerns/Development/Integration/MalwareDetection;Concerns/Development/Integration/Storage;Concerns/Development/Integration/Authorisation;Concerns/Development/Integration/Authentication;Concerns/Development/Integration/Notification;Concerns/Development/Integration/Rules Engine;Concerns/Development/Integration/Data warehouse</t>
  </si>
  <si>
    <t>Qualities/ISO-25010/Portability/Adaptability;Qualities/ISO-25010/Compatibility/Exportability;Qualities/ISO-25010/Compatibility/Interoperability;Qualities/ISO-25010/Usability/Supportability/On-Off-boarding;Qualities/ISO-25010/Usability/Analytics;Qualities/ISO-25010/Functionality/Appropriateness</t>
  </si>
  <si>
    <t>Stakeholders/Architects;Stakeholders/Business Service Specialists</t>
  </si>
  <si>
    <t>Design/Integration</t>
  </si>
  <si>
    <t>The solution's components MUST be capable of being integrated with this relevent services used by this organisation to provide the following functionality:&lt;p&gt;- Authentication of Services, using the organisation's IdP Service (over OAuth).&amp;nbsp;&amp;nbsp;&lt;/p&gt;&lt;p&gt;&lt;span&gt;- Authentication of organisation managed Users, using the organisation's IdP (over OIDC).&lt;/span&gt;&lt;/p&gt;&lt;p&gt;&lt;span&gt;- Authentication of public consumer Users, using consumer IdPs (over OIDC).&lt;/span&gt;&lt;/p&gt;&lt;p&gt;&lt;span&gt;- On-off boarding of users within groups, by providing an industry recognised REST based API. Preferably SCIM.&amp;nbsp;&lt;/span&gt;&lt;/p&gt;&lt;p&gt;&lt;span&gt;- Data importing, by providing validated REST based APIs which can be invoked as needed, individually or in batch mode.&lt;/span&gt;&lt;/p&gt;&lt;p&gt;&lt;span&gt;- Direct Data querying/export&amp;nbsp; by organisation services, by providing Authenticated, Authorised and performant REST based APIs that can be invoked one at a time, or in batch mode without impacting user experience.&lt;/span&gt;&lt;/p&gt;&lt;p&gt;- Malware detection: IF the solution allows users to upload media of any kind, the solution must be able to be integrated with an synchronous&amp;nbsp;cloud based malware detection service.&lt;/p&gt;&lt;p&gt;- Supporting centralized monitoring and alerting of abnormal behaviour, via a Security Information and Event Management (SIEM) solution.&lt;/p&gt;&lt;p&gt;- Supporting remote diagnostics, via centralized diagnostics tracing functionality.&lt;/p&gt;</t>
  </si>
  <si>
    <t>Systems that are developed in isolation from other services cause:&lt;p&gt;- duplication of data in multiple systems,&amp;nbsp;&lt;span&gt;increases effort required to use the system,&lt;/span&gt;&lt;span&gt;&amp;nbsp;&lt;/span&gt;decreases usability, and the quality of data based decisions,&lt;/p&gt;&lt;p&gt;- if Confidential and PII information is persisted in the system, there is a higher risk of the information leaking.&amp;nbsp;&lt;/p&gt;</t>
  </si>
  <si>
    <t>Please summarize:&lt;p&gt;- the authentication protocols each of the solution's key components are capable of working with,&lt;/p&gt;&lt;p&gt;- how your system enables integration between support service systems processes to provision users within groups, and later remove them as necessary,&lt;/p&gt;&lt;p&gt;- how the proposed solution facilitates ongoing querying and updating of data from other systems,&lt;/p&gt;&lt;p&gt;- how the prposoed solution facilitates integration with central SIEM, monitoring and alerting of abnormal behaviour,&lt;/p&gt;&lt;p&gt;- how the proposed solution facilitates integration with centralized diagnostics tracing,&lt;br /&gt;&lt;p&gt;- how the proposed solution protects users from media uploaded by other users.&lt;/p&gt;&lt;/p&gt;</t>
  </si>
  <si>
    <t>Concerns/Design/Qualities</t>
  </si>
  <si>
    <t>Qualities/ISO-25010;Qualities/ISO-25012</t>
  </si>
  <si>
    <t>Stakeholders/Business/Sponsor;N/A;Stakeholders/Analysts;Stakeholders/Architects;Stakeholders/Accreditors</t>
  </si>
  <si>
    <t>Quaities/ISO-25010</t>
  </si>
  <si>
    <t>The system MUST be able to be accredited as evenly addressing all ISO-25010, ISO-25012 defined Qualities, and Privacy.</t>
  </si>
  <si>
    <t>ISO-250xx are the currently accepted list of Qualities by which to evaluate a system's value, ensuring that systems are not valued by just one stakeholder group, at the expense of another group.</t>
  </si>
  <si>
    <t>ISO-25010/12 provide an impartial manner to evaluate different systems, software and data to determine if they have sufficient desired qualities to meet strategic objectives.</t>
  </si>
  <si>
    <t>&lt;span&gt;Please summarise how the proposed solution addresses the following headers:&lt;/span&gt;&lt;p&gt;ISO-25010:&lt;/p&gt;&lt;ul&gt;&lt;li&gt;Functionality:&lt;/li&gt;&lt;/ul&gt;&lt;p&gt;&amp;nbsp; - Which of the following general system capabilities does the proposed solution's systems provide query and management functionality:&lt;/p&gt;&lt;p&gt;&amp;nbsp; &amp;nbsp; - Diagnostics&lt;/p&gt;&lt;p&gt;&amp;nbsp; &amp;nbsp; - Errors&amp;nbsp;&lt;/p&gt;&lt;p&gt;&amp;nbsp; &amp;nbsp; - System Alerts&lt;/p&gt;&lt;p&gt;&amp;nbsp; &amp;nbsp; - Sessions&lt;/p&gt;&lt;p&gt;&amp;nbsp; &amp;nbsp; - Users&lt;/p&gt;&lt;p&gt;&amp;nbsp; &amp;nbsp; - Groups&lt;/p&gt;&lt;p&gt;&amp;nbsp; &amp;nbsp; - Roles&lt;/p&gt;&lt;p&gt;&amp;nbsp; &amp;nbsp; - Permissions&lt;/p&gt;&lt;p&gt;&amp;nbsp; &amp;nbsp; - Notifications&lt;/p&gt;&lt;p&gt;&amp;nbsp; &amp;nbsp; - Media&lt;/p&gt;&lt;p&gt;&amp;nbsp; - What additional business specific capabilities does the system provide?&lt;/p&gt;&lt;ul&gt;&lt;li&gt;Security:&lt;/li&gt;&lt;/ul&gt;&lt;p&gt;&amp;nbsp; - Does the proposed solution's systems keep Confidential Credentials (Email/Passwords) within the system's database?&lt;/p&gt;&lt;p&gt;&amp;nbsp; &amp;nbsp; - If it does, when you plan to increase security by moving all credentials to a 3rd party dedicated Identity Provider (IdP) service?&lt;/p&gt;&lt;p&gt;&amp;nbsp; - Is data in transit between ALL components using secure channels (eg: HTTPS)?&lt;/p&gt;&lt;p&gt;&amp;nbsp; &amp;nbsp; - If not, what channels are not protected?&lt;/p&gt;&lt;p&gt;&lt;span&gt;&amp;nbsp; &amp;nbsp; &amp;nbsp; - If not available today, by when at the latest would these standards be met?&lt;/span&gt;&lt;/p&gt;&lt;p&gt;&amp;nbsp; - Is production data protected at rest, using encryption?&lt;/p&gt;&lt;p&gt;&amp;nbsp; &amp;nbsp; - If not, are you planning to implement this added layer of encryption?&lt;/p&gt;&lt;p&gt;&amp;nbsp; &amp;nbsp; &amp;nbsp; - If not available today, by when at the latest would these standards be met?&lt;/p&gt;&lt;p&gt;&amp;nbsp;&lt;span&gt;&amp;nbsp; &amp;nbsp;- Is access to production data restricted? To whom?&lt;/span&gt;&lt;/p&gt;&lt;p&gt;&lt;span&gt;&amp;nbsp;&lt;/span&gt;&amp;nbsp;- Is backup data protected using encrypting?&lt;/p&gt;&lt;p&gt;&amp;nbsp; &amp;nbsp; &amp;nbsp; - If not available today, by when at the latest would these standards be met?&lt;/p&gt;&lt;p&gt;&amp;nbsp;&lt;span&gt;&amp;nbsp; &amp;nbsp;- Is access to backup data restricted?&lt;/span&gt;&lt;span&gt;&amp;nbsp;&lt;/span&gt;&lt;/p&gt;&lt;p&gt;&amp;nbsp; - Do you restrict access to production and backup data to automation service accounts, or do you let some people have access?&amp;nbsp;&lt;/p&gt;&lt;p&gt;&amp;nbsp; &amp;nbsp; &amp;nbsp; - If some people have access,&amp;nbsp;&lt;u&gt;&lt;i&gt;why&lt;/i&gt;&lt;/u&gt;?&lt;/p&gt;&lt;p&gt;&amp;nbsp; &amp;nbsp; &amp;nbsp; &amp;nbsp; - If so, by when at the latest would this insecure access be stopped?&amp;nbsp;&lt;/p&gt;&lt;p&gt;&amp;nbsp; - Is the system's infrastructure protected from physical access?&lt;/p&gt;&lt;p&gt;&amp;nbsp; &amp;nbsp; - Is the physical environment meeting ISO-27001, Level 2 or better?&amp;nbsp;&lt;/p&gt;&lt;p&gt;&amp;nbsp; &amp;nbsp; &amp;nbsp; - If not, are you planning to move infrastructure to an ISO-27001(2+) accredited environment?&amp;nbsp;&lt;/p&gt;&lt;p&gt;&amp;nbsp; &amp;nbsp; &amp;nbsp; - If not available today, by when at the latest would these standards be met?&lt;/p&gt;&lt;p&gt;&lt;span&gt;&amp;nbsp; - Do you audit operations?&lt;/span&gt;&lt;/p&gt;&lt;p&gt;&lt;span&gt;&amp;nbsp; &amp;nbsp; -&amp;nbsp; Do you audit all operations that&amp;nbsp;&lt;/span&gt;&lt;i&gt;change&lt;/i&gt;&amp;nbsp;data?&lt;/p&gt;&lt;p&gt;&amp;nbsp; &amp;nbsp; - Do you&amp;nbsp;&lt;u&gt;audit&lt;/u&gt;&amp;nbsp;all operations that view data as well (so the number of people&amp;nbsp; who have seen confidential data can be estimated and they can be contacted?)&lt;/p&gt;&lt;p&gt;&amp;nbsp; &amp;nbsp; &amp;nbsp; - If not available today, by when at the latest would these standards be met?&lt;/p&gt;&lt;p&gt;&amp;nbsp; - Do you clean diagnostic log messages of credential &amp;amp; PII information before they are recorded?&lt;/p&gt;&lt;p&gt;&amp;nbsp; &amp;nbsp; &amp;nbsp; - If not available today, by when at the latest would these standards be met?&lt;/p&gt;&lt;ul&gt;&lt;li&gt;Usability:&lt;/li&gt;&lt;/ul&gt;&lt;p&gt;&amp;nbsp; - Does the proposed solution's systems require the cost of training before it can be used by public and office users, or is it intuitive enough to not need that expense?&lt;/p&gt;&lt;p&gt;&amp;nbsp; - Does the proposed solution's system user interface meet NZ Web Accessibility Standards?&lt;/p&gt;&lt;p&gt;&amp;nbsp; &amp;nbsp; - Is it designed with visually impaired users in mind (B/W outline icons over colours that can be distinguished by colour blind users?)&lt;/p&gt;&lt;p&gt;&amp;nbsp; &amp;nbsp; &amp;nbsp; - If not available today, by when at the latest would these standards be met?&lt;/p&gt;&lt;p&gt;&amp;nbsp; &amp;nbsp; - Is the interface designed for audio impaired users,&amp;nbsp;&lt;span&gt;&amp;nbsp;&lt;/span&gt;&lt;span&gt;titling images&amp;nbsp; and&amp;nbsp;&lt;/span&gt;using ARIA tags, to skip purely decorative sections and easily find the pages key information and actions?&lt;/p&gt;&lt;p&gt;&amp;nbsp; - Does the proposed solutoin's systems' user interfaces meet NZ Usability Standards?&lt;/p&gt;&lt;p&gt;&amp;nbsp; &amp;nbsp; - What changes will be required to meet them?&lt;/p&gt;&lt;p&gt;&amp;nbsp; &amp;nbsp; &amp;nbsp; - Is there any reason these changes cannot be done, or would take an inordinate amount of time to implement?&lt;/p&gt;&lt;p&gt;&amp;nbsp; &amp;nbsp; &amp;nbsp; - If not available today, by when at the latest would these standards be met?&lt;/p&gt;&lt;p&gt;&amp;nbsp; &amp;nbsp; - Is the proposed solution's systems' user interface key elements (header, navigation, body actions, footers, system dialogues -- not including user added content) able to be translated into two or more of the national languages?&lt;/p&gt;&lt;p&gt;&amp;nbsp; &amp;nbsp; &amp;nbsp; - If not, by when will this required functionality be able to be added?&amp;nbsp;&lt;/p&gt;&lt;p&gt;&amp;nbsp; &amp;nbsp; - Is the system configurable by end users to facilitate their Usability?&amp;nbsp;&lt;/p&gt;&lt;p&gt;&amp;nbsp; &amp;nbsp; &amp;nbsp; - How so?&amp;nbsp;&lt;/p&gt;&lt;ul&gt;&lt;li&gt;Integration:&lt;/li&gt;&lt;/ul&gt;&lt;p&gt;&amp;nbsp; - Which of the following protocols does the proposed solution's systems currently implement:&lt;/p&gt;&lt;p&gt;&amp;nbsp; &amp;nbsp; - OIDC&lt;/p&gt;&lt;p&gt;&amp;nbsp; &amp;nbsp; - OAuth&lt;/p&gt;&lt;p&gt;&amp;nbsp; &amp;nbsp; - SCIM&lt;/p&gt;&lt;p&gt;&amp;nbsp; &amp;nbsp; - SMTP&lt;/p&gt;&lt;p&gt;&amp;nbsp; &amp;nbsp; - And by when at the latest would these standard protocols be added to the&amp;nbsp; proposed solution's components?&lt;/p&gt;&lt;p&gt;&amp;nbsp; - Is the proposed solution's&amp;nbsp; Functionality available for Query and/or Invocation, via REST APIs?&amp;nbsp;&lt;/p&gt;&lt;p&gt;&amp;nbsp; &amp;nbsp; - Specifically, which of the following standard system functionality is available via REST APIs:&lt;/p&gt;&lt;p&gt;&lt;span&gt;&amp;nbsp; &amp;nbsp; &amp;nbsp; - Diagnostics&lt;/span&gt;&lt;/p&gt;&lt;p&gt;&lt;span&gt;&amp;nbsp; &amp;nbsp; &amp;nbsp; - Error Logs&lt;/span&gt;&lt;/p&gt;&lt;p&gt;&amp;nbsp; &amp;nbsp; &amp;nbsp; - Sessions&amp;nbsp;&lt;/p&gt;&lt;p&gt;&amp;nbsp; &amp;nbsp; &amp;nbsp; - Configuration&lt;/p&gt;&lt;p&gt;&amp;nbsp; &amp;nbsp; &amp;nbsp; - Members&lt;/p&gt;&lt;p&gt;&amp;nbsp; &amp;nbsp; &amp;nbsp; - Groups&lt;/p&gt;&lt;p&gt;&amp;nbsp; &amp;nbsp; &amp;nbsp; - Roles&lt;/p&gt;&lt;p&gt;&amp;nbsp; &amp;nbsp; &amp;nbsp; - Permissions&lt;/p&gt;&lt;p&gt;&amp;nbsp; &amp;nbsp; &amp;nbsp; - Member chosen Media submittal/retrieval&lt;/p&gt;&lt;p&gt;&amp;nbsp; &amp;nbsp; - What business functionality is available by REST API?&lt;/p&gt;&lt;p&gt;&amp;nbsp; &amp;nbsp;- Are these APIs sufficient to migrate data from other systems?&amp;nbsp;&lt;/p&gt;&lt;p&gt;&amp;nbsp; &amp;nbsp;- Are these APIs sufficient to extract required data when the system is decommissioned?&lt;/p&gt;&lt;ul&gt;&lt;li&gt;Availability:&lt;/li&gt;&lt;/ul&gt;&lt;p&gt;&amp;nbsp; - Is the system capable of&amp;nbsp;&lt;span&gt;dynamically&amp;nbsp;&lt;/span&gt;scaling horizontally to handle peaks in sudden demand?&lt;/p&gt;&lt;p&gt;&amp;nbsp; &amp;nbsp; - Is this scaling done at the logical layer and/or data layer?&amp;nbsp;&lt;/p&gt;&lt;p&gt;&amp;nbsp; &amp;nbsp;- What is the expected maximum number of concurrent users&amp;nbsp; that can use the system within responsivity guidelines?&lt;/p&gt;&lt;ul&gt;&lt;li&gt;Compatibility:&lt;/li&gt;&lt;/ul&gt;&lt;p&gt;&amp;nbsp; - Which one of the following standard protocols does the proposed system implement:&lt;/p&gt;&lt;p&gt;&amp;nbsp; &amp;nbsp; - OpenAPI&lt;/p&gt;&lt;p&gt;&amp;nbsp; &amp;nbsp; - ODATA&lt;/p&gt;&lt;p&gt;&amp;nbsp; &amp;nbsp; - Oauth&lt;/p&gt;&lt;p&gt;&amp;nbsp; &amp;nbsp; - OIDC&lt;/p&gt;&lt;p&gt;&amp;nbsp; &amp;nbsp; - SMTP&lt;/p&gt;&lt;p&gt;&amp;nbsp; &amp;nbsp; - ODBC&lt;/p&gt;&lt;p&gt;&amp;nbsp; &amp;nbsp; - Others?&lt;/p&gt;&lt;p&gt;&amp;nbsp; - Can the proposed solution's systems export data in trade specific formats (not just generalist formats such as CSV, TSV, Excel)?&lt;/p&gt;&lt;p&gt;&amp;nbsp; - If the proposed solution involves using a SaaS used by other organisations, can this organisation's data be exported and backed up independently of other system users?&lt;/p&gt;&lt;ul&gt;&lt;li&gt;Privacy:&amp;nbsp;&lt;/li&gt;&lt;/ul&gt;&lt;p&gt;&amp;nbsp; - although Privacy is not part of ISO-25010, it is of import to this organisation.&amp;nbsp;&lt;/p&gt;&lt;p&gt;&amp;nbsp; &amp;nbsp; - Is PII information kept in the system or remotely in an IdP, accessed only when needed to complete an operation?&lt;/p&gt;&lt;p&gt;&amp;nbsp; &amp;nbsp; - Can users change their UserName and optional Description of themselves in the system?&amp;nbsp;&lt;/p&gt;</t>
  </si>
  <si>
    <t>Whereas Sponsors generally focus on the business functionality, it is important to measure a system by its other qualities as well, to ensure it is not only valuable to business users, but valuable to other stakeholders as well.&lt;p&gt;These obviously include the system assessors who will accredit the system before it goes live, based on sighting proofs that the system is safe, supportable, maintainable and not a strategic mistake in that data can be put in -- but not extracted if it is later determined that there are better systems to use.&lt;/p&gt;&lt;p&gt;Other stakeholders to consider are the operations specialists who who will keep the system running for the system's whole service lifespan (usually over 7 years). They will need diagnostics and monitoring functionality in the system -- as well as be able to hook it up to the organisation's other systems (mail, etc.)&lt;/p&gt;</t>
  </si>
  <si>
    <t>Undefined;All</t>
  </si>
  <si>
    <t>Concerns/Development/Functionality</t>
  </si>
  <si>
    <t>Stakeholders/Architects</t>
  </si>
  <si>
    <t>Qualities/Functionality</t>
  </si>
  <si>
    <t>The proposed system MUST satisfactorily address the functionality requirements of stakeholders other than business, including Support, Operations, and Security Specialists.&amp;nbsp;</t>
  </si>
  <si>
    <t>The front end functionality is used by business service users and business service providers -- but the users are supported by other stakeholders (support specialists) and kept operating correctly and regularly backed up by operations specialists, and kept secure&amp;nbsp; by specialists security specialists relying on monitoring and alerting functionality.&amp;nbsp;</t>
  </si>
  <si>
    <t>Functionality to consider include:&lt;p&gt;Support Specialists:&lt;/p&gt;&lt;p&gt;- Onboarding/Offboarding new users&lt;/p&gt;&lt;p&gt;- Answering user queries as to status and any errors that occurred during their operations&lt;/p&gt;&lt;p&gt;- Support Business Support Specialists&amp;nbsp;&lt;/p&gt;&lt;p&gt;Business Support Specialists:&lt;/p&gt;&lt;p&gt;&amp;nbsp; - Inviting/removing users from system groups&lt;/p&gt;&lt;p&gt;&amp;nbsp; - Temporarily locking access to users&lt;/p&gt;&lt;p&gt;&amp;nbsp; - Changing roles of users&lt;/p&gt;&lt;p&gt;&lt;p&gt;&amp;nbsp; - Adjusting permissions of users&lt;/p&gt;&lt;p&gt;&amp;nbsp; - Developing various summary reports for key Stakeholder governance decisions.&lt;/p&gt;&lt;p&gt;Security Specialists:&lt;/p&gt;&lt;p&gt;- Summarize Session activity&lt;/p&gt;&lt;/p&gt;&lt;p&gt;- Summarize User activity&lt;/p&gt;&lt;p&gt;&lt;p&gt;- Disable a Session&lt;/p&gt;&lt;p&gt;- Disable a User&lt;/p&gt;&lt;p&gt;- Media malware scan results&lt;/p&gt;&lt;p&gt;- Alerting as to abnormal behaviour&lt;/p&gt;&lt;p&gt;Operations Specialists:&lt;/p&gt;&lt;p&gt;- Summarize system component status (upcoming license and certificate expiration dates)&amp;nbsp;&lt;/p&gt;&lt;/p&gt;&lt;p&gt;- Summarize system connections status (HTTPS, 404's, etc.)&lt;/p&gt;&lt;p&gt;&lt;p&gt;- Backup/Restore&lt;/p&gt;&lt;p&gt;- Alerts as to upcoming license/certificate expirations, abnormal traffic patterns,&lt;/p&gt;&lt;/p&gt;</t>
  </si>
  <si>
    <t>Please summarize how the proposed system addresses the needs of stakeholders beyond business service consumer users.&lt;p&gt;Consider describing the functionality provided for:&lt;/p&gt;&lt;p&gt;- Support Specialists tasked with general support questions, and directing more specific queries to Business Support Specialists,&lt;/p&gt;&lt;p&gt;- Business Support Specialists tasked with providing in depth business support to service users&lt;/p&gt;&lt;p&gt;- Security Specialists tasked with ensuring the system is protected from malfeasance,&lt;/p&gt;&lt;p&gt;- Operations Specialists tasked with ensuring the service remains available, performing DR backups and restores, ensuring components communicate with each other securely, etc.&amp;nbsp;&lt;/p&gt;</t>
  </si>
  <si>
    <t>Although systems are developed to solve business needs, keeping systems going requires expertise and functionality specific to help with the task of supporting new users, investigating unexpected behaviour and determining whether they are user or system errors.&lt;p&gt;Not addressing security first, privacy second, supportability third, and business functionality third very often leads to large unexpected support costs throughout the service lifespan of systems.&amp;nbsp;&amp;nbsp;&lt;/p&gt;</t>
  </si>
  <si>
    <t>At the very least, Support Specialists will require functionality to&amp;nbsp;&lt;p&gt;- view and change groups and their membership&amp;nbsp;&lt;/p&gt;&lt;p&gt;- the status and accessibility of members joining and leaving an organisation&lt;/p&gt;&lt;p&gt;Of benefit would be the ability to add users using centralised services communicating with various systems using standard protocols (eg: SCIM).&lt;/p&gt;&lt;p&gt;Operations Specialists should be provided with a means to review diagnostics logs, resource usage (CPU/number of dynamically allocated hosts being used, etc.)&lt;/p&gt;&lt;p&gt;Security Specialists at the very least will need a means to disable Sessions and Users if they are alerted or notice suspicious behaviour.&lt;/p&gt;</t>
  </si>
  <si>
    <t>Stakeholders/Business Service Specialists</t>
  </si>
  <si>
    <t>Qualities/Usability/Learnability</t>
  </si>
  <si>
    <t>Users of the system MUST NOT require specific training in order to use the primary functions of the system.</t>
  </si>
  <si>
    <t>Personnel Training is expensive to develop, organise and administer, and training resources quickly fall out of date if the system is being developed to meet ever evolving business and user needs.</t>
  </si>
  <si>
    <t>Solution systems that are easy to learn and operations decrease hesitancy and improve productivity.&lt;p&gt;Common traits include - but are not limited to - the following:&lt;/p&gt;&lt;p&gt;- the use of common interface frameworks (Bootstrap, etc.)&amp;nbsp;&lt;/p&gt;&lt;p&gt;- adherence to WCAG guidelines,&amp;nbsp;&lt;/p&gt;&lt;p&gt;- succinct and focused interfaces views that do only one thing,&amp;nbsp;&lt;/p&gt;&lt;p&gt;- the use of a single primary action and a minimum of secondary actions per view&lt;/p&gt;&lt;p&gt;- autocomplete&lt;/p&gt;&lt;p&gt;- the avoidance of tooltips, in preference for in-view status and suggestions&lt;/p&gt;&lt;p&gt;- the ability to undo committed actions, including delete operations (by using Logical delete status changes instead of Physical record deletes)&amp;nbsp;&lt;/p&gt;&lt;p&gt;- providing status summaries&lt;/p&gt;</t>
  </si>
  <si>
    <t>&lt;p&gt;Please summarize the digital help that is available within the system (online help, inbuilt tips, etc.).&lt;/p&gt;Please summarize which of the following stakeholder groups would require training to be arranged prior to their using the system:&lt;p&gt;- Business Service Consumers&lt;/p&gt;&lt;p&gt;- Business Service Providers&lt;/p&gt;&lt;p&gt;- Business Support Specialists&lt;/p&gt;&lt;p&gt;- Support Specialists&lt;/p&gt;&lt;p&gt;- Operations Specialists&lt;/p&gt;&lt;p&gt;- Security Specialists&amp;nbsp;&lt;/p&gt;</t>
  </si>
  <si>
    <t>Answers given by Respondents should elucidate how the system caters to new users, and whether there are hidden OPEX costs and inefficiencies associated to operating the system.&amp;nbsp;</t>
  </si>
  <si>
    <t>01.00.00 ===== GOVERNANCE ===== [[DT:ALL]]</t>
  </si>
  <si>
    <t>01.01.00  Governance/Objectives [[DT:ALL]]</t>
  </si>
  <si>
    <t>01.02.00  Governance/Constraints/Obligations [[DT:ALL]]</t>
  </si>
  <si>
    <t>01.03.00  Governance/Boards [[DT:ALL]]</t>
  </si>
  <si>
    <t>01.04.00  Governance/Decisions [[DT:ALL]]</t>
  </si>
  <si>
    <t>02.00.00 ===== DIRECTION ===== [[DT:ALL]]</t>
  </si>
  <si>
    <t>02.01.00  Direction/Objectives [[DT:ALL]]</t>
  </si>
  <si>
    <t>02.02.01  Direction/Constraints/Obligations/Laws/Accountability Laws [[DT:ALL]]</t>
  </si>
  <si>
    <t>02.02.01  Direction/Constraints/Obligations/Laws/Archiving Laws [[DT:ALL]]</t>
  </si>
  <si>
    <t>02.02.01  Direction/Constraints/Obligations/Laws/Privacy Laws [[DT:ALL]]</t>
  </si>
  <si>
    <t>02.02.02  Direction/Constraints/Obligations/Regulations/Accessibility Directives [[DT:ALL]]</t>
  </si>
  <si>
    <t>02.02.02  Direction/Constraints/Obligations/Regulations/Information Security Directives [[DT:ALL]]</t>
  </si>
  <si>
    <t>02.02.02  Direction/Constraints/Obligations/Regulations/Open Data Directives [[DT:ALL]]</t>
  </si>
  <si>
    <t>02.02.02  Direction/Constraints/Obligations/Regulations/Usability Directives [[DT:ALL]]</t>
  </si>
  <si>
    <t>02.02.04  Direction/Constraints/Obligations/Agreements [[DT:ALL]]</t>
  </si>
  <si>
    <t>02.02.05  Direction/Constraints/Obligations/Principles/AoG Digital Service Principles [[DT:ALL]]</t>
  </si>
  <si>
    <t>02.02.05  Direction/Constraints/Obligations/Principles/Organisation System Architecture Principles [[DT:ALL]]</t>
  </si>
  <si>
    <t>02.02.06  Direction/Constraints/Obligations/Frameworks/NZ DIMP [[DT:ALL]]</t>
  </si>
  <si>
    <t>02.02.06  Direction/Constraints/Obligations/Frameworks/NZ GOAL [[DT:ALL]]</t>
  </si>
  <si>
    <t>02.02.06  Direction/Constraints/Obligations/Frameworks/NZISM [[DT:ALL]]</t>
  </si>
  <si>
    <t>02.02.08 Direction/Constraints/Obligations/Controls [[DT:ALL]]</t>
  </si>
  <si>
    <t>02.02.11  Direction/Constraints/AntiPatterns/Delivery Planning focus versus Full Lifecycle Planning [[DT:ALL]]</t>
  </si>
  <si>
    <t>02.02.11  Direction/Constraints/AntiPatterns/Onboarding Development Roles Before Defining Outcomes [[DT:ALL]]</t>
  </si>
  <si>
    <t>02.02.11  Direction/Constraints/AntiPatterns/Single Service Delivery versus multiple Deliverables [[DT:ALL]]</t>
  </si>
  <si>
    <t>02.02.11  Direction/Constraints/Resources/Time/Schedule [[DT:ALL]]</t>
  </si>
  <si>
    <t>02.02.12  Direction/Constraints/Resources/Time/Schedule/First Release (GoLive) [[DT:ALL]]</t>
  </si>
  <si>
    <t>02.02.12  Direction/Constraints/Resources/Time/Schedule/Organisation Gray &amp; Black Outs Periods [[DT:ALL]]</t>
  </si>
  <si>
    <t>02.02.12  Direction/Constraints/Resources/Time/Schedule/Scholastic Schedule Alignment [[DT:ALL]]</t>
  </si>
  <si>
    <t>02.02.13  Direction/Constraints/Resources/Time/Schedule/Subsequent Release Cadence [[DT:ALL]]</t>
  </si>
  <si>
    <t>02.02.21  Direction/Constraints/Resources/Budget/Capex [[DT:ALL]]</t>
  </si>
  <si>
    <t>02.02.21  Direction/Constraints/Resources/Budget/Opex [[DT:ALL]]</t>
  </si>
  <si>
    <t>02.02.60  Direction/Constraints/Obligations/Policies/GoLive Requires Authority to Operate (ATO) [[DT:ALL]]</t>
  </si>
  <si>
    <t>02.51.00  Direction/SLAs/DeploymentServices [[DT:ALL]]</t>
  </si>
  <si>
    <t>02.51.00  Direction/SLAs/InfrastructureServices [[DT:ALL]]</t>
  </si>
  <si>
    <t>02.51.00  Direction/SLAs/MaintenanceServices [[DT:ALL]]</t>
  </si>
  <si>
    <t>02.51.00  Direction/SLAs/SupportServices [[DT:ALL]]</t>
  </si>
  <si>
    <t>02.52.00  Direction/Contracts/SOW/C&amp;A Services [[DT:ALL]]</t>
  </si>
  <si>
    <t>02.52.00  Direction/Contracts/SOW/DeploymentServices [[DT:ALL]]</t>
  </si>
  <si>
    <t>02.52.00  Direction/Contracts/SOW/DevelopmentServices [[DT:ALL]]</t>
  </si>
  <si>
    <t>02.52.00  Direction/Contracts/SOW/MaintenanceServices [[DT:ALL]]</t>
  </si>
  <si>
    <t>02.52.00  Direction/Contracts/SOW/MediaServices/Development [[DT:ALL]]</t>
  </si>
  <si>
    <t>02.52.00  Direction/Contracts/SOW/MediaServices/Translations [[DT:ALL]]</t>
  </si>
  <si>
    <t>02.52.00  Direction/Contracts/SOW/OperationServices [[DT:ALL]]</t>
  </si>
  <si>
    <t>02.52.00  Direction/Contracts/SOW/QAServices [[DT:ALL]]</t>
  </si>
  <si>
    <t>02.60.01  Direction/Phases/Ongoing/Processes/Constraints/AntiPatterns/Permit Developers to start on UserStories before Test Analysts have defined Tests [[DT:ALL]]</t>
  </si>
  <si>
    <t>02.60.02  Direction/Phases/Ongoing/Processes/Constraints/AntiPatterns/Run Development &amp; Test Definition in parallel [[DT:ALL]]</t>
  </si>
  <si>
    <t>02.60.03  Direction/Phases/Ongoing/Processes/Communication/Reporting/Progress [[DT:ALL]]</t>
  </si>
  <si>
    <t>02.60.03  Direction/Phases/Ongoing/Processes/Communication/Reporting/QA [[DT:ALL]]</t>
  </si>
  <si>
    <t>02.60.04  Direction/Phases/Ongoing/Processes/Communication/Reporting/QA/Code Coverage [[DT:ALL]]</t>
  </si>
  <si>
    <t>02.60.05  Direction/Phases/Ongoing/Processes/Communication/Reporting/CA [[DT:ALL]]</t>
  </si>
  <si>
    <t>02.60.06  Direction/Phases/Ongoing/Processes/Communication/Interteam/Security [[DT:ALL]]</t>
  </si>
  <si>
    <t>02.61.00  Direction/Phase/Initiation/Tasks/Members/Capabilities [[DT:ALL]]</t>
  </si>
  <si>
    <t>02.61.00  Direction/Phase/Initiation/Tasks/Members/Constraints/AntiPatterns/BA versus Stakeholder Analyst [[DT:ALL]]</t>
  </si>
  <si>
    <t>02.61.00  Direction/Phase/Initiation/Tasks/Members/Constraints/AntiPatterns/SME as Stakeholder Analyst [[DT:ALL]]</t>
  </si>
  <si>
    <t>02.61.00  Direction/Phase/Initiation/Tasks/Members/Constraints/AntiPatterns/Start with hiring Developers [[DT:ALL]]</t>
  </si>
  <si>
    <t>02.61.00  Direction/Phase/Initiation/Tasks/Members/Constraints/AntiPatterns/Using 'Support Developers' without current capabilities &amp; outlook [[DT:ALL]]</t>
  </si>
  <si>
    <t>02.61.00  Direction/Phase/Initiation/Tasks/Members/Minimums [[DT:ALL]]</t>
  </si>
  <si>
    <t>02.61.00  Direction/Phase/Initiation/Tasks/Members/Roles/Delivery/Automated Infrastructure, Pipeline &amp; Delivery Specialist [[DT:ALL]]</t>
  </si>
  <si>
    <t>02.61.00  Direction/Phase/Initiation/Tasks/Members/Roles/Delivery/Scrum Master [[DT:ALL]]</t>
  </si>
  <si>
    <t>02.61.00  Direction/Phase/Initiation/Tasks/Members/Roles/Development/Developers [[DT:ALL]]</t>
  </si>
  <si>
    <t>02.61.00  Direction/Phase/Initiation/Tasks/Members/Roles/Development/Team Lead [[DT:ALL]]</t>
  </si>
  <si>
    <t>02.61.00  Direction/Phase/Initiation/Tasks/Members/Roles/Multiple Roles can be acomplished by a single Person, unless an AntiPattern [[DT:ALL]]</t>
  </si>
  <si>
    <t>02.61.00  Direction/Phase/Initiation/Tasks/Members/Roles/QA/Developer [[DT:ALL]]</t>
  </si>
  <si>
    <t>02.61.00  Direction/Phase/Initiation/Tasks/Members/Roles/QA/Team Lead [[DT:ALL]]</t>
  </si>
  <si>
    <t>02.61.00  Direction/Phase/Initiation/Tasks/Members/Roles/QA/Test Analysts [[DT:ALL]]</t>
  </si>
  <si>
    <t>02.61.00  Direction/Phase/Initiation/Tasks/Members/Team Onboarding [[DT:ALL]]</t>
  </si>
  <si>
    <t>02.61.00  Direction/Phase/Initiation/Tasks/Provisioning/Common Services/ALM/Dashboard for Informing [[DT:ALL]]</t>
  </si>
  <si>
    <t>02.61.00  Direction/Phase/Initiation/Tasks/Provisioning/Common Services/ALM/Defineable Workitem Backlog [[DT:ALL]]</t>
  </si>
  <si>
    <t>02.61.00  Direction/Phase/Initiation/Tasks/Provisioning/Common Services/ALM/Defined/Ready Workitems [[DT:ALL]]</t>
  </si>
  <si>
    <t>02.61.00  Direction/Phase/Initiation/Tasks/Provisioning/Common Services/ALM/Delivery Pipelines [[DT:ALL]]</t>
  </si>
  <si>
    <t>02.61.00  Direction/Phase/Initiation/Tasks/Provisioning/Common Services/ALM/Delivery QA Tool Integration [[DT:ALL]]</t>
  </si>
  <si>
    <t>02.61.00  Direction/Phase/Initiation/Tasks/Provisioning/Common Services/ALM/Developed Git Repository [[DT:ALL]]</t>
  </si>
  <si>
    <t>02.61.00  Direction/Phase/Initiation/Tasks/Provisioning/Common Services/ALM/Documentation (Technical Wiki) [[DT:ALL]]</t>
  </si>
  <si>
    <t>02.61.00  Direction/Phase/Initiation/Tasks/Provisioning/Common Services/ALM/Project Space [[DT:ALL]]</t>
  </si>
  <si>
    <t>02.61.00  Direction/Phase/Initiation/Tasks/Provisioning/Common Services/Team Member Comms (Teams, etc.) [[DT:ALL]]</t>
  </si>
  <si>
    <t>02.61.00  Direction/Phase/Initiation/Tasks/Provisioning/Hosting Environments/Subscription [[DT:ALL]]</t>
  </si>
  <si>
    <t>02.61.00  Direction/Phase/Initiation/Tasks/Provisioning/Member/Devices/Capable of Efficient Work from Home [[DT:ALL]]</t>
  </si>
  <si>
    <t>02.61.00  Direction/Phase/Initiation/Tasks/Provisioning/Member/Devices/Developer capable (CPU + Mem) [[DT:ALL]]</t>
  </si>
  <si>
    <t>02.61.00  Direction/Phase/Initiation/Tasks/Provisioning/Member/Devices/Network Access to Dev Environments [[DT:ALL]]</t>
  </si>
  <si>
    <t>02.61.00  Direction/Phase/Initiation/Tasks/Provisioning/Member/Licenses/ [[DT:ALL]]</t>
  </si>
  <si>
    <t>02.61.00  Direction/Phase/Initiation/Tasks/Provisioning/Member/Licenses/Has Cloud Environment License [[DT:ALL]]</t>
  </si>
  <si>
    <t>02.61.00  Direction/Phase/Initiation/Tasks/Provisioning/Member/Licenses/Has Developer Tool License [[DT:ALL]]</t>
  </si>
  <si>
    <t>02.61.00  Direction/Phase/Initiation/Tasks/Provisioning/Member/Licenses/Has Membership to ALM Service [[DT:ALL]]</t>
  </si>
  <si>
    <t>02.61.00  Direction/Phase/Initiation/Tasks/Provisioning/Members/Accounts/Has Membership to ALM Project Space [[DT:ALL]]</t>
  </si>
  <si>
    <t>02.61.00  Direction/Phase/Initiation/Tasks/Provisioning/Members/Accounts/Has Membership to Interteam Communication Service [[DT:ALL]]</t>
  </si>
  <si>
    <t>02.62.00  Direction/Phase/Discovery/Deliverables/Business Support Specialist Functionality and Quality Requirements [[DT:ALL]]</t>
  </si>
  <si>
    <t>02.62.00  Direction/Phase/Discovery/Deliverables/Delivery Specialist Functionality and Quality Requirements [[DT:ALL]]</t>
  </si>
  <si>
    <t>02.62.00  Direction/Phase/Discovery/Deliverables/Full Lifecycle Stakeholder List [[DT:ALL]]</t>
  </si>
  <si>
    <t>02.62.00  Direction/Phase/Discovery/Deliverables/Infrastructure Specialist Functionality and Quality Requirements [[DT:ALL]]</t>
  </si>
  <si>
    <t>02.62.00  Direction/Phase/Discovery/Deliverables/Monitoring Specialist Functionality and Quality Requirements [[DT:ALL]]</t>
  </si>
  <si>
    <t>02.62.00  Direction/Phase/Discovery/Deliverables/Operations Specialist Functionality and Quality Requirements [[DT:ALL]]</t>
  </si>
  <si>
    <t>02.62.00  Direction/Phase/Discovery/Deliverables/Support Specialist Functionality and Quality Requirements [[DT:ALL]]</t>
  </si>
  <si>
    <t>02.62.00  Direction/Phase/Discovery/Deliverables/Training Specialist Functionality and Quality Requirements [[DT:ALL]]</t>
  </si>
  <si>
    <t>02.63.00  Direction/Phase/Definition/Deliverables/Functional Requirements Document [[DT:ALL]]</t>
  </si>
  <si>
    <t>02.63.00  Direction/Phase/Definition/Deliverables/Quality Requirements Document [[DT:ALL]]</t>
  </si>
  <si>
    <t>02.64.00  Direction/Phase/Design/Deliverables/Solution Architecture Description [[DT:ALL]]</t>
  </si>
  <si>
    <t>02.64.00  Direction/Phase/Development/Deliverables/Develop and Map Backlog to Sprints [[DT:ALL]]</t>
  </si>
  <si>
    <t>02.64.00  Direction/Phase/Development/Deliverables/Product BackLog Feature List (Converted from Functional List) [[DT:ALL]]</t>
  </si>
  <si>
    <t>02.64.00  Direction/Phase/Development/Effort/Completeness [[DT:ALL]]</t>
  </si>
  <si>
    <t>02.64.00  Direction/Phase/Development/Effort/Estimation [[DT:ALL]]</t>
  </si>
  <si>
    <t>02.64.00  Direction/Phase/Development/Effort/Sequencing [[DT:ALL]]</t>
  </si>
  <si>
    <t>02.65.00  Direction/Phase/Deployment [[DT:ALL]]</t>
  </si>
  <si>
    <t>02.65.00  Direction/Phase/Deployment/ChangeControl [[DT:ALL]]</t>
  </si>
  <si>
    <t>02.66.00  Direction/Phase/Driving [[DT:ALL]]</t>
  </si>
  <si>
    <t>02.66.00  Direction/Phase/Driving/Maintaining [[DT:ALL]]</t>
  </si>
  <si>
    <t>02.66.00  Direction/Phase/Driving/Operations [[DT:ALL]]</t>
  </si>
  <si>
    <t>02.66.00  Direction/Phase/Driving/Support [[DT:ALL]]</t>
  </si>
  <si>
    <t>02.67.00  Direction/Phase/Decommissioning [[DT:ALL]]</t>
  </si>
  <si>
    <t>03.00.00 ===== DELIVERABLES ===== [[DT:ALL]]</t>
  </si>
  <si>
    <t>03.10.00  Deliverables/AntiPatterns [[DT:ALL]]</t>
  </si>
  <si>
    <t>03.10.00  Deliverables/Constraints/AntiPatterns/Delivery only planning versus Full Lifecycle planning [[DT:ALL]]</t>
  </si>
  <si>
    <t>03.10.00  Deliverables/Constraints/AntiPatterns/Single Deliverable [[DT:ALL]]</t>
  </si>
  <si>
    <t>03.10.00  Deliverables/Endorsement/CAB [[DT:ALL]]</t>
  </si>
  <si>
    <t>03.10.00  Deliverables/Endorsement/CAB/Requirements/BusinessServices/Continuity Plan [[DT:ALL]]</t>
  </si>
  <si>
    <t>03.10.00  Deliverables/Endorsement/CAB/Requirements/BusinessServices/Support Plan [[DT:ALL]]</t>
  </si>
  <si>
    <t>03.10.00  Deliverables/Endorsement/CAB/Requirements/C&amp;A [[DT:ALL]]</t>
  </si>
  <si>
    <t>03.10.00  Deliverables/Endorsement/CAB/Requirements/C&amp;A/CRP [[DT:ALL]]</t>
  </si>
  <si>
    <t>03.10.00  Deliverables/Endorsement/CAB/Requirements/C&amp;A/CRR [[DT:ALL]]</t>
  </si>
  <si>
    <t>03.10.00  Deliverables/Endorsement/CAB/Requirements/C&amp;A/Solution Risk Assessment (SRA) [[DT:ALL]]</t>
  </si>
  <si>
    <t>03.10.00  Deliverables/Endorsement/CAB/Requirements/C&amp;A/Technical Risk Assessment (TRA) [[DT:ALL]]</t>
  </si>
  <si>
    <t>03.10.00  Deliverables/Endorsement/CAB/Requirements/DataServices/Data Classification [[DT:ALL]]</t>
  </si>
  <si>
    <t>03.10.00  Deliverables/Endorsement/CAB/Requirements/DeploymenServices/SystemClientAsCode [[DT:ALL]]</t>
  </si>
  <si>
    <t>03.10.00  Deliverables/Endorsement/CAB/Requirements/DeploymentServices/DatabaseSchemaAsCode [[DT:ALL]]</t>
  </si>
  <si>
    <t>03.10.00  Deliverables/Endorsement/CAB/Requirements/DeploymentServices/Deployment Plan [[DT:ALL]]</t>
  </si>
  <si>
    <t>03.10.00  Deliverables/Endorsement/CAB/Requirements/DeploymentServices/HostConfigurationAsCode [[DT:ALL]]</t>
  </si>
  <si>
    <t>03.10.00  Deliverables/Endorsement/CAB/Requirements/DeploymentServices/InfrastructureAsCode [[DT:ALL]]</t>
  </si>
  <si>
    <t>03.10.00  Deliverables/Endorsement/CAB/Requirements/DeploymentServices/Pipeline [[DT:ALL]]</t>
  </si>
  <si>
    <t>03.10.00  Deliverables/Endorsement/CAB/Requirements/DeploymentServices/SystemAsCode [[DT:ALL]]</t>
  </si>
  <si>
    <t>03.10.00  Deliverables/Endorsement/CAB/Requirements/DeploymentServices/SystemConfigurationAsCode [[DT:ALL]]</t>
  </si>
  <si>
    <t>03.10.00  Deliverables/Endorsement/CAB/Requirements/InfrastructureServices/Hosting Plan [[DT:ALL]]</t>
  </si>
  <si>
    <t>03.10.00  Deliverables/Endorsement/CAB/Requirements/MaintenanceServices/Decommissioning Plan [[DT:ALL]]</t>
  </si>
  <si>
    <t>03.10.00  Deliverables/Endorsement/CAB/Requirements/MaintenanceServices/DisasterRecovery Plan [[DT:ALL]]</t>
  </si>
  <si>
    <t>03.10.00  Deliverables/Endorsement/CAB/Requirements/PrivacyServices.Privacy Impact Assessment (PIA) [[DT:ALL]]</t>
  </si>
  <si>
    <t>03.10.00  Deliverables/Endorsement/CAB/Requirements/QAServices/QAAsCode [[DT:ALL]]</t>
  </si>
  <si>
    <t>03.10.00  Deliverables/Endorsement/CAB/Requirements/SupportServices/Support Plan [[DT:ALL]]</t>
  </si>
  <si>
    <t>03.10.00  Deliverables/Endorsement/CAB/Requirements/TrainingServices/Training Environment / Tenancy [[DT:ALL]]</t>
  </si>
  <si>
    <t>03.10.00  Deliverables/Endorsement/CAB/Requirements/TrainingServices/Training Plan [[DT:ALL]]</t>
  </si>
  <si>
    <t>04.00.00 ===== DEPENDENCIES ===== [[DT:ALL]]</t>
  </si>
  <si>
    <t>04.10.00  Endorsement/CAB [[DT:ALL]]</t>
  </si>
  <si>
    <t>04.10.00  Endorsement/DA [[DT:ALL]]</t>
  </si>
  <si>
    <t>04.10.00  Endorsement/DIGI [[DT:ALL]]</t>
  </si>
  <si>
    <t>04.10.00  Endorsement/TWG [[DT:ALL]]</t>
  </si>
  <si>
    <t>04.10.00  Procurement/Proposals/Questions/Functionality/Group Management [[DT:ALL]]</t>
  </si>
  <si>
    <t>04.10.00  Procurement/Proposals/Questions/Functionality/Media Management [[DT:ALL]]</t>
  </si>
  <si>
    <t>04.10.00  Procurement/Proposals/Questions/Functionality/User Group Role Management [[DT:ALL]]</t>
  </si>
  <si>
    <t>04.10.00  Procurement/Proposals/Questions/Functionality/User Management [[DT:ALL]]</t>
  </si>
  <si>
    <t>04.10.00  Procurement/Proposals/Questions/Qualities [[DT:ALL]]</t>
  </si>
  <si>
    <t>04.10.00  Procurement/Proposals/Questions/Qualities/ISO-25010/Compatibility [[DT:ALL]]</t>
  </si>
  <si>
    <t>04.10.00  Procurement/Proposals/Questions/Qualities/ISO-25010/Functionality (Multiple Orgs, Groups, Users, Roles, Permissions, Media, Business Needs) [[DT:ALL]]</t>
  </si>
  <si>
    <t>04.10.00  Procurement/Proposals/Questions/Qualities/ISO-25010/Maintainability [[DT:ALL]]</t>
  </si>
  <si>
    <t>04.10.00  Procurement/Proposals/Questions/Qualities/ISO-25010/Maintainability/Component (Latest Minor Version, minus 2) Version Health Within 3 months [[DT:ALL]]</t>
  </si>
  <si>
    <t>04.10.00  Procurement/Proposals/Questions/Qualities/ISO-25010/Maintainability/Support Costs [[DT:ALL]]</t>
  </si>
  <si>
    <t>04.10.00  Procurement/Proposals/Questions/Qualities/ISO-25010/Performance [[DT:ALL]]</t>
  </si>
  <si>
    <t>04.10.00  Procurement/Proposals/Questions/Qualities/ISO-25010/Portability [[DT:ALL]]</t>
  </si>
  <si>
    <t>04.10.00  Procurement/Proposals/Questions/Qualities/ISO-25010/Privacy [[DT:ALL]]</t>
  </si>
  <si>
    <t>04.10.00  Procurement/Proposals/Questions/Qualities/ISO-25010/Reliability [[DT:ALL]]</t>
  </si>
  <si>
    <t>04.10.00  Procurement/Proposals/Questions/Qualities/ISO-25010/Security/At Rest (ISO-27001, Credential Storage, Audited Access, Production, Backups) [[DT:ALL]]</t>
  </si>
  <si>
    <t>04.10.00  Procurement/Proposals/Questions/Qualities/ISO-25010/Security/In Transit (HTTPS) [[DT:ALL]]</t>
  </si>
  <si>
    <t>04.10.00  Procurement/Proposals/Questions/Qualities/ISO-25010/Security/Validation/AntiMalware [[DT:ALL]]</t>
  </si>
  <si>
    <t>04.10.00  Procurement/Proposals/Questions/Qualities/ISO-25010/Usability [[DT:ALL]]</t>
  </si>
  <si>
    <t>04.11.00 ===== PROCUREMENT ===== [[DT:ALL]]</t>
  </si>
  <si>
    <t>05.00.00 ===== DISCOVERY ===== [[DT:ALL]]</t>
  </si>
  <si>
    <t>05.10.00  Discovery/Constraints/AntiPatterns/BusinessAnalyst versus Stakeholder Analyst [[DT:ALL]]</t>
  </si>
  <si>
    <t>05.10.00  Discovery/Constraints/AntiPatterns/SME as Stakeholder Analyst [[DT:ALL]]</t>
  </si>
  <si>
    <t>05.10.00  Discovery/Obligations [[DT:ALL]]</t>
  </si>
  <si>
    <t>05.10.00  Discovery/Principles [[DT:ALL]]</t>
  </si>
  <si>
    <t>05.10.00  Discovery/Tasks/Develop Stakeholder Map [[DT:ALL]]</t>
  </si>
  <si>
    <t>05.10.00  Discovery/Tasks/Query Functional Needs of Business Consumers (Users) from SME [[DT:ALL]]</t>
  </si>
  <si>
    <t>05.10.00  Discovery/Tasks/Query Functional Needs of Business Services from SME [[DT:ALL]]</t>
  </si>
  <si>
    <t>05.10.00  Discovery/Tasks/Query Functional Needs of C&amp;A from SME [[DT:ALL]]</t>
  </si>
  <si>
    <t>05.10.00  Discovery/Tasks/Query Functional Needs of Data Services from SME [[DT:ALL]]</t>
  </si>
  <si>
    <t>05.10.00  Discovery/Tasks/Query Functional Needs of Data Warehouse Services from SME [[DT:ALL]]</t>
  </si>
  <si>
    <t>05.10.00  Discovery/Tasks/Query Functional Needs of Deployment Services from SME [[DT:ALL]]</t>
  </si>
  <si>
    <t>05.10.00  Discovery/Tasks/Query Functional Needs of Design Services from SME [[DT:ALL]]</t>
  </si>
  <si>
    <t>05.10.00  Discovery/Tasks/Query Functional Needs of Maintenance Services from SME [[DT:ALL]]</t>
  </si>
  <si>
    <t>05.10.00  Discovery/Tasks/Query Functional Needs of Monitoring Services (Security) from SME [[DT:ALL]]</t>
  </si>
  <si>
    <t>05.10.00  Discovery/Tasks/Query Functional Needs of Operation Services from SME [[DT:ALL]]</t>
  </si>
  <si>
    <t>05.10.00  Discovery/Tasks/Query Functional Needs of QA Services from SME [[DT:ALL]]</t>
  </si>
  <si>
    <t>05.10.00  Discovery/Tasks/Query Functional Needs of Support Services from SME [[DT:ALL]]</t>
  </si>
  <si>
    <t>05.10.00  Discovery/Tasks/Query Functional Needs of Training Services from SME [[DT:ALL]]</t>
  </si>
  <si>
    <t>06.00.00 ===== DEFINITION ===== [[DT:ALL]]</t>
  </si>
  <si>
    <t>06.20.00  Definition/Constraints/AntiPatterns/Expect Developers to develop from User Stories, rather than their User Story Tasks [[DT:ALL]]</t>
  </si>
  <si>
    <t>06.20.00  Definition/Constraints/AntiPatterns/Expect Developers to develop from User Story Tasks without Tests being Defined [[DT:ALL]]</t>
  </si>
  <si>
    <t>06.20.00  Definition/Format/Use Stories/Use "So That &lt;ISO-25010 qualified value&gt;...As a Service Client &lt;role&gt;...I desire &lt;functionality&gt;" [[DT:ALL]]</t>
  </si>
  <si>
    <t>06.20.00  Definition/Format/User Story Tasks/Use GWT [[DT:ALL]]</t>
  </si>
  <si>
    <t>06.20.00  Definition/Principles [[DT:ALL]]</t>
  </si>
  <si>
    <t>06.20.00  Definition/Tasks/Develop User Stories with SMART Tasks and Test Defitions describing desired Functionality of Business Services Customer SME [[DT:ALL]]</t>
  </si>
  <si>
    <t>06.20.00  Definition/Tasks/Develop User Stories with SMART Tasks and Test Defitions describing desired Functionality of Business Services SME [[DT:ALL]]</t>
  </si>
  <si>
    <t>06.20.00  Definition/Tasks/Develop User Stories with SMART Tasks and Test Defitions describing desired Functionality of Business Support Services SME [[DT:ALL]]</t>
  </si>
  <si>
    <t>06.20.00  Definition/Tasks/Develop User Stories with SMART Tasks and Test Defitions describing desired Functionality of C&amp;A Services SME [[DT:ALL]]</t>
  </si>
  <si>
    <t>06.20.00  Definition/Tasks/Develop User Stories with SMART Tasks and Test Defitions describing desired Functionality of Data Services SME [[DT:ALL]]</t>
  </si>
  <si>
    <t>06.20.00  Definition/Tasks/Develop User Stories with SMART Tasks and Test Defitions describing desired Functionality of Data Warehouse Services SME [[DT:ALL]]</t>
  </si>
  <si>
    <t>06.20.00  Definition/Tasks/Develop User Stories with SMART Tasks and Test Defitions describing desired Functionality of Deployment Services SME [[DT:ALL]]</t>
  </si>
  <si>
    <t>06.20.00  Definition/Tasks/Develop User Stories with SMART Tasks and Test Defitions describing desired Functionality of Infrastructure Services SME [[DT:ALL]]</t>
  </si>
  <si>
    <t>06.20.00  Definition/Tasks/Develop User Stories with SMART Tasks and Test Defitions describing desired Functionality of Monitoring Services SME [[DT:ALL]]</t>
  </si>
  <si>
    <t>06.20.00  Definition/Tasks/Develop User Stories with SMART Tasks and Test Defitions describing desired Functionality of Operations Services SME [[DT:ALL]]</t>
  </si>
  <si>
    <t>06.20.00  Definition/Tasks/Develop User Stories with SMART Tasks and Test Defitions describing desired Functionality of Support Services SME [[DT:ALL]]</t>
  </si>
  <si>
    <t>06.20.00  Definition/Tasks/Develop User Stories with SMART Tasks and Test Defitions describing desired Functionality of Testing Services SME [[DT:ALL]]</t>
  </si>
  <si>
    <t>07.00.00 ===== DESIGN ===== [[DT:ALL]]</t>
  </si>
  <si>
    <t>07.10.00  Design/ALM [[DT:ALL]]</t>
  </si>
  <si>
    <t>07.20.00  Design/ALM/ConfigurationPipeline/Use pipeline to query and idempotently configure system via system runtime APIs or similar [[DT:ALL]]</t>
  </si>
  <si>
    <t>07.20.00  Design/ALM/DeliveryPipeline/Credentials not visible/accessible/used in Pipeline  [[DT:ALL]]</t>
  </si>
  <si>
    <t>07.20.00  Design/ALM/DeliveryPipeline/Credentials sourced from secure storage [[DT:ALL]]</t>
  </si>
  <si>
    <t>07.20.00  Design/ALM/DeliveryPipeline/Pipeline as Code Sourced from Code Repository [[DT:ALL]]</t>
  </si>
  <si>
    <t>07.30.00  Design/Environment [[DT:ALL]]</t>
  </si>
  <si>
    <t>07.30.00  Design/Environment/Tasks/Backups Separated from Runtime Environments (protect against Deletion) [[DT:ALL]]</t>
  </si>
  <si>
    <t>07.30.00  Design/Environment/Tasks/Cloud Hosted Architecture [[DT:ALL]]</t>
  </si>
  <si>
    <t>07.30.00  Design/Environment/Tasks/Dynamically allocated horizontally scaled Web Servers  [[DT:ALL]]</t>
  </si>
  <si>
    <t>07.30.00  Design/Environment/Tasks/Environment based Redirection from HTTP to HTTPS [[DT:ALL]]</t>
  </si>
  <si>
    <t>07.30.00  Design/Environment/Tasks/Idempotent Resource Creation [[DT:ALL]]</t>
  </si>
  <si>
    <t>07.30.00  Design/Environment/Tasks/Load Balanced across dynamically allocated horizontally scaling Web Servers [[DT:ALL]]</t>
  </si>
  <si>
    <t>07.30.00  Design/Environment/Tasks/Secure Connections Between Devices [[DT:ALL]]</t>
  </si>
  <si>
    <t>07.30.00  Design/Environment/Tasks/Use Encrypted Storage (Runtime and Backups) [[DT:ALL]]</t>
  </si>
  <si>
    <t>07.30.00  Design/Environment/Tasks/Use Message Encryption where Channel Encryption is not Available [[DT:ALL]]</t>
  </si>
  <si>
    <t>07.40.00  Design/HostConfiguration/Deployed After System Package Delivery [[DT:ALL]]</t>
  </si>
  <si>
    <t>07.50.00  Design/Development Framework/API Client Usage Examples [[DT:ALL]]</t>
  </si>
  <si>
    <t>07.50.00  Design/TestSuites/Automated Behaviour Tests [[DT:ALL]]</t>
  </si>
  <si>
    <t>07.50.00  Design/TestSuites/Automated Unit Tests [[DT:ALL]]</t>
  </si>
  <si>
    <t>07.60.00  Design/InfoService [[DT:ALL]]</t>
  </si>
  <si>
    <t>07.60.00  Design/InfoService/All Logical Modules/Qualities/ISO-25010/Compatibility [[DT:ALL]]</t>
  </si>
  <si>
    <t>07.60.00  Design/InfoService/All Logical Modules/Qualities/ISO-25010/Compatibility/Coexistence [[DT:ALL]]</t>
  </si>
  <si>
    <t>07.60.00  Design/InfoService/All Logical Modules/Qualities/ISO-25010/Compatibility/Interoperability [[DT:ALL]]</t>
  </si>
  <si>
    <t>07.60.00  Design/InfoService/All Logical Modules/Qualities/ISO-25010/Compatibility/Portability [[DT:ALL]]</t>
  </si>
  <si>
    <t>07.60.00  Design/InfoService/All Logical Modules/Qualities/ISO-25010/Compatibility/Portability/Framework [[DT:ALL]]</t>
  </si>
  <si>
    <t>07.60.00  Design/InfoService/All Logical Modules/Qualities/ISO-25010/Compatibility/Portability/Language [[DT:ALL]]</t>
  </si>
  <si>
    <t>07.60.00  Design/InfoService/All Logical Modules/Qualities/ISO-25010/Functionality/Appropriateness [[DT:ALL]]</t>
  </si>
  <si>
    <t>07.60.00  Design/InfoService/All Logical Modules/Qualities/ISO-25010/Functionality/Completeness [[DT:ALL]]</t>
  </si>
  <si>
    <t>07.60.00  Design/InfoService/All Logical Modules/Qualities/ISO-25010/Functionality/Completeness/Stakeholders [[DT:ALL]]</t>
  </si>
  <si>
    <t>07.60.00  Design/InfoService/All Logical Modules/Qualities/ISO-25010/Functionality/Correctness [[DT:ALL]]</t>
  </si>
  <si>
    <t>07.60.00  Design/InfoService/All Logical Modules/Qualities/ISO-25010/Functionality/Correctness/Use Money Types for persisting Currency Attributes [[DT:CUSTOM]]</t>
  </si>
  <si>
    <t>07.60.00  Design/InfoService/All Logical Modules/Qualities/ISO-25010/Interoperability/APIs/Expose all Functionality [[DT:ALL]]</t>
  </si>
  <si>
    <t>07.60.00  Design/InfoService/All Logical Modules/Qualities/ISO-25010/Maintainability/Analysability [[DT:ALL]]</t>
  </si>
  <si>
    <t>07.60.00  Design/InfoService/All Logical Modules/Qualities/ISO-25010/Maintainability/Analysability/Alerts [[DT:ALL]]</t>
  </si>
  <si>
    <t>07.60.00  Design/InfoService/All Logical Modules/Qualities/ISO-25010/Maintainability/Analysability/Counters [[DT:ALL]]</t>
  </si>
  <si>
    <t>07.60.00  Design/InfoService/All Logical Modules/Qualities/ISO-25010/Maintainability/Analysability/Diagnostics/Configurable Level [[DT:ALL]]</t>
  </si>
  <si>
    <t>07.60.00  Design/InfoService/All Logical Modules/Qualities/ISO-25010/Maintainability/Analysability/Diagnostics/Queryability [[DT:ALL]]</t>
  </si>
  <si>
    <t>07.60.00  Design/InfoService/All Logical Modules/Qualities/ISO-25010/Maintainability/Analysability/Diagnostics/Rolling Logs [[DT:ALL]]</t>
  </si>
  <si>
    <t>07.60.00  Design/InfoService/All Logical Modules/Qualities/ISO-25010/Maintainability/Components are Kept Supportable (Updated/Replaced at least 1 year before expiration) [[DT:ALL]]</t>
  </si>
  <si>
    <t>07.60.00  Design/InfoService/All Logical Modules/Qualities/ISO-25010/Maintainability/Modifiability [[DT:ALL]]</t>
  </si>
  <si>
    <t>07.60.00  Design/InfoService/All Logical Modules/Qualities/ISO-25010/Maintainability/Modifiability/Open Source CodeBase [[DT:ALL]]</t>
  </si>
  <si>
    <t>07.60.00  Design/InfoService/All Logical Modules/Qualities/ISO-25010/Maintainability/Modifiability/Open Source Libraries [[DT:ALL]]</t>
  </si>
  <si>
    <t>07.60.00  Design/InfoService/All Logical Modules/Qualities/ISO-25010/Maintainability/Modularity/Can be extended via Modules [[DT:ALL]]</t>
  </si>
  <si>
    <t>07.60.00  Design/InfoService/All Logical Modules/Qualities/ISO-25010/Maintainability/Reusability/Majority of Functionality available by APIs. [[DT:ALL]]</t>
  </si>
  <si>
    <t>07.60.00  Design/InfoService/All Logical Modules/Qualities/ISO-25010/Maintainability/Testability [[DT:ALL]]</t>
  </si>
  <si>
    <t>07.60.00  Design/InfoService/All Logical Modules/Qualities/ISO-25010/Maintainability/Testability/100% API Endpoint Coverage [[DT:CUSTOM]]</t>
  </si>
  <si>
    <t>07.60.00  Design/InfoService/All Logical Modules/Qualities/ISO-25010/Maintainability/Testability/Preference for Compiled Languages [[DT:ALL]]</t>
  </si>
  <si>
    <t>07.60.00  Design/InfoService/All Logical Modules/Qualities/ISO-25010/Performance/Capacity (concurrent clients) [[DT:ALL]]</t>
  </si>
  <si>
    <t>07.60.00  Design/InfoService/All Logical Modules/Qualities/ISO-25010/Performance/Resource Usage/Capacity/Can handle expected number of Records [[DT:ALL]]</t>
  </si>
  <si>
    <t>07.60.00  Design/InfoService/All Logical Modules/Qualities/ISO-25010/Performance/Resource Usage/Capacity/Can handle expected number of Users [[DT:ALL]]</t>
  </si>
  <si>
    <t>07.60.00  Design/InfoService/All Logical Modules/Qualities/ISO-25010/Performance/Resource Usage/Consumer/Reputation &amp; Trust [[DT:ALL]]</t>
  </si>
  <si>
    <t>07.60.00  Design/InfoService/All Logical Modules/Qualities/ISO-25010/Performance/Resource Usage/Environment/Costs [[DT:ALL]]</t>
  </si>
  <si>
    <t>07.60.00  Design/InfoService/All Logical Modules/Qualities/ISO-25010/Performance/Resource Usage/System/CPU [[DT:CUSTOM]]</t>
  </si>
  <si>
    <t>07.60.00  Design/InfoService/All Logical Modules/Qualities/ISO-25010/Performance/Resource Usage/System/Devices [[DT:ALL]]</t>
  </si>
  <si>
    <t>07.60.00  Design/InfoService/All Logical Modules/Qualities/ISO-25010/Performance/Resource Usage/System/IO [[DT:CUSTOM]]</t>
  </si>
  <si>
    <t>07.60.00  Design/InfoService/All Logical Modules/Qualities/ISO-25010/Performance/Resource Usage/System/Storage/Dynamically &amp; Sufficiently Expandable [[DT:ALL]]</t>
  </si>
  <si>
    <t>07.60.00  Design/InfoService/All Logical Modules/Qualities/ISO-25010/Performance/Resource Usage/Team/Effort &amp; Cost [[DT:ALL]]</t>
  </si>
  <si>
    <t>07.60.00  Design/InfoService/All Logical Modules/Qualities/ISO-25010/Performance/Throughput (Transactions Completed per) [[DT:ALL]]</t>
  </si>
  <si>
    <t>07.60.00  Design/InfoService/All Logical Modules/Qualities/ISO-25010/Performance/Time Behaviour (to complete) [[DT:ALL]]</t>
  </si>
  <si>
    <t>07.60.00  Design/InfoService/All Logical Modules/Qualities/ISO-25010/Performance/Time Behaviour/Recovery [[DT:ALL]]</t>
  </si>
  <si>
    <t>07.60.00  Design/InfoService/All Logical Modules/Qualities/ISO-25010/Performance/Time Behaviour/Response [[DT:ALL]]</t>
  </si>
  <si>
    <t>07.60.00  Design/InfoService/All Logical Modules/Qualities/ISO-25010/Performance/Time Behaviour/Shutdown [[DT:ALL]]</t>
  </si>
  <si>
    <t>07.60.00  Design/InfoService/All Logical Modules/Qualities/ISO-25010/Performance/Time Behaviour/Startup [[DT:ALL]]</t>
  </si>
  <si>
    <t>07.60.00  Design/InfoService/All Logical Modules/Qualities/ISO-25010/Performance/Time Behaviour/Transaction Duration [[DT:ALL]]</t>
  </si>
  <si>
    <t>07.60.00  Design/InfoService/All Logical Modules/Qualities/ISO-25010/Portability/Adaptability [[DT:ALL]]</t>
  </si>
  <si>
    <t>07.60.00  Design/InfoService/All Logical Modules/Qualities/ISO-25010/Portability/Adaptability/Global Standards [[DT:ALL]]</t>
  </si>
  <si>
    <t>07.60.00  Design/InfoService/All Logical Modules/Qualities/ISO-25010/Portability/Adaptability/Global Standards/Country [[DT:ALL]]</t>
  </si>
  <si>
    <t>07.60.00  Design/InfoService/All Logical Modules/Qualities/ISO-25010/Portability/Adaptability/Global Standards/Time [[DT:ALL]]</t>
  </si>
  <si>
    <t>07.60.00  Design/InfoService/All Logical Modules/Qualities/ISO-25010/Portability/Adaptability/Global Standards/UUID [[DT:ALL]]</t>
  </si>
  <si>
    <t>07.60.00  Design/InfoService/All Logical Modules/Qualities/ISO-25010/Portability/Installability [[DT:ALL]]</t>
  </si>
  <si>
    <t>07.60.00  Design/InfoService/All Logical Modules/Qualities/ISO-25010/Portability/Installability/Multi-Platform Framework [[DT:ALL]]</t>
  </si>
  <si>
    <t>07.60.00  Design/InfoService/All Logical Modules/Qualities/ISO-25010/Portability/Installability/Multi-Platform Language [[DT:ALL]]</t>
  </si>
  <si>
    <t>07.60.00  Design/InfoService/All Logical Modules/Qualities/ISO-25010/Portability/Installability/Package Based Installation [[DT:ALL]]</t>
  </si>
  <si>
    <t>07.60.00  Design/InfoService/All Logical Modules/Qualities/ISO-25010/Portability/Replaceability [[DT:ALL]]</t>
  </si>
  <si>
    <t>07.60.00  Design/InfoService/All Logical Modules/Qualities/ISO-25010/Privacy/Correctability [[DT:ALL]]</t>
  </si>
  <si>
    <t>07.60.00  Design/InfoService/All Logical Modules/Qualities/ISO-25010/Privacy/Data-Use [[DT:ALL]]</t>
  </si>
  <si>
    <t>07.60.00  Design/InfoService/All Logical Modules/Qualities/ISO-25010/Privacy/Opt-Out [[DT:ALL]]</t>
  </si>
  <si>
    <t>07.60.00  Design/InfoService/All Logical Modules/Qualities/ISO-25010/Privacy/Tracking [[DT:ALL]]</t>
  </si>
  <si>
    <t>07.60.00  Design/InfoService/All Logical Modules/Qualities/ISO-25010/Reliability/Availability [[DT:ALL]]</t>
  </si>
  <si>
    <t>07.60.00  Design/InfoService/All Logical Modules/Qualities/ISO-25010/Reliability/Availability/24/7 [[DT:ALL]]</t>
  </si>
  <si>
    <t>07.60.00  Design/InfoService/All Logical Modules/Qualities/ISO-25010/Reliability/Availability/99.99% uptime [[DT:ALL]]</t>
  </si>
  <si>
    <t>07.60.00  Design/InfoService/All Logical Modules/Qualities/ISO-25010/Reliability/Availability/DoS Protection [[DT:ALL]]</t>
  </si>
  <si>
    <t>07.60.00  Design/InfoService/All Logical Modules/Qualities/ISO-25010/Reliability/Availability/From the WWW WAN [[DT:ALL]]</t>
  </si>
  <si>
    <t>07.60.00  Design/InfoService/All Logical Modules/Qualities/ISO-25010/Reliability/Availability/Globality [[DT:ALL]]</t>
  </si>
  <si>
    <t>07.60.00  Design/InfoService/All Logical Modules/Qualities/ISO-25010/Reliability/Availability/Notification of Downtime [[DT:ALL]]</t>
  </si>
  <si>
    <t>07.60.00  Design/InfoService/All Logical Modules/Qualities/ISO-25010/Reliability/Availability/Scalability [[DT:ALL]]</t>
  </si>
  <si>
    <t>07.60.00  Design/InfoService/All Logical Modules/Qualities/ISO-25010/Reliability/Fault Tolerance [[DT:ALL]]</t>
  </si>
  <si>
    <t>07.60.00  Design/InfoService/All Logical Modules/Qualities/ISO-25010/Reliability/Fault Tolerance/Idempotent Operations [[DT:ALL]]</t>
  </si>
  <si>
    <t>07.60.00  Design/InfoService/All Logical Modules/Qualities/ISO-25010/Reliability/Fault Tolerance/User Focused Error Messages [[DT:ALL]]</t>
  </si>
  <si>
    <t>07.60.00  Design/InfoService/All Logical Modules/Qualities/ISO-25010/Reliability/Recoverability [[DT:ALL]]</t>
  </si>
  <si>
    <t>07.60.00  Design/InfoService/All Logical Modules/Qualities/ISO-25010/Security [[DT:ALL]]</t>
  </si>
  <si>
    <t>07.60.00  Design/InfoService/All Logical Modules/Qualities/ISO-25010/Security/Accountability [[DT:ALL]]</t>
  </si>
  <si>
    <t>07.60.00  Design/InfoService/All Logical Modules/Qualities/ISO-25010/Security/Accountability/All Data Operations Logged [[DT:ALL]]</t>
  </si>
  <si>
    <t>07.60.00  Design/InfoService/All Logical Modules/Qualities/ISO-25010/Security/Authenticity [[DT:ALL]]</t>
  </si>
  <si>
    <t>07.60.00  Design/InfoService/All Logical Modules/Qualities/ISO-25010/Security/Components are Kept up to date (Latest Major Version, Minor Latest -2 Minor Version) [[DT:CUSTOM]]</t>
  </si>
  <si>
    <t>07.60.00  Design/InfoService/All Logical Modules/Qualities/ISO-25010/Security/Confidentiality [[DT:ALL]]</t>
  </si>
  <si>
    <t>07.60.00  Design/InfoService/All Logical Modules/Qualities/ISO-25010/Security/Confidentiality/Designed for Insecure Devices [[DT:ALL]]</t>
  </si>
  <si>
    <t>07.60.00  Design/InfoService/All Logical Modules/Qualities/ISO-25010/Security/Confidentiality/Diagnostics Records messages are scrubbed of PII &amp; Credentials [[DT:ALL]]</t>
  </si>
  <si>
    <t>07.60.00  Design/InfoService/All Logical Modules/Qualities/ISO-25010/Security/Confidentiality/Encrypted Network Connections [[DT:ALL]]</t>
  </si>
  <si>
    <t>07.60.00  Design/InfoService/All Logical Modules/Qualities/ISO-25010/Security/Confidentiality/Exception Records are Scrubbed of PII &amp; Crendentials [[DT:ALL]]</t>
  </si>
  <si>
    <t>07.60.00  Design/InfoService/All Logical Modules/Qualities/ISO-25010/Security/Confidentiality/HTTP Requests are Redirected back by System to equivalent HTTPS endpoints. [[DT:ALL]]</t>
  </si>
  <si>
    <t>07.60.00  Design/InfoService/All Logical Modules/Qualities/ISO-25010/Security/Confidentiality/Secured Environments (ISO-27001,2) [[DT:ALL]]</t>
  </si>
  <si>
    <t>07.60.00  Design/InfoService/All Logical Modules/Qualities/ISO-25010/Security/Confidentiality/Securely Stored Credentials [[DT:ALL]]</t>
  </si>
  <si>
    <t>07.60.00  Design/InfoService/All Logical Modules/Qualities/ISO-25010/Security/Confidentiality/Storage Primary Keys are not exposed outside system [[DT:ALL]]</t>
  </si>
  <si>
    <t>07.60.00  Design/InfoService/All Logical Modules/Qualities/ISO-25010/Security/Confidentiality/Storage SHOULD be is Encrypted [[DT:ALL]]</t>
  </si>
  <si>
    <t>07.60.00  Design/InfoService/All Logical Modules/Qualities/ISO-25010/Security/Confidentiality/Test with Test Data [[DT:ALL]]</t>
  </si>
  <si>
    <t>07.60.00  Design/InfoService/All Logical Modules/Qualities/ISO-25010/Security/Confidentiality/Tracking Mememtos/Cookies are marked as Secure [[DT:ALL]]</t>
  </si>
  <si>
    <t>07.60.00  Design/InfoService/All Logical Modules/Qualities/ISO-25010/Security/Integrity [[DT:ALL]]</t>
  </si>
  <si>
    <t>07.60.00  Design/InfoService/All Logical Modules/Qualities/ISO-25010/Security/Integrity/Cookies are marked HTTPS only [[DT:ALL]]</t>
  </si>
  <si>
    <t>07.60.00  Design/InfoService/All Logical Modules/Qualities/ISO-25010/Security/Integrity/Exposed Identity Tokens are Cryptographically Signed [[DT:ALL]]</t>
  </si>
  <si>
    <t>07.60.00  Design/InfoService/All Logical Modules/Qualities/ISO-25010/Security/Integrity/Exposed Session Tokens are Cryptographically Signed [[DT:ALL]]</t>
  </si>
  <si>
    <t>07.60.00  Design/InfoService/All Logical Modules/Qualities/ISO-25010/Security/Non-Repudiation [[DT:ALL]]</t>
  </si>
  <si>
    <t>07.60.00  Design/InfoService/All Logical Modules/Qualities/ISO-25010/Security/Non-Repudiation/Auditing logs never deleted [[DT:ALL]]</t>
  </si>
  <si>
    <t>07.60.00  Design/InfoService/All Logical Modules/Qualities/ISO-25010/Security/Non-Repudiation/Operations logged against User (Authenticated or not) [[DT:ALL]]</t>
  </si>
  <si>
    <t>07.60.00  Design/InfoService/All Logical Modules/Qualities/ISO-25010/Supportability/Documentation/DB Persisted [[DT:CUSTOM]]</t>
  </si>
  <si>
    <t>07.60.00  Design/InfoService/All Logical Modules/Qualities/ISO-25010/Supportability/Documentation/Editable [[DT:CUSTOM]]</t>
  </si>
  <si>
    <t>07.60.00  Design/InfoService/All Logical Modules/Qualities/ISO-25010/Usability [[DT:ALL]]</t>
  </si>
  <si>
    <t>07.60.00  Design/InfoService/All Logical Modules/Qualities/ISO-25010/Usability/Aesthetics [[DT:ALL]]</t>
  </si>
  <si>
    <t>07.60.00  Design/InfoService/All Logical Modules/Qualities/ISO-25010/Usability/Aesthetics/Corporate Branding [[DT:ALL]]</t>
  </si>
  <si>
    <t>07.60.00  Design/InfoService/All Logical Modules/Qualities/ISO-25010/Usability/Aesthetics/Per Tenancy Branding [[DT:ALL]]</t>
  </si>
  <si>
    <t>07.60.00  Design/InfoService/All Logical Modules/Qualities/ISO-25010/Usability/Analytics [[DT:ALL]]</t>
  </si>
  <si>
    <t>07.60.00  Design/InfoService/All Logical Modules/Qualities/ISO-25010/Usability/Analytics/Predictive [[DT:ALL]]</t>
  </si>
  <si>
    <t>07.60.00  Design/InfoService/All Logical Modules/Qualities/ISO-25010/Usability/Analytics/Status [[DT:ALL]]</t>
  </si>
  <si>
    <t>07.60.00  Design/InfoService/All Logical Modules/Qualities/ISO-25010/Usability/Assistance [[DT:ALL]]</t>
  </si>
  <si>
    <t>07.60.00  Design/InfoService/All Logical Modules/Qualities/ISO-25010/Usability/Assistance/Online Contact Email Provided [[DT:ALL]]</t>
  </si>
  <si>
    <t>07.60.00  Design/InfoService/All Logical Modules/Qualities/ISO-25010/Usability/Configurability [[DT:ALL]]</t>
  </si>
  <si>
    <t>07.60.00  Design/InfoService/All Logical Modules/Qualities/ISO-25010/Usability/Configurability/Group Membership [[DT:ALL]]</t>
  </si>
  <si>
    <t>07.60.00  Design/InfoService/All Logical Modules/Qualities/ISO-25010/Usability/Configurability/Group Profile [[DT:ALL]]</t>
  </si>
  <si>
    <t>07.60.00  Design/InfoService/All Logical Modules/Qualities/ISO-25010/Usability/Configurability/Group Roles [[DT:ALL]]</t>
  </si>
  <si>
    <t>07.60.00  Design/InfoService/All Logical Modules/Qualities/ISO-25010/Usability/Configurability/Resource Collection Profile [[DT:ALL]]</t>
  </si>
  <si>
    <t>07.60.00  Design/InfoService/All Logical Modules/Qualities/ISO-25010/Usability/Configurability/Resource Collection Role Associations [[DT:ALL]]</t>
  </si>
  <si>
    <t>07.60.00  Design/InfoService/All Logical Modules/Qualities/ISO-25010/Usability/Configurability/Role Permissions [[DT:ALL]]</t>
  </si>
  <si>
    <t>07.60.00  Design/InfoService/All Logical Modules/Qualities/ISO-25010/Usability/Configurability/System Profile [[DT:ALL]]</t>
  </si>
  <si>
    <t>07.60.00  Design/InfoService/All Logical Modules/Qualities/ISO-25010/Usability/Configurability/Tenancy Profile [[DT:ALL]]</t>
  </si>
  <si>
    <t>07.60.00  Design/InfoService/All Logical Modules/Qualities/ISO-25010/Usability/Configurability/User Dashboard [[DT:ALL]]</t>
  </si>
  <si>
    <t>07.60.00  Design/InfoService/All Logical Modules/Qualities/ISO-25010/Usability/Configurability/User Profile [[DT:ALL]]</t>
  </si>
  <si>
    <t>07.60.00  Design/InfoService/All Logical Modules/Qualities/ISO-25010/Usability/Documentation/Is Available &amp; Online [[DT:ALL]]</t>
  </si>
  <si>
    <t>07.60.00  Design/InfoService/All Logical Modules/Qualities/ISO-25010/Usability/Documentation/Is Searchable [[DT:ALL]]</t>
  </si>
  <si>
    <t>07.60.00  Design/InfoService/All Logical Modules/Qualities/ISO-25010/Usability/Learnability/Undoable Operations [[DT:ALL]]</t>
  </si>
  <si>
    <t>07.60.00  Design/InfoService/All Logical Modules/Qualities/ISO-25010/Usability/Operabiility/Training Not Required [[DT:ALL]]</t>
  </si>
  <si>
    <t xml:space="preserve">07.60.00  Design/InfoService/All Logical Modules/Qualities/ISO-25010/Usability/Recognisability/Corporate Branding </t>
  </si>
  <si>
    <t>07.60.00  Design/InfoService/All Logical Modules/Qualities/ISO-25010/Usability/Recognisability/HTTPS Certificate [[DT:ALL]]</t>
  </si>
  <si>
    <t>07.60.00  Design/InfoService/All Logical Modules/Qualities/ISO-25010/Usability/Recognisability/Sector Endorsement [[DT:ALL]]</t>
  </si>
  <si>
    <t>07.60.00  Design/InfoService/All Logical Modules/Qualities/ISO-25010/Usability/Supportability/On-Off-Boarding [[DT:ALL]]</t>
  </si>
  <si>
    <t>07.60.00  Design/InfoService/Base (System) Logical Module/Functionality/Cache/Shared Cache Management [[DT:CUSTOM]]</t>
  </si>
  <si>
    <t>07.60.00  Design/InfoService/Base (System) Logical Module/Functionality/Context/Location Service [[DT:CUSTOM]]</t>
  </si>
  <si>
    <t>07.60.00  Design/InfoService/Base (System) Logical Module/Functionality/Engines/OperationQueue Service [[DT:CUSTOM]]</t>
  </si>
  <si>
    <t>07.60.00  Design/InfoService/Base (System) Logical Module/Functionality/Engines/Rule Service [[DT:CUSTOM]]</t>
  </si>
  <si>
    <t>07.60.00  Design/InfoService/Base (System) Logical Module/Functionality/Engines/Search Service [[DT:CUSTOM]]</t>
  </si>
  <si>
    <t>07.60.00  Design/InfoService/Base (System) Logical Module/Functionality/Engines/Workflow Service [[DT:CUSTOM]]</t>
  </si>
  <si>
    <t>07.60.00  Design/InfoService/Base (System) Logical Module/Functionality/Identity/IdP Service [[DT:CUSTOM]]</t>
  </si>
  <si>
    <t>07.60.00  Design/InfoService/Base (System) Logical Module/Functionality/Local Device Cache Management [[DT:CUSTOM]]</t>
  </si>
  <si>
    <t>07.60.00  Design/InfoService/Base (System) Logical Module/Functionality/Media/MalwareDetection Management [[DT:CUSTOM]]</t>
  </si>
  <si>
    <t>07.60.00  Design/InfoService/Base (System) Logical Module/Functionality/Messaging/PubSub Management [[DT:CUSTOM]]</t>
  </si>
  <si>
    <t>07.60.00  Design/InfoService/Base (System) Logical Module/Functionality/Messaging/SMTP Management [[DT:CUSTOM]]</t>
  </si>
  <si>
    <t>07.60.00  Design/InfoService/Base (System) Logical Module/Functionality/Storage/Blob Storage Management [[DT:CUSTOM]]</t>
  </si>
  <si>
    <t>07.60.00  Design/InfoService/Base (System) Logical Module/Functionality/Storage/Doc DB Management [[DT:CUSTOM]]</t>
  </si>
  <si>
    <t>07.60.00  Design/InfoService/Base (System) Logical Module/Functionality/Storage/Graph DB Management [[DT:CUSTOM]]</t>
  </si>
  <si>
    <t>07.60.00  Design/InfoService/Base (System) Logical Module/Functionality/Storage/Relational DB Management [[DT:CUSTOM]]</t>
  </si>
  <si>
    <t>07.60.00  Design/InfoService/Base (System) Logical Module/Functionality/Documents (using Document DB) Management [[DT:CUSTOM]]</t>
  </si>
  <si>
    <t>07.60.00  Design/InfoService/Base (System) Logical Module/Functionality/Exception Record Management [[DT:CUSTOM]]</t>
  </si>
  <si>
    <t>07.60.00  Design/InfoService/Base (System) Logical Module/Functionality/Group Management [[DT:CUSTOM]]</t>
  </si>
  <si>
    <t>07.60.00  Design/InfoService/Base (System) Logical Module/Functionality/Group Role Management [[DT:CUSTOM]]</t>
  </si>
  <si>
    <t>07.60.00  Design/InfoService/Base (System) Logical Module/Functionality/Host Device Context (Time, Location, Culture) Management (Readonly) Functionality [[DT:CUSTOM]]</t>
  </si>
  <si>
    <t>07.60.00  Design/InfoService/Base (System) Logical Module/Functionality/HostDevice Configuration Management (Readonly) Functionality [[DT:CUSTOM]]</t>
  </si>
  <si>
    <t>07.60.00  Design/InfoService/Base (System) Logical Module/Functionality/Link (using Graphs DB) Management [[DT:CUSTOM]]</t>
  </si>
  <si>
    <t>07.60.00  Design/InfoService/Base (System) Logical Module/Functionality/Mapping Management [[DT:CUSTOM]]</t>
  </si>
  <si>
    <t>07.60.00  Design/InfoService/Base (System) Logical Module/Functionality/Media (using Blob Storage) Management [[DT:CUSTOM]]</t>
  </si>
  <si>
    <t>07.60.00  Design/InfoService/Base (System) Logical Module/Functionality/Media Management [[DT:CUSTOM]]</t>
  </si>
  <si>
    <t>07.60.00  Design/InfoService/Base (System) Logical Module/Functionality/Module Management (using Blob Storage Management) [[DT:CUSTOM]]</t>
  </si>
  <si>
    <t>07.60.00  Design/InfoService/Base (System) Logical Module/Functionality/Module Permission Management [[DT:CUSTOM]]</t>
  </si>
  <si>
    <t>07.60.00  Design/InfoService/Base (System) Logical Module/Functionality/Related Entities (using Relational DB ORM) Management [[DT:CUSTOM]]</t>
  </si>
  <si>
    <t>07.60.00  Design/InfoService/Base (System) Logical Module/Functionality/Request Routing Management [[DT:CUSTOM]]</t>
  </si>
  <si>
    <t>07.60.00  Design/InfoService/Base (System) Logical Module/Functionality/Search Management [[DT:CUSTOM]]</t>
  </si>
  <si>
    <t>07.60.00  Design/InfoService/Base (System) Logical Module/Functionality/Session Management [[DT:CUSTOM]]</t>
  </si>
  <si>
    <t>07.60.00  Design/InfoService/Base (System) Logical Module/Functionality/Session Operation Management [[DT:CUSTOM]]</t>
  </si>
  <si>
    <t>07.60.00  Design/InfoService/Base (System) Logical Module/Functionality/System Configuration (Cached from DB) Management [[DT:CUSTOM]]</t>
  </si>
  <si>
    <t>07.60.00  Design/InfoService/Base (System) Logical Module/Functionality/User Device Location (Readonly) Management [[DT:CUSTOM]]</t>
  </si>
  <si>
    <t>07.60.00  Design/InfoService/Base (System) Logical Module/Functionality/User Management [[DT:CUSTOM]]</t>
  </si>
  <si>
    <t>07.60.00  Design/InfoService/Base (System) Logical Module/Functionality/User Permissions Management [[DT:CUSTOM]]</t>
  </si>
  <si>
    <t>07.60.00  Design/InfoService/Base (System) Logical Module/Functionality/User Profile Management [[DT:CUSTOM]]</t>
  </si>
  <si>
    <t>07.60.00  Design/InfoService/Base (System) Logical Module/Functionality/UserManagement [[DT:CUSTOM]]</t>
  </si>
  <si>
    <t>07.60.00  Design/InfoService/Base (System) Logical Module/Functionality/Validation Functionality (see Malware Detection) [[DT:CUSTOM]]</t>
  </si>
  <si>
    <t>07.60.00  Design/InfoService/Base (System) Logical Module/Interface/Patterns/API Controllers are kept Thin (handing off to Services) [[DT:CUSTOM]]</t>
  </si>
  <si>
    <t>07.60.00  Design/InfoService/Base (System) Logical Module/Interface/Patterns/API Controllers are Reliant on Validation &amp; Malware Detection Functionality [[DT:CUSTOM]]</t>
  </si>
  <si>
    <t>07.60.00  Design/InfoService/Base (System) Logical Module/Interface/Patterns/API Controllers use Mapping Service to Map Sys Models to&amp;from Msg Models [[DT:CUSTOM]]</t>
  </si>
  <si>
    <t>07.60.00  Design/InfoService/Base (System) Logical Module/Services/Diagnostics Message Logging Functionality [[DT:CUSTOM]]</t>
  </si>
  <si>
    <t>07.60.00  Design/InfoService/Dependencies [[DT:CUSTOM]]</t>
  </si>
  <si>
    <t>07.60.00  Design/InfoService/Storage/RelationalDB Service [[DT:CUSTOM]]</t>
  </si>
  <si>
    <t>07.60.00  Design/InfoService/Diagnostics [[DT:ALL]]</t>
  </si>
  <si>
    <t>07.60.00  Design/InfoService/Functionality [[DT:ALL]]</t>
  </si>
  <si>
    <t>07.60.00  Design/InfoService/Functionality/AuditingManagement [[DT:ALL]]</t>
  </si>
  <si>
    <t>07.60.00  Design/InfoService/Functionality/Authentication [[DT:ALL]]</t>
  </si>
  <si>
    <t>07.60.00  Design/InfoService/Functionality/Authorisation [[DT:ALL]]</t>
  </si>
  <si>
    <t>07.60.00  Design/InfoService/Functionality/Diagnostics Message (NonPermanent, Rolling) Management [[DT:ALL]]</t>
  </si>
  <si>
    <t>07.60.00  Design/InfoService/Functionality/Exception Record (Permanent) Management [[DT:ALL]]</t>
  </si>
  <si>
    <t>07.60.00  Design/InfoService/Functionality/Feedback Management [[DT:ALL]]</t>
  </si>
  <si>
    <t>07.60.00  Design/InfoService/Functionality/GroupManagement [[DT:ALL]]</t>
  </si>
  <si>
    <t>07.60.00  Design/InfoService/Functionality/GroupMembershipManagement [[DT:ALL]]</t>
  </si>
  <si>
    <t>07.60.00  Design/InfoService/Functionality/HostManagement [[DT:ALL]]</t>
  </si>
  <si>
    <t>07.60.00  Design/InfoService/Functionality/NotificationManagement [[DT:ALL]]</t>
  </si>
  <si>
    <t>07.60.00  Design/InfoService/Functionality/Permission Management [[DT:ALL]]</t>
  </si>
  <si>
    <t>07.60.00  Design/InfoService/Functionality/ReportingManagement [[DT:ALL]]</t>
  </si>
  <si>
    <t>07.60.00  Design/InfoService/Functionality/ReportingManagement/Abandonment [[DT:ALL]]</t>
  </si>
  <si>
    <t>07.60.00  Design/InfoService/Functionality/ReportingManagement/Exceptions [[DT:ALL]]</t>
  </si>
  <si>
    <t>07.60.00  Design/InfoService/Functionality/ReportingManagement/Feedback [[DT:ALL]]</t>
  </si>
  <si>
    <t>07.60.00  Design/InfoService/Functionality/ReportingManagement/Groups [[DT:ALL]]</t>
  </si>
  <si>
    <t>07.60.00  Design/InfoService/Functionality/ReportingManagement/Operations [[DT:ALL]]</t>
  </si>
  <si>
    <t>07.60.00  Design/InfoService/Functionality/ReportingManagement/Traffic [[DT:ALL]]</t>
  </si>
  <si>
    <t>07.60.00  Design/InfoService/Functionality/ReportingManagement/Users [[DT:ALL]]</t>
  </si>
  <si>
    <t>07.60.00  Design/InfoService/Functionality/ResourcesManagement [[DT:ALL]]</t>
  </si>
  <si>
    <t>07.60.00  Design/InfoService/Functionality/ResourcesManagement/Deletion [[DT:ALL]]</t>
  </si>
  <si>
    <t>07.60.00  Design/InfoService/Functionality/ResourcesManagement/Media [[DT:ALL]]</t>
  </si>
  <si>
    <t>07.60.00  Design/InfoService/Functionality/ResourcesManagement/Routing [[DT:ALL]]</t>
  </si>
  <si>
    <t>07.60.00  Design/InfoService/Functionality/ResourcesManagement/Versioning [[DT:ALL]]</t>
  </si>
  <si>
    <t>07.60.00  Design/InfoService/Functionality/ResourcesManagement/Workflows [[DT:ALL]]</t>
  </si>
  <si>
    <t>07.60.00  Design/InfoService/Functionality/ResourcesManagement/Workflows/Approvals [[DT:ALL]]</t>
  </si>
  <si>
    <t>07.60.00  Design/InfoService/Functionality/ResourcesManagement/Workflows/Delegation [[DT:ALL]]</t>
  </si>
  <si>
    <t>07.60.00  Design/InfoService/Functionality/ResourcesManagement/Workflows/Escalations [[DT:ALL]]</t>
  </si>
  <si>
    <t>07.60.00  Design/InfoService/Functionality/SearchManagement [[DT:ALL]]</t>
  </si>
  <si>
    <t>07.60.00  Design/InfoService/Functionality/SystemManagement [[DT:ALL]]</t>
  </si>
  <si>
    <t>07.60.00  Design/InfoService/Functionality/UserManagement [[DT:ALL]]</t>
  </si>
  <si>
    <t>07.60.00  Design/InfoService/Functionality/UserPermissionDelegationManagement [[DT:ALL]]</t>
  </si>
  <si>
    <t>07.60.00  Design/InfoService/Integration/Datawarehouse [[DT:ALL]]</t>
  </si>
  <si>
    <t>07.60.00  Design/InfoService/Integration/Datawarehouse/Using Standard Schemas &amp; Attributes [[DT:ALL]]</t>
  </si>
  <si>
    <t>07.60.00  Design/InfoService/Integration/Reporting [[DT:ALL]]</t>
  </si>
  <si>
    <t>07.60.00  Design/InfoService/Integration/Reporting/Use of a separate Database [[DT:ALL]]</t>
  </si>
  <si>
    <t>07.60.00  Design/InfoService/Interface [[DT:ALL]]</t>
  </si>
  <si>
    <t>07.60.00  Design/InfoService/Interoperability/WebHooks [[DT:CUSTOM]]</t>
  </si>
  <si>
    <t>07.60.00  Design/InfoService/Qualities/ISO-25010/Availability/Scalability [[DT:CUSTOM]]</t>
  </si>
  <si>
    <t>07.60.00  Design/InfoService/Qualities/ISO-25010/Interoperability/APIs/Queryability [[DT:CUSTOM]]</t>
  </si>
  <si>
    <t>07.60.00  Design/InfoService/Qualities/ISO-25010/Monitoring (NO) [[DT:ALL]]</t>
  </si>
  <si>
    <t>07.60.00  Design/InfoService/Qualities/ISO-25010/Notification [[DT:ALL]]</t>
  </si>
  <si>
    <t>07.60.00  Design/InfoService/Qualities/ISO-25010/Notification/Alerting [[DT:ALL]]</t>
  </si>
  <si>
    <t>07.60.00  Design/InfoService/Qualities/ISO-25010/Resource Utilisation [[DT:ALL]]</t>
  </si>
  <si>
    <t>07.60.00  Design/InfoService/Qualities/ISO-25010/Resource Utilisation/CPU [[DT:CUSTOM]]</t>
  </si>
  <si>
    <t>07.60.00  Design/InfoService/Qualities/ISO-25010/Resource Utilisation/DB Connections [[DT:CUSTOM]]</t>
  </si>
  <si>
    <t>07.60.00  Design/InfoService/Qualities/ISO-25010/Security [[DT:ALL]]</t>
  </si>
  <si>
    <t>07.60.00  Design/InfoService/Storage [[DT:ALL]]</t>
  </si>
  <si>
    <t>07.60.00  Design/InfoServiceClient/All Logical Modules/Interface/UX/Patterns [[DT:CUSTOM]]</t>
  </si>
  <si>
    <t>07.60.00  Design/InfoServiceClient/All Logical Modules/Interface/UX/Principles/Allocate Space for Text Resource Interpreted Translations [[DT:CUSTOM]]</t>
  </si>
  <si>
    <t>07.60.00  Design/InfoServiceClient/All Logical Modules/Interface/UX/Principles/BREAD View Layout [[DT:CUSTOM]]</t>
  </si>
  <si>
    <t>07.60.00  Design/InfoServiceClient/All Logical Modules/Interface/UX/Principles/Interpretation versus Translation [[DT:CUSTOM]]</t>
  </si>
  <si>
    <t>07.60.00  Design/InfoServiceClient/All Logical Modules/Interface/UX/Principles/View Types are Input, Output, Container, but not combinations. [[DT:CUSTOM]]</t>
  </si>
  <si>
    <t>07.60.00  Design/InfoServiceClient/Base (System) Logical Module/Interface/UX/Principles/Minimise Wasted space on System/Tenant Context/Branding [[DT:CUSTOM]]</t>
  </si>
  <si>
    <t>07.70.00  Design/InfoService/All Logical Modules/Qualities/ISO-25010/Maintainability/Modularity/Design is approached as Logical Modules [[DT:CUSTOM]]</t>
  </si>
  <si>
    <t>07.70.00  Design/InfoService/Functionality/Configuration Management</t>
  </si>
  <si>
    <t>07.70.00  Design/InfoServiceClient/All Logical Modules/Interface/UX/Obligations [[DT:ALL]]</t>
  </si>
  <si>
    <t>07.80.00  Design/InfoService/Functionality/Customisation Management [[DT:ALL]]</t>
  </si>
  <si>
    <t>07.90.00  Design/InfoService/Content [[DT:ALL]]</t>
  </si>
  <si>
    <t>07.99.00  Design/InfoServiceClient/Base (System) Logical Module/Functionality/Caching on Device [[DT:ALL]]</t>
  </si>
  <si>
    <t>07.99.00  Design/InfoServiceClient/Constraints/AntiPatterns/Letting Interface Appearance drive Development [[DT:CUSTOM]]</t>
  </si>
  <si>
    <t>07.99.00  Design/InfoServiceClient/Qualities [[DT:ALL]]</t>
  </si>
  <si>
    <t>08.00.00  ===== QA ===== [[DT:ALL]]</t>
  </si>
  <si>
    <t>08.30.00  QA/Constraints/AntiPatterns/Repetitive Testing by Hand [[DT:ALL]]</t>
  </si>
  <si>
    <t>08.30.00  QA/Constraints/AntiPatterns/Security Failure: Access to Full or partial Clear/Obfuscated Data [[DT:ALL]]</t>
  </si>
  <si>
    <t>08.30.00  QA/Constraints/AntiPatterns/Solving for Current/Lagard Device Limits versus predicted (Lifecycle) Needs [[DT:ALL]]</t>
  </si>
  <si>
    <t>08.30.00  QA/Constraints/AntiPatterns/Solving for Data Quality, rather than Logic that improves Data Quality [[DT:ALL]]</t>
  </si>
  <si>
    <t>08.30.00  QA/Constraints/AntiPatterns/Test Analysts being also used for Testing Operations [[DT:ALL]]</t>
  </si>
  <si>
    <t>08.30.00  QA/Constraints/AntiPatterns/Using SMEs as  [[DT:ALL]]</t>
  </si>
  <si>
    <t>08.30.00  QA/InfoService/Phase/Definition/Tasks/Develop Test Scripts for each Task within each User Story[[DT:ALL]]</t>
  </si>
  <si>
    <t>08.40.00  QA/InfoService/Phase/Definition/Tasks/Define Tests for System Dependencies [[DT:ALL]]</t>
  </si>
  <si>
    <t>08.50.00  QA/InfoService/Phase/Definition/Tasks/Define Tests for Interoperation [[DT:ALL]]</t>
  </si>
  <si>
    <t>08.60.00  QA.InfoServiceClient [[DT:ALL]]</t>
  </si>
  <si>
    <t>08.70.00  QA/Content [[DT:ALL]]</t>
  </si>
  <si>
    <t>09.00.00 ===== DEVELOPMENT ===== [[DT:ALL]]</t>
  </si>
  <si>
    <t>09.10.00  Development/ALM Environment [[DT:CUSTOM]]</t>
  </si>
  <si>
    <t>09.20.00  Development/DeliveryPipeline [[DT:CUSTOM]]</t>
  </si>
  <si>
    <t>09.30.00  Development/Environment/Provisioning [[DT:CUSTOM]]</t>
  </si>
  <si>
    <t>09.30.00  Development/Environment/Provisioning/Access to ALM Project Space [[DT:CUSTOM]]</t>
  </si>
  <si>
    <t>09.30.00  Development/Environment/Provisioning/Device [[DT:CUSTOM]]</t>
  </si>
  <si>
    <t>09.30.00  Development/Provisioning/Access to ALM Project Space [[DT:CUSTOM]]</t>
  </si>
  <si>
    <t>09.40.00  Development/Environment/HostConfiguration [[DT:CUSTOM]]</t>
  </si>
  <si>
    <t>09.50.00  Development/TestSuites [[DT:CUSTOM]]</t>
  </si>
  <si>
    <t>09.60.00  Development/InfoService [[DT:CUSTOM]]</t>
  </si>
  <si>
    <t>09.70.00  Development/InfoService/Configuration [[DT:CUSTOM]]</t>
  </si>
  <si>
    <t>09.90.00  Development/InfoService/Content [[DT:CUSTOM]]</t>
  </si>
  <si>
    <t>09.91.00  Development/InfoService/Content/Branding [[DT:CUSTOM]]</t>
  </si>
  <si>
    <t>09.92.00  Development/InfoService/Content/Disclosures [[DT:CUSTOM]]</t>
  </si>
  <si>
    <t>09.92.00  Development/InfoService/Content/Terms&amp;Conditions [[DT:CUSTOM]]</t>
  </si>
  <si>
    <t>09.94.00  Development/InfoService/Content/Messages [[DT:CUSTOM]]</t>
  </si>
  <si>
    <t>09.94.00  Development/InfoService/Content/Metadata (Discoverability) [[DT:CUSTOM]]</t>
  </si>
  <si>
    <t>09.95.00  Development/InfoService/C&amp;A/Analysis/Maintainability/Code Quality [[DT:CUSTOM]]</t>
  </si>
  <si>
    <t>09.95.00  Development/InfoService/C&amp;A/Analysis/Maintainability/Tests/API Coverage [[DT:CUSTOM]]</t>
  </si>
  <si>
    <t>09.95.00  Development/InfoService/C&amp;A/Analysis/Maintainability/Tests/Code Coverage [[DT:CUSTOM]]</t>
  </si>
  <si>
    <t>09.95.00  Development/InfoService/Onboarding (Users,Groups,Roles,Permissions) [[DT:CUSTOM]]</t>
  </si>
  <si>
    <t>11.00.00  ===== DRIVING ===== [[DT:ALL]]</t>
  </si>
  <si>
    <t>11.10.00  Driving/Deployment [[DT:ALL]]</t>
  </si>
  <si>
    <t>11.20.00  Driving/Maintenance [[DT:ALL]]</t>
  </si>
  <si>
    <t>11.20.00  Driving/Maintenance/Access/Security: No Direct Unaudited Access to Storage [[DT:ALL]]</t>
  </si>
  <si>
    <t>11.20.00  Driving/Maintenance/Backups [[DT:ALL]]</t>
  </si>
  <si>
    <t>11.20.00  Driving/Maintenance/Backups/Automated [[DT:ALL]]</t>
  </si>
  <si>
    <t>11.20.00  Driving/Maintenance/Backups/Encrypted At Rest [[DT:ALL]]</t>
  </si>
  <si>
    <t>11.20.00  Driving/Maintenance/Backups/Mix of Interval &amp; Full Backups [[DT:ALL]]</t>
  </si>
  <si>
    <t>11.20.00  Driving/Maintenance/Backups/Over encrypted channels [[DT:ALL]]</t>
  </si>
  <si>
    <t>11.20.00  Driving/Maintenance/Backups/Regularly Demonstrated/Tested (by default Operations) [[DT:ALL]]</t>
  </si>
  <si>
    <t>11.20.00  Driving/Maintenance/Backups/Restoration [[DT:ALL]]</t>
  </si>
  <si>
    <t>11.20.00  Driving/Maintenance/Backups/Restoration/Automated [[DT:ALL]]</t>
  </si>
  <si>
    <t>11.20.00  Driving/Maintenance/Backups/Restoration/Regularly Tested [[DT:ALL]]</t>
  </si>
  <si>
    <t>11.20.00  Driving/Maintenance/Backups/Stored in a separate location than PROD-DATA Environment [[DT:ALL]]</t>
  </si>
  <si>
    <t>11.20.00  Driving/Maintenance/Component Version Maintenance [[DT:ALL]]</t>
  </si>
  <si>
    <t>11.20.00  Driving/Maintenance/Data/Quality [[DT:ALL]]</t>
  </si>
  <si>
    <t>11.30.00  Driving/Operations [[DT:ALL]]</t>
  </si>
  <si>
    <t>11.30.00  Driving/Operations/Analysis [[DT:ALL]]</t>
  </si>
  <si>
    <t>11.30.00  Driving/Operations/Diagnostics [[DT:ALL]]</t>
  </si>
  <si>
    <t>11.30.00  Driving/Operations/Exporting [[DT:ALL]]</t>
  </si>
  <si>
    <t>11.30.00  Driving/Operations/Exporting/Media (Collections, Media, Metadata, Permissions, Members) [[DT:ALL]]</t>
  </si>
  <si>
    <t>11.30.00  Driving/Operations/Exporting/Users &amp; AuthZ (Groups, Membership, Group Roles, Permissions) [[DT:ALL]]</t>
  </si>
  <si>
    <t>11.30.00  Driving/Operations/Importing [[DT:ALL]]</t>
  </si>
  <si>
    <t>11.30.00  Driving/Operations/Importing Users &amp; AuthZ (Groups, Users, Roles, Permissions) [[DT:ALL]]</t>
  </si>
  <si>
    <t>11.30.00  Driving/Operations/Importing/Media (Collections, Media, Metadata, Permissions, Members) [[DT:ALL]]</t>
  </si>
  <si>
    <t>11.30.00  Driving/Operations/Reporting [[DT:ALL]]</t>
  </si>
  <si>
    <t>11.30.00  Driving/Operations/Reporting/Assets (Most Viewed) [[DT:ALL]]</t>
  </si>
  <si>
    <t>11.30.00  Driving/Operations/Reporting/Auditing (Group Summary: Description, Metadata, Members, Resources) [[DT:ALL]]</t>
  </si>
  <si>
    <t>11.30.00  Driving/Operations/Reporting/Auditing (Record History: Viewers, Editors, Creator, Logical Deletor) [[DT:ALL]]</t>
  </si>
  <si>
    <t>11.30.00  Driving/Operations/Reporting/Auditing (User Activity History: Operations) [[DT:ALL]]</t>
  </si>
  <si>
    <t>11.30.00  Driving/Operations/Reporting/Auditing (User Summary: Context, Permissions, Operations, Records) [[DT:ALL]]</t>
  </si>
  <si>
    <t>11.30.00  Driving/Operations/Reporting/Discovery (Source Paths,Metadata Used) [[DT:ALL]]</t>
  </si>
  <si>
    <t>11.30.00  Driving/Operations/Reporting/Format/PDF is preferred for print [[DT:ALL]]</t>
  </si>
  <si>
    <t>11.30.00  Driving/Operations/Reporting/Operations (Search, Abandonment, Consumation) [[DT:ALL]]</t>
  </si>
  <si>
    <t>11.30.00  Driving/Operations/Reporting/QA (Requests to Delay, Duration, Exceptions) [[DT:ALL]]</t>
  </si>
  <si>
    <t>11.30.00  Driving/Operations/Reporting/Security/printed reports are unalterable [[DT:ALL]]</t>
  </si>
  <si>
    <t>11.30.00  Driving/Operations/Reporting/Traffic (UnAuthenticated, Abandonment, Authentication, Authenticated) [[DT:ALL]]</t>
  </si>
  <si>
    <t>11.30.00  Driving/Operations/Reporting/Usability (Searches, Followed, Abandoned) [[DT:ALL]]</t>
  </si>
  <si>
    <t>11.30.00  Driving/Operations/Reporting/Viewable on screen, also by print [[DT:ALL]]</t>
  </si>
  <si>
    <t>11.40.00  Driving/Support [[DT:ALL]]</t>
  </si>
  <si>
    <t>11.40.00  Driving/Support/Business [[DT:ALL]]</t>
  </si>
  <si>
    <t>13.00.00 ===== DECOMMISSIONING ===== [[DT:ALL]]</t>
  </si>
  <si>
    <t>13.10.00  Decommissioning/Allowing next System to Export using APIs [[DT:ALL]]</t>
  </si>
  <si>
    <t>13.10.00  Decommissioning/Perapation for Archives [[DT:ALL]]</t>
  </si>
  <si>
    <t>13.20.00  Decommissioning/Develop ETL to permit Exporting to next System [[DT:ALL]]</t>
  </si>
  <si>
    <t>13.30.00  Decommissioning/Secure Deletion of Hosted Storage Devices [[DT:ALL]]</t>
  </si>
  <si>
    <t>13.30.00  Decommissioning/Secure Erasure of Physical Storage Devices [[DT:ALL]]</t>
  </si>
  <si>
    <t>INSTRUCTIONS</t>
  </si>
  <si>
    <t>Amazingly, in the ICT industry there is no universally respected or used Desires &amp; Requirements gathering, management and reporting system. Excel still remains the only acceptable Lowest Common Denominator solution.</t>
  </si>
  <si>
    <t xml:space="preserve">This document is for Non-Functional Quality Requirements. and therefore excludes Business User specific Requirements as well as Non-Business Functional Requirements.    </t>
  </si>
  <si>
    <t>Each Record has</t>
  </si>
  <si>
    <t>- UniqueID:</t>
  </si>
  <si>
    <t>- UniquePath:</t>
  </si>
  <si>
    <r>
      <t xml:space="preserve">- Title: A document usable title (not the same as the </t>
    </r>
    <r>
      <rPr>
        <i/>
        <sz val="11"/>
        <color rgb="FF000000"/>
        <rFont val="Calibri"/>
        <charset val="1"/>
      </rPr>
      <t>DiagramTitle</t>
    </r>
    <r>
      <rPr>
        <sz val="11"/>
        <color rgb="FF000000"/>
        <rFont val="Calibri"/>
        <charset val="1"/>
      </rPr>
      <t>)</t>
    </r>
  </si>
  <si>
    <t>- Description:</t>
  </si>
  <si>
    <t>- DiagramTitle: A human readable title as short as possible, usable in Diagrams.</t>
  </si>
  <si>
    <t>- Statement: The actual Requirement text. Note that as as a Requirement, and not a Work Item, it is a MUST/SHOULD/COULD statement and not as a User Story.</t>
  </si>
  <si>
    <t>- Rationale:</t>
  </si>
  <si>
    <t>- Notes:</t>
  </si>
  <si>
    <t>- Responsible:</t>
  </si>
  <si>
    <t>- Benefiting:</t>
  </si>
  <si>
    <t>-Type:</t>
  </si>
  <si>
    <t>You can Filter A Tab/Page by Right-Clicking the Concern.ID Column and typeing the filter as "**.**.****" or whatever detail depth you desire.</t>
  </si>
  <si>
    <t>Environment</t>
  </si>
  <si>
    <t>Type</t>
  </si>
  <si>
    <t>MAJOR (PHASE):</t>
  </si>
  <si>
    <t>MINOR(DELIVERABLE):</t>
  </si>
  <si>
    <t>STAKEHOLDERS</t>
  </si>
  <si>
    <t>TYPE</t>
  </si>
  <si>
    <t>Column1</t>
  </si>
  <si>
    <t>REQUIREMENT</t>
  </si>
  <si>
    <t>P00.---</t>
  </si>
  <si>
    <t>D000.---</t>
  </si>
  <si>
    <t>S00.Unclassified</t>
  </si>
  <si>
    <t>T0.---</t>
  </si>
  <si>
    <t>Reviewable</t>
  </si>
  <si>
    <t>Unknown</t>
  </si>
  <si>
    <t>P01.Destination</t>
  </si>
  <si>
    <t>D001.SOW</t>
  </si>
  <si>
    <t>S01.ALL</t>
  </si>
  <si>
    <t>T1.Objectives</t>
  </si>
  <si>
    <t>Cloud/SaaS</t>
  </si>
  <si>
    <t>Service</t>
  </si>
  <si>
    <t>P02.Dependencies</t>
  </si>
  <si>
    <t>D002.SOW/Delivery Management Services</t>
  </si>
  <si>
    <t>S02.CEO</t>
  </si>
  <si>
    <t>T2.Deliverables</t>
  </si>
  <si>
    <t>Accepted</t>
  </si>
  <si>
    <t>Cloud/PaaS</t>
  </si>
  <si>
    <t>Configurable</t>
  </si>
  <si>
    <t>P03.Governance</t>
  </si>
  <si>
    <t>D003.SOW/Stakeholder Analysis Services</t>
  </si>
  <si>
    <t>S03.Organisation Strategic Alignment Governance</t>
  </si>
  <si>
    <t>T3.Task</t>
  </si>
  <si>
    <t>Active</t>
  </si>
  <si>
    <t>Cloud/CaaS</t>
  </si>
  <si>
    <t>Customizable</t>
  </si>
  <si>
    <t>P04.Direction</t>
  </si>
  <si>
    <t>D004.SOW/Design Services/Architecture</t>
  </si>
  <si>
    <t>S04.Organisation Information Governance</t>
  </si>
  <si>
    <t>T4.Milestone</t>
  </si>
  <si>
    <t>Replaced</t>
  </si>
  <si>
    <t>Cloud/IaaS</t>
  </si>
  <si>
    <t>P05.Delegation</t>
  </si>
  <si>
    <t>D005.SOW/Design Services/UX</t>
  </si>
  <si>
    <t>S05.Organisation Legal Governance</t>
  </si>
  <si>
    <t>T5.Constraints</t>
  </si>
  <si>
    <t>P06.Discovery</t>
  </si>
  <si>
    <t>D006.SOW/ScrumMaster Services</t>
  </si>
  <si>
    <t>S06.Organisation Probity Governance</t>
  </si>
  <si>
    <t>T6.Specs:Qualities</t>
  </si>
  <si>
    <t>P07.Desires</t>
  </si>
  <si>
    <t>D007.SOW/QA Analysis Services</t>
  </si>
  <si>
    <t>S07.Organisation Privacy Governance</t>
  </si>
  <si>
    <t>T7.Specs:Functionality</t>
  </si>
  <si>
    <t>P08.Definition</t>
  </si>
  <si>
    <t>D008.SOW/C&amp;A Services</t>
  </si>
  <si>
    <t>S08.Organisation Comms Governance</t>
  </si>
  <si>
    <t>T8.Specs:Guidance</t>
  </si>
  <si>
    <t>P09.Procurement</t>
  </si>
  <si>
    <t>D009.SOW/Delivery Services</t>
  </si>
  <si>
    <t>S09.Organisation Change Management Governance</t>
  </si>
  <si>
    <t>T9.Assumptions</t>
  </si>
  <si>
    <t>P10.Design</t>
  </si>
  <si>
    <t>D010.SOW/Infrastructure Services</t>
  </si>
  <si>
    <t>S10.---</t>
  </si>
  <si>
    <t>P11.Detailed Design</t>
  </si>
  <si>
    <t>D011.SOW/Monitoring Services</t>
  </si>
  <si>
    <t>S11.---</t>
  </si>
  <si>
    <t>P12.Technical Design</t>
  </si>
  <si>
    <t>D012.SOW/Operations Services</t>
  </si>
  <si>
    <t>S12.---</t>
  </si>
  <si>
    <t>P13.Content Design</t>
  </si>
  <si>
    <t>D013.SOW/Data Migration Services</t>
  </si>
  <si>
    <t>S13.Business Sponsor</t>
  </si>
  <si>
    <t>P14.QA Definition</t>
  </si>
  <si>
    <t>D014.SOW/Resource &amp; Content Services</t>
  </si>
  <si>
    <t>S14.Business Governance</t>
  </si>
  <si>
    <t>P15.Delivery</t>
  </si>
  <si>
    <t>D015.SOW/Media Interpretation Services</t>
  </si>
  <si>
    <t>S15.Business Content Governance</t>
  </si>
  <si>
    <t>a</t>
  </si>
  <si>
    <t>P16.Development</t>
  </si>
  <si>
    <t>D016.SOW/Development Services/Pipeline</t>
  </si>
  <si>
    <t>S16.---</t>
  </si>
  <si>
    <t>P17.Driving</t>
  </si>
  <si>
    <t>D017.SOW/Development Services/QA Automation</t>
  </si>
  <si>
    <t>S17.---</t>
  </si>
  <si>
    <t>P18.Decommissioning</t>
  </si>
  <si>
    <t>D018.SOW/Development Services/Server</t>
  </si>
  <si>
    <t>S18.ITC CIO/CDO</t>
  </si>
  <si>
    <t>D019.SOW/Development Services/Client/UX</t>
  </si>
  <si>
    <t>S19.ITC Data Integration Governance(ITC-DIGI)</t>
  </si>
  <si>
    <t>D020.SOW/Development Services/Data</t>
  </si>
  <si>
    <t>S20.ITC Technology Investments Alignment Governance(ITC-DA/GB)</t>
  </si>
  <si>
    <t>D021.SOW/Security Review Services</t>
  </si>
  <si>
    <t>S21.ITC Technology Investments Alignment Governance(DA)</t>
  </si>
  <si>
    <t>D022.SOW/Support Services</t>
  </si>
  <si>
    <t>S22.ITC Architecture Alignment Governance(ITC-TWG)</t>
  </si>
  <si>
    <t>D023.SOW/Training Services</t>
  </si>
  <si>
    <t>S23.ITC Design Security Services</t>
  </si>
  <si>
    <t>D024.---</t>
  </si>
  <si>
    <t>S24.ITC Certificate &amp; Assurance (C&amp;A) Services(C&amp;A)</t>
  </si>
  <si>
    <t>D025.---</t>
  </si>
  <si>
    <t>S25.ITC Change Governance(CAB)</t>
  </si>
  <si>
    <t>D031.Business</t>
  </si>
  <si>
    <t>S26.---</t>
  </si>
  <si>
    <t>D032.Business/Options Analysis</t>
  </si>
  <si>
    <t>S27.---</t>
  </si>
  <si>
    <t>D033.Business/Stakeholders Map</t>
  </si>
  <si>
    <t>S28.Users/Public</t>
  </si>
  <si>
    <t>D034.Business/HL Objectives</t>
  </si>
  <si>
    <t>S29.Users/Authenticated</t>
  </si>
  <si>
    <t>D035.Business/Gap Analysis</t>
  </si>
  <si>
    <t>S30.Users/Service Consumers</t>
  </si>
  <si>
    <t>D036.Business/Case</t>
  </si>
  <si>
    <t>S31.Users/Service Providers (Frontline)</t>
  </si>
  <si>
    <t>D037.Business/Delivery Plan</t>
  </si>
  <si>
    <t>S32.Users/Business Services (Coordinators)</t>
  </si>
  <si>
    <t>D038.Business/Change Management Plan</t>
  </si>
  <si>
    <t>S33.Users/Training Services</t>
  </si>
  <si>
    <t>D039.Business/Change Comms Plan</t>
  </si>
  <si>
    <t>S34.Users/Support Services (General)</t>
  </si>
  <si>
    <t>D040.Business/Execution Plan</t>
  </si>
  <si>
    <t>S35.Users/Business Service (Support)</t>
  </si>
  <si>
    <t>D041.Business/Requirements Tracability Report</t>
  </si>
  <si>
    <t>S36.Users/Operations (Configuration)</t>
  </si>
  <si>
    <t>D042.---</t>
  </si>
  <si>
    <t>S37.---</t>
  </si>
  <si>
    <t>D043.---</t>
  </si>
  <si>
    <t>S38.---</t>
  </si>
  <si>
    <t>D101.Governance Reporting</t>
  </si>
  <si>
    <t>S39.Partners</t>
  </si>
  <si>
    <t>D102.Governance Reporting/Risks</t>
  </si>
  <si>
    <t>S40.API Gateway Services</t>
  </si>
  <si>
    <t>D103.Governance Reporting/Issues</t>
  </si>
  <si>
    <t>S41.Analytics Services</t>
  </si>
  <si>
    <t>D104.Governance Reporting/Technical Debt</t>
  </si>
  <si>
    <t>S42.Data warehouse Services</t>
  </si>
  <si>
    <t>D105.Governance Reporting/Resources</t>
  </si>
  <si>
    <t>S43.Archiving Services</t>
  </si>
  <si>
    <t>D106.Governance Reporting/Effort</t>
  </si>
  <si>
    <t>S44.---</t>
  </si>
  <si>
    <t>D107.Governance Reporting/Functionalities</t>
  </si>
  <si>
    <t>S45.---</t>
  </si>
  <si>
    <t>D108.Governance Reporting/Qualities</t>
  </si>
  <si>
    <t>S46.Delivery Management Services</t>
  </si>
  <si>
    <t>D109.Governance Reporting/Quality Assurance</t>
  </si>
  <si>
    <t>S47.Business Case Consultant Services</t>
  </si>
  <si>
    <t>D110.Governance Reporting/Endorsements</t>
  </si>
  <si>
    <t>S48.Enterprise Architecture Services</t>
  </si>
  <si>
    <t>D111.Governance Reporting/Deliverables</t>
  </si>
  <si>
    <t>S48.Stakeholder Analysis Services</t>
  </si>
  <si>
    <t>D112.---</t>
  </si>
  <si>
    <t>S49.Solution Architecture Services</t>
  </si>
  <si>
    <t>D113.---</t>
  </si>
  <si>
    <t>S50.Design Services/UX</t>
  </si>
  <si>
    <t>D251.Classification</t>
  </si>
  <si>
    <t>S51.---</t>
  </si>
  <si>
    <t>D252.Classification/Information Category</t>
  </si>
  <si>
    <t>S52.---</t>
  </si>
  <si>
    <t>D253.Classification/Privacy (PTA)</t>
  </si>
  <si>
    <t>S53.Design Security Review Services</t>
  </si>
  <si>
    <t>D254.Classification/Risk (STA)</t>
  </si>
  <si>
    <t>S54.---</t>
  </si>
  <si>
    <t>D254.---</t>
  </si>
  <si>
    <t>S55.---</t>
  </si>
  <si>
    <t>D255.---</t>
  </si>
  <si>
    <t>S56.ScrumMaster Services</t>
  </si>
  <si>
    <t>D261.C&amp;A</t>
  </si>
  <si>
    <t>S57.QA Analysis Services</t>
  </si>
  <si>
    <t>D262.C&amp;A Risk (ST2)</t>
  </si>
  <si>
    <t>S58.Identity Services</t>
  </si>
  <si>
    <t>D263.C&amp;A Risk Audit</t>
  </si>
  <si>
    <t>S59.Data Services</t>
  </si>
  <si>
    <t>D264.---</t>
  </si>
  <si>
    <t>S60.Deployment Services</t>
  </si>
  <si>
    <t>D265.---</t>
  </si>
  <si>
    <t>S61.Infrastructure Services</t>
  </si>
  <si>
    <t>D271.Endorsement</t>
  </si>
  <si>
    <t>S62.Monitoring Services</t>
  </si>
  <si>
    <t>D272.Endorsement/ITC-GB</t>
  </si>
  <si>
    <t>S63.Security Services</t>
  </si>
  <si>
    <t>D273.Endorsement/ITC-DA</t>
  </si>
  <si>
    <t>S64.Maintenance Services</t>
  </si>
  <si>
    <t>D274.Endorsement/ITC-QA</t>
  </si>
  <si>
    <t>S65.Operations Services</t>
  </si>
  <si>
    <t>D275.Endorsement/ITC-C&amp;A</t>
  </si>
  <si>
    <t>S66.Data Migration Services</t>
  </si>
  <si>
    <t>D276.Endorsement/ITC-CAB</t>
  </si>
  <si>
    <t>S67.BAU Development Services</t>
  </si>
  <si>
    <t>D277.---</t>
  </si>
  <si>
    <t>S68.Support Services</t>
  </si>
  <si>
    <t>D278.---</t>
  </si>
  <si>
    <t>S69.Training Services</t>
  </si>
  <si>
    <t>D301.Endorsement/ITC-Security at CAB</t>
  </si>
  <si>
    <t>S70.---</t>
  </si>
  <si>
    <t>D302.Endorsement/ITC-Infrastructure at CAB</t>
  </si>
  <si>
    <t>S71.---</t>
  </si>
  <si>
    <t>D303.Endorsement/ITC-Monitoring at CAB</t>
  </si>
  <si>
    <t>S72.Resource &amp; Content Services</t>
  </si>
  <si>
    <t>D304.Endorsement/ITC-Maintenance at CAB</t>
  </si>
  <si>
    <t>S73.Interpretation Services</t>
  </si>
  <si>
    <t>D305.Endorsement/ITC-Operations at CAB</t>
  </si>
  <si>
    <t>S74.---</t>
  </si>
  <si>
    <t>D306.Endorsement/ITC-Deployment at CAB</t>
  </si>
  <si>
    <t>S75.Development Services</t>
  </si>
  <si>
    <t>D307.Endorsement/ITC-Support at CAB</t>
  </si>
  <si>
    <t>S76.Development Services/Pipeline Automation</t>
  </si>
  <si>
    <t>D308.Endorsement/ITC-Training at CAB</t>
  </si>
  <si>
    <t>S77.Development Services/QA Automation</t>
  </si>
  <si>
    <t>D309.Endorsement/ITC-Identity at CAB</t>
  </si>
  <si>
    <t>S78.Development Services/Server</t>
  </si>
  <si>
    <t>D310.Endorsement/ITC-Legal at CAB</t>
  </si>
  <si>
    <t>S79.Development Services/Specialist Integration</t>
  </si>
  <si>
    <t>D310.---</t>
  </si>
  <si>
    <t>S80.Development Services/Client/UX</t>
  </si>
  <si>
    <t>D311.---</t>
  </si>
  <si>
    <t>S81.Development Services/ETL</t>
  </si>
  <si>
    <t>D331.Provisioning</t>
  </si>
  <si>
    <t>D332.Provisioning/Identities</t>
  </si>
  <si>
    <t>D333.Provisioning/Workstations</t>
  </si>
  <si>
    <t>D334.Provisioning/Comms</t>
  </si>
  <si>
    <t>D335.Provisioning/Prod. Tools</t>
  </si>
  <si>
    <t>D336.---</t>
  </si>
  <si>
    <t>D337.---</t>
  </si>
  <si>
    <t>D341.Subscriptions</t>
  </si>
  <si>
    <t>D342.Subscriptions/ALM Hub</t>
  </si>
  <si>
    <t>D343.Subscriptions/Infrastructure</t>
  </si>
  <si>
    <t>D344.Subscriptions/DNS</t>
  </si>
  <si>
    <t>D345.Subscriptions/Certs</t>
  </si>
  <si>
    <t>D346.Subscriptions/WebsiteUpCheck</t>
  </si>
  <si>
    <t xml:space="preserve">    </t>
  </si>
  <si>
    <t>D347.Subscriptions/Email</t>
  </si>
  <si>
    <t>D348.Subscriptions/Validation</t>
  </si>
  <si>
    <t>D349.Subscriptions/Search</t>
  </si>
  <si>
    <t>D350.Subscriptions/GeoIP</t>
  </si>
  <si>
    <t>D351.Subscriptions/Addresses</t>
  </si>
  <si>
    <t>D352.---</t>
  </si>
  <si>
    <t>D353.---</t>
  </si>
  <si>
    <t>D361.Specifications</t>
  </si>
  <si>
    <t>D362.Specifications/Info/Entities</t>
  </si>
  <si>
    <t>D363.Specifications/Info/Classification</t>
  </si>
  <si>
    <t xml:space="preserve">D364.Specifications/REQ/Functional </t>
  </si>
  <si>
    <t>D365.Specifications/REQ/Quality</t>
  </si>
  <si>
    <t>D366.Specifications/REQ/Technical</t>
  </si>
  <si>
    <t>D367.Specifications/AccessMatrix</t>
  </si>
  <si>
    <t>D368.Specifications/REQ/System (F+Q)</t>
  </si>
  <si>
    <t>D360.---</t>
  </si>
  <si>
    <t>D361.---</t>
  </si>
  <si>
    <t>D371.Architecture</t>
  </si>
  <si>
    <t>D372.Architecture/SAD</t>
  </si>
  <si>
    <t>D373.Architecture/TDD</t>
  </si>
  <si>
    <t>D374.---</t>
  </si>
  <si>
    <t>D375.---</t>
  </si>
  <si>
    <t>D381.Documentation</t>
  </si>
  <si>
    <t>D382.Documentation/Specifications</t>
  </si>
  <si>
    <t>D383.Documentation/StyleGuide</t>
  </si>
  <si>
    <t>D384.Documentation/Infrastructure</t>
  </si>
  <si>
    <t>D385.Documentation/Configuration</t>
  </si>
  <si>
    <t>D386.Documentation/Data Schema</t>
  </si>
  <si>
    <t>D387.Documentation/Integration</t>
  </si>
  <si>
    <t>D388.Documentation/Deployment</t>
  </si>
  <si>
    <t>D389.Documentation/Data Migration</t>
  </si>
  <si>
    <t>D380.Documentation/Backup&amp;Restore</t>
  </si>
  <si>
    <t>D391.Documentation/Monitoring</t>
  </si>
  <si>
    <t>D392.Documentation/DR</t>
  </si>
  <si>
    <t>D393.Documentation/Support</t>
  </si>
  <si>
    <t>D394.Documentation/Users</t>
  </si>
  <si>
    <t>D395.Documentation/Operations</t>
  </si>
  <si>
    <t>D396.Documentation/Training</t>
  </si>
  <si>
    <t>D397.Documentation/Continuity Plan</t>
  </si>
  <si>
    <t>D398.Documentation/Change Management</t>
  </si>
  <si>
    <t>D399.---</t>
  </si>
  <si>
    <t>D401.Media</t>
  </si>
  <si>
    <t>D402.Media/Resources</t>
  </si>
  <si>
    <t>D403.Media/Resources/Prompts</t>
  </si>
  <si>
    <t>D404.Media/Resources/Instructions</t>
  </si>
  <si>
    <t>D405.Media/Resources/Inline Tips</t>
  </si>
  <si>
    <t>D406.Media/Resources/Online Assistance</t>
  </si>
  <si>
    <t>D407.Media/Resources/Messages</t>
  </si>
  <si>
    <t>D408.---</t>
  </si>
  <si>
    <t>D409.---</t>
  </si>
  <si>
    <t>D411.Media/Content</t>
  </si>
  <si>
    <t>D412.---</t>
  </si>
  <si>
    <t>D413.---</t>
  </si>
  <si>
    <t>D421.Data</t>
  </si>
  <si>
    <t>D422.Data/Legacy</t>
  </si>
  <si>
    <t>D423.---</t>
  </si>
  <si>
    <t>D424.---</t>
  </si>
  <si>
    <t>D401.Environments</t>
  </si>
  <si>
    <t>D402.Environments/General</t>
  </si>
  <si>
    <t>D403.Environments/Integrations</t>
  </si>
  <si>
    <t>D404.Environments/SecuredData</t>
  </si>
  <si>
    <t>D405.Environments/TestData/BT</t>
  </si>
  <si>
    <t>D406.Environments/TestData/DT</t>
  </si>
  <si>
    <t>D407.Environments/TestData/ST</t>
  </si>
  <si>
    <t>D408.Environments/TestData/UT</t>
  </si>
  <si>
    <t>D409.Environments/TestData/IT</t>
  </si>
  <si>
    <t>D410.Environments/TestData/TR</t>
  </si>
  <si>
    <t>D411.Environments/ProdData/PP</t>
  </si>
  <si>
    <t>D412.Environments/ProdData/PR</t>
  </si>
  <si>
    <t>D414.---</t>
  </si>
  <si>
    <t>D421.Services</t>
  </si>
  <si>
    <t>D422.Services/ALM</t>
  </si>
  <si>
    <t>D423.Services/ALM/Wiki</t>
  </si>
  <si>
    <t>D424.Services/ALM/Kanban</t>
  </si>
  <si>
    <t>D425.Services/ALM/Repository</t>
  </si>
  <si>
    <t>D426.Services/ALM/Secure Storage</t>
  </si>
  <si>
    <t>D427.Services/ALM/Delivery Pipeline</t>
  </si>
  <si>
    <t>D428.Services/ALM/Delivery Pipeline/Svc Account</t>
  </si>
  <si>
    <t>D429.Services/ALM/Delivery Pipeline/Infrastructure Creation</t>
  </si>
  <si>
    <t>D430.Services/ALM/Delivery Pipeline/Compilation</t>
  </si>
  <si>
    <t>D431.Services/ALM/Delivery Pipeline/Packaging</t>
  </si>
  <si>
    <t>D432.Services/ALM/Delivery Pipeline/Deployment</t>
  </si>
  <si>
    <t>D433.Services/ALM/Delivery Pipeline/Configuration</t>
  </si>
  <si>
    <t>D434.Services/ALM/Delivery Pipeline/Backup&amp;Restore Automation</t>
  </si>
  <si>
    <t>D435.Services/ALM/Delivery Pipeline/Schema Update Automation</t>
  </si>
  <si>
    <t>D436.Services/ALM/Delivery Pipeline/QA Automation/Static</t>
  </si>
  <si>
    <t>D437.Services/ALM/Delivery Pipeline/QA Automation/Dynamic</t>
  </si>
  <si>
    <t>D438.Services/ALM/Delivery Pipeline/Data Migration Automation</t>
  </si>
  <si>
    <t>D439.---</t>
  </si>
  <si>
    <t>D440.---</t>
  </si>
  <si>
    <t>D441.Services/Infrastructure</t>
  </si>
  <si>
    <t>D442.Services/Infrastructure/DNS</t>
  </si>
  <si>
    <t>D443.Services/Infrastructure/Email</t>
  </si>
  <si>
    <t>D444.Services/Database Schemas&amp;Seeding</t>
  </si>
  <si>
    <t>D445.---</t>
  </si>
  <si>
    <t>D446.---</t>
  </si>
  <si>
    <t>D451.Services/Configuration</t>
  </si>
  <si>
    <t>D452.---</t>
  </si>
  <si>
    <t>D453.---</t>
  </si>
  <si>
    <t>D461.Services/Server</t>
  </si>
  <si>
    <t>D462.Services/Server/Middleware/AAA</t>
  </si>
  <si>
    <t>D463.Services/Server/Middleware/Routing</t>
  </si>
  <si>
    <t>D464.---</t>
  </si>
  <si>
    <t>D465.---</t>
  </si>
  <si>
    <t>D471.Services/Server/Controllers</t>
  </si>
  <si>
    <t>D472.Services/Server/Controllers/Validation</t>
  </si>
  <si>
    <t>D473.---</t>
  </si>
  <si>
    <t>D474.---</t>
  </si>
  <si>
    <t>D481.Services/Server/Services</t>
  </si>
  <si>
    <t>D482.Services/Server/Services/Integration</t>
  </si>
  <si>
    <t>D483.Services/Server/Services/Domains</t>
  </si>
  <si>
    <t>D484.---</t>
  </si>
  <si>
    <t>D485.---</t>
  </si>
  <si>
    <t>D491.Services/Server/Common/Models</t>
  </si>
  <si>
    <t>D492.Services/Server/Services</t>
  </si>
  <si>
    <t>D493.---</t>
  </si>
  <si>
    <t>D494.---</t>
  </si>
  <si>
    <t>D501.Services/API/Gateway</t>
  </si>
  <si>
    <t>D502.--</t>
  </si>
  <si>
    <t>D503.--</t>
  </si>
  <si>
    <t>D511.Services/Server/Client/API</t>
  </si>
  <si>
    <t>D513.---</t>
  </si>
  <si>
    <t>D514.---</t>
  </si>
  <si>
    <t>D523.Services/Server/Client/UX</t>
  </si>
  <si>
    <t>D524.Services/Server/Client/UX/Views</t>
  </si>
  <si>
    <t>D525.Services/Server/Client/UX/Controllers</t>
  </si>
  <si>
    <t>D526.Services/Server/Client/UX/Services</t>
  </si>
  <si>
    <t>D527.Services/Server/Client/UX/Models</t>
  </si>
  <si>
    <t>D528.---</t>
  </si>
  <si>
    <t>D529.---</t>
  </si>
  <si>
    <t>D541.Services/CorporateSiteIntegration</t>
  </si>
  <si>
    <t>D542.Services/CorporateAPIGateway</t>
  </si>
  <si>
    <t>D543.Services/ETL/Data Migration/Legacy-In</t>
  </si>
  <si>
    <t>D544.Services/ETL/Data Migration/DW-Out</t>
  </si>
  <si>
    <t>D545.---</t>
  </si>
  <si>
    <t>D546.---</t>
  </si>
  <si>
    <t>Phase</t>
  </si>
  <si>
    <t>Deliverables</t>
  </si>
  <si>
    <t>CONCERN</t>
  </si>
  <si>
    <t>STATEMENT</t>
  </si>
  <si>
    <t>Responsible</t>
  </si>
  <si>
    <t>Sponsor</t>
  </si>
  <si>
    <t>Order</t>
  </si>
  <si>
    <t>ID</t>
  </si>
  <si>
    <t>ID4</t>
  </si>
  <si>
    <t>DiagramTitle</t>
  </si>
  <si>
    <t>Statement2</t>
  </si>
  <si>
    <t>Notes</t>
  </si>
  <si>
    <t>DELIVERABLES/…</t>
  </si>
  <si>
    <t>Deliverables/Business Plan: Design Services: Endorsement/The Project's Strategic Alignment (as per the Business Case) MUST be endorsed prior to procurement, development and delivery</t>
  </si>
  <si>
    <t>Deliverables/Primary Expected Deliverable/The Primary Deliverable MUST remain a documented &amp; supported Business Customer Service, supported by an operable, functioning, incrementally improving InfoService system, delivered via an automated delivery Pipeline.</t>
  </si>
  <si>
    <t>Deliverables/AntiPattern: Focus on the Wrong System/Dev Stakeholders MUST NOT mistake the InfoService as being the Key Deliverable.It is only one of many deliverables.It is not even the key System (The Automated QA &amp; Delivery Pipeline is).</t>
  </si>
  <si>
    <t>Deployment Services: SOW/A SOW MUST with Deployment Services MUST be established to pay for Deploying Services to PROD-DATA environments (ie, requiring the raising of Change Requests) to SLA expectations</t>
  </si>
  <si>
    <t>InfrastructureServices Subscription/A SOW MUST be developed to pay for Hosting of Infrastructure (generally separately to Infrastructure Maintenance SOW)</t>
  </si>
  <si>
    <t>InfrastructureServices Support SOW/A SOW MUST be developed with Infrastructure Services to support service infrastructure to SLA Expectations</t>
  </si>
  <si>
    <t>InfoServiceContent: Media Development Services: SOW/A SOW MAY be required with Consultant SMEs on Content Media to develop discoverable, organised, evolvable, system content.</t>
  </si>
  <si>
    <t>Media Interpretation Services: Initial Resource SOW/A SOW MUST be developed with Media Interpretation Services to interpret any initial Resources (not Content) developed.</t>
  </si>
  <si>
    <t>Media Development Services: SOW/A SOW MAY be developed with Consultant SMEs on Content Media to develop subsequent/ongoing system Resources.</t>
  </si>
  <si>
    <t>InfoServiceContent: Media Management Services: SOW/A SOW MAY be required with Media Development Services to manage, further organise, refresh, cull, system content.</t>
  </si>
  <si>
    <t>InfoServiceContent: Media Interpretation Services: Initial Content SOW/A SOW MUST be developed with Media Interpretation Services to interpret any initial Content developed.</t>
  </si>
  <si>
    <t>Media Interpretation Services: Ongoing Resources SOW/A SOW MUST be developed with Media Interpretation Services to interpret any Resource (not Content) developed</t>
  </si>
  <si>
    <t>InfoServiceContent: Media Development Services: Ongoing Content SOW/A SOW MAY be required with Media Development Services to develop additional discoverable, organised, evolvable, system content.</t>
  </si>
  <si>
    <t>InfoServiceContent: Media Interpretation Services: Ongoing Content SOW/A SOW MUST be developed with Media Interpretation Services to interpret any subsequent Content developed in an ongoing manner.</t>
  </si>
  <si>
    <t>SupportServices: SOW/For Support Services Endorsement at CAB, a SOW MUST be established to provide System Support.</t>
  </si>
  <si>
    <t>/A SOW MAY be developed with Training Services to manage training of internal business users</t>
  </si>
  <si>
    <t>/An Options Analysis MUST be developed to inform the Business Case.</t>
  </si>
  <si>
    <t>/A Stakeholder Map showing RASCI roles over the whole service lifecycle (dev + ops &amp; improvements) MUST be developed to include and inform the Business Case scope &amp; functions.</t>
  </si>
  <si>
    <t>/A list of Logical Domain grouped High Level (HL) Functional Requirements MUST be developed to include in the Business Case.</t>
  </si>
  <si>
    <t>SupportServices: Support Plan/For Support Services Endorsement at CAB, a Service Support Plan (SSP) MUST be collaboratively developed, and accepted.</t>
  </si>
  <si>
    <t>Training Services: Endorsement/Training Services Endorsement at CAB MUST be obtained to go live.</t>
  </si>
  <si>
    <t>Infrastructure Services: Endorsement/Infrastructure Services Endorsement at CAB MUST be obtained to go live</t>
  </si>
  <si>
    <t>Business Services: Endorsement/Business Services Endorsement at CAB MUST be obtained to go live.</t>
  </si>
  <si>
    <t>Deployment Services: Endorsement at CAB/Delivery Services Endorsement at CAB MUST be obtained to go live</t>
  </si>
  <si>
    <t>D314.Subscriptions/DNS</t>
  </si>
  <si>
    <t>/A WWW [Sub] Domain Name MUST be defined, subscribed to and registered in a Domain Registry.</t>
  </si>
  <si>
    <t xml:space="preserve">D325.Specifications/REQ/Functional </t>
  </si>
  <si>
    <t>Business Case: Stakeholder Analsis Services: Logically Domained Functions/BizCase HL Functional Requirements MUST be grouped by Logical Domains (eg: Users &amp; Groups, Group based Permissions &amp; Roles, Business Automation, Reporting).</t>
  </si>
  <si>
    <t>D326.Specifications/REQ/Quality</t>
  </si>
  <si>
    <t>Business Case: Stakeholder Analsis Services: Quality Requirements/A list of High Level Quality Requirements MUST be developed to append to the Business Case.</t>
  </si>
  <si>
    <t>D358.Documentation/Deployment</t>
  </si>
  <si>
    <t>Deployment Services: Deployment Pipeine/For Deployment Services Endorsement at CAB, a Deployment Plan MUST be developed to guide Deployment Services how to automate the idempotent deployment of Infrastructure, services, configuration and backup restoration (see DR Plan)</t>
  </si>
  <si>
    <t>D362.Documentation/DR</t>
  </si>
  <si>
    <t>InfoService/ISO-25010/Reliability/Recoverability/For InfrastructureServices Endorsement at CAB, a DisasterRecovery Plan MUST be developed to guide MaintenanceServices on how to activate an automated idempotent recreation of Environments, system and configuration redeployments and Backup restoration</t>
  </si>
  <si>
    <t>D363.Documentation/Support</t>
  </si>
  <si>
    <t>Business Support Services:BSG/For Support Services Endorsement, a Business Support Guide MUST be developed for when Support Services forwards Contact Calls</t>
  </si>
  <si>
    <t>D366.Documentation/Training</t>
  </si>
  <si>
    <t>/For Training Services Endorsement at CAB, a training plan MUST be collaboratively developed, and accepted.</t>
  </si>
  <si>
    <t>D367.Documentation/Continuity Plan</t>
  </si>
  <si>
    <t>BusinessServices: Continuity Plan/For Business Services Endorsement at CAB, a Continuity Plan MUST be developed to Guide operations if the digital service is unavailable</t>
  </si>
  <si>
    <t>/For Training Service Endorsement at CAB, multiple, resetable, Traning Environments or Tenancies, with test data MUST be provided.</t>
  </si>
  <si>
    <t>Media Development Services: Content/…</t>
  </si>
  <si>
    <t>Media Development Services: SOW/A SOW MAY be developed with Consultant SMEs on Content Media to develop system Resources.</t>
  </si>
  <si>
    <t>Deployment Services: ALM Pipeline/To obtaine Deployment Services Endorsement at CAB, an automated Pipeline MUST be developed in collaboration and accepted</t>
  </si>
  <si>
    <t xml:space="preserve">Deployment Services: Coded Instructions/If the System is Hosted, SystemClientAsCode MUST be developed As a Service Client component of automated deployments which Deployment Services are expecting </t>
  </si>
  <si>
    <t>Deployment Services: InfraAsCode/Any Infrastructure instructions MUST be delivered as idempotent Code (Infrastructure-as-Code).</t>
  </si>
  <si>
    <t xml:space="preserve">Deployment Services: DatabaseSchemaAsCode/If the System is Hosted, DatabaseSchemaAsCode MUST be developed As a Service Client component of automated deployments which Deployment Services are expecting </t>
  </si>
  <si>
    <t xml:space="preserve">Deployment Services: SystemConfigurationAsCode/Any System host device configuration instructions MUST be delivered as idempotent Code (Configuration-as-Code) </t>
  </si>
  <si>
    <t>Deployment Services: BackupsAsCode/For Deployment Services Endorsement at CAB, an Automated Deployment Pipeline for idempotently creating Infrastructure, deploying Systems and Configuration, restoring Backups is required</t>
  </si>
  <si>
    <t>A large number of sub-deliverables MUST be developed in order to successfully deliver the key Expected Deliverables.</t>
  </si>
  <si>
    <t>SubDeliverables: Business Case/Development of several sub-deliverables MUST be managed to inform the Business Case (eg: Stakholders, Options, Information, Data Classification, Functionality, Qualities, Integrations, etc.)</t>
  </si>
  <si>
    <t>Organisation Information Governance: InfoService: Endorsement/Information Governance Endoresement at CAB MUST be obtained to go live.</t>
  </si>
  <si>
    <t>Organisation Information Data Services: Business Case: HL Description/A HL simplified Information Description MUST be developed to inform the Business Plan, showing elements required for each functional Logical Domain, including integration.</t>
  </si>
  <si>
    <t>Organisation Information Data Services: Business Case: Classification/The Data Classification of the Information managed by the business Service MUST be determined, accepted and recorded in the Business Case.</t>
  </si>
  <si>
    <t>Organisation Information Data Services: InfoService: Classification/For Information Service's Endorsement at CAB, the service's Information Data Classification MUST be approved early (eg: BizCase) as it affects design choices &amp; cost.</t>
  </si>
  <si>
    <t>Organisation Privacy Services: InfoService: PIA/A Privacy Impact Assessment (PIA) Report MUST be developed and signed off by Privacy Governance officers.</t>
  </si>
  <si>
    <t>Organisation Privacy Services: InfoService: Cookie Statement/For Privacy Services Endorsement at CAB, a A Tracking (Cookie) Statement MUST be either referenced or developed</t>
  </si>
  <si>
    <t>Organisation Privacy Services: InfoService: Opt Out Statement/For Privacy Services Endorsement at CAB, a PII Opt Out Statement MUST be either referenced or developed As a Service Client Resource</t>
  </si>
  <si>
    <t>Organisation Privacy Services: InfoService: PII Statement/For Privacy Services Endorsement at CAB, a PII Correction Statement MUST be either referenced or developed As a Service Client Resource</t>
  </si>
  <si>
    <t>Organisation Privacy Services: InfoService: Privacy Statement/For Privacy Services Endorsement at CAB, a Privacy Statement MUST be either referenced or developed As a Service Client Resource</t>
  </si>
  <si>
    <t>Organisation Privacy Services: Endorsement/Privacy Services Endorsement at CAB MUST be obtained to go live.</t>
  </si>
  <si>
    <t>Content: Media Development Services: Endorsement at CAB/Endorsement by Media Development Services at CAB MUST be obtained to go live.</t>
  </si>
  <si>
    <t>InfoService/ DIGI: Endorsement/DIG Endorsement at CAB MUST be obtained to go live</t>
  </si>
  <si>
    <t>Business Case: ITC DA Endorsement/The Business Case's Principles, Options analysis, Information, Functionality and Qualities MUST be presented to and endorsed by ITC's DA prior to presentation to ITC GB.</t>
  </si>
  <si>
    <t>InfoService/Endorsement/DIGI/Dependencies: DIGI Endorsement: Data Warehouse Models/TODO Data Warehouse Models</t>
  </si>
  <si>
    <t>InfoService/Data Services (DIGI) Endorsement of API Models/To obtain DIGI Endorsement at CAB, Data Services MUST review, inform and approve the InfoService's API API Design &amp; Documentation</t>
  </si>
  <si>
    <t>Business Case: ITC GB Endorsement/The Business Case MUST be presented to and endorsed by ITC's GB.</t>
  </si>
  <si>
    <t>InfoService/TWG: Endorsement/ITC Design Services Endorsement of the architecture at CAB MUST be obtained to go live</t>
  </si>
  <si>
    <t>InfoService/TWG: Obligations/ITC Design Services defined obligations (eg: adherence to Design Principles, Standards &amp; Frameworks, Integration &amp; Services) MUST be adhered to.</t>
  </si>
  <si>
    <t>C&amp;A Services: Endorsement/C&amp;A Services Endorsement at CAB MUST be obtained to go live.</t>
  </si>
  <si>
    <t>C&amp;A Services: SOW/A SOW MUST be developed with C&amp;A Services to commission the documentation of risk, controls, and accepted processes</t>
  </si>
  <si>
    <t>C&amp;A Services: TRA/Unless Disallowed, a Technical Risk Assessment (TRA) SHOULD be developed for any system as part of the C&amp;A Process</t>
  </si>
  <si>
    <t>C&amp;A Services: CRP/A CRP MUST be developed for any system as part of the C&amp;A Process</t>
  </si>
  <si>
    <t>C&amp;A Services: CRR/A CRR MUST be developed for any system as part of the C&amp;A Process</t>
  </si>
  <si>
    <t>C&amp;A Services: SRA/A SRA MUST be developed for any system as part of the C&amp;A Process</t>
  </si>
  <si>
    <t>C&amp;A Services: TRA SOW/Unless Disallowed, a SOW MUST be developed to commission an independent review of the system's technical risks and provide appropriate recommendations</t>
  </si>
  <si>
    <t>InfoService/ CAB: Endorsement/The Service MUST obtain Endorsement at CAB from its members (Design, Deployment, Infrastructure, Maintenance, Ops, Support, Business, etc.)</t>
  </si>
  <si>
    <t>InfoService/CAB: ATO/The Service MUST be endorsed at CAB to obtain an ATO from the CDO -- a prerequisite for deployment Change Requests to PROD-DATA being accepted</t>
  </si>
  <si>
    <t>InfoService/ QA Services: Endorsement/QA Services Endorsement at CAB MUST be obtained to go live</t>
  </si>
  <si>
    <t>InfoService/ QAServices: Initial SOW/A SOW MUST be obtained to deliver initial QA analysis Services.</t>
  </si>
  <si>
    <t>InfoService/ QAServices: Ongoing SOW/A SOW MUST be obtained to deliver ongoing QA analysis Services.</t>
  </si>
  <si>
    <t>InfoService/ QAServices SOWs/SOWs MUST specify the service required is Test Analysis and Definition, for others to develop into Delivery Pipeline Code ("QA as Code").</t>
  </si>
  <si>
    <t>ALM Service</t>
  </si>
  <si>
    <t>SupportServices: Endorsement/Support Services Endorsement at CAB MUST be obtained to go live.</t>
  </si>
  <si>
    <t>Business Support Services: Endorsement/Business Support Services Endorsement at CAB MUST be obtained to go live.</t>
  </si>
  <si>
    <t>LEGACY DATA/…</t>
  </si>
  <si>
    <t>Client-UX/…</t>
  </si>
  <si>
    <t>Server/…</t>
  </si>
  <si>
    <t>GOVERNANCE/…</t>
  </si>
  <si>
    <t>GOVERNANCE/BUSINESS ALIGNMENT/...</t>
  </si>
  <si>
    <t>GOVERNANCE/SPONSOR/...</t>
  </si>
  <si>
    <t>GOVERNANCE/STRATEGIC ALIGNMENT/...</t>
  </si>
  <si>
    <t>GOVERNANCE/INFORMATION ALIGNMENT/...</t>
  </si>
  <si>
    <t>GOVERNANCE/SYSTEM ARCHITECTURE ALIGNMENT/...</t>
  </si>
  <si>
    <t>Deliverables/InfoService/ Maintenance Services Endorsement/…</t>
  </si>
  <si>
    <t>Deliverables/InfoService/ MaintenanceServices Endorsement of Decommissioning/A Decommissioning Plan MUST be developed to guide MaintenanceServices how to prepare the service's APIs and Permissions for exporting of data to the next (yet still unknown) replacement service</t>
  </si>
  <si>
    <t xml:space="preserve">Deliverables/InfoService/ MaintenanceServices Endorsement/A SOW MUST be developed with Maintenance Services to support system logic to SLA expectations </t>
  </si>
  <si>
    <t>DIRECTION/…</t>
  </si>
  <si>
    <t>DIRECTION/PHASES/...</t>
  </si>
  <si>
    <t>Direction/Objectives: Direction Stakeholders desire ALL Stakeholders' Processes for delivering Quality based Deliverables MUST be considered for Automation</t>
  </si>
  <si>
    <t xml:space="preserve">Direction/Phases/Discovery/Deliverables/Business Support Specialist Functionality and Quality Requirements </t>
  </si>
  <si>
    <t xml:space="preserve">Direction/Phases/Discovery/Deliverables/Delivery Specialist Functionality and Quality Requirements </t>
  </si>
  <si>
    <t xml:space="preserve">Direction/Phases/Discovery/Deliverables/Infrastructure Specialist Functionality and Quality Requirements </t>
  </si>
  <si>
    <t xml:space="preserve">Direction/Phases/Discovery/Deliverables/Monitoring Specialist Functionality and Quality Requirements </t>
  </si>
  <si>
    <t xml:space="preserve">Direction/Phases/Discovery/Deliverables/Op+A325erations Specialist Functionality and Quality Requirements </t>
  </si>
  <si>
    <t xml:space="preserve">Direction/Phases/Discovery/Deliverables/Operations Specialist Functionality and Quality Requirements </t>
  </si>
  <si>
    <t xml:space="preserve">Direction/Phases/Discovery/Deliverables/Support Specialist Functionality and Quality Requirements </t>
  </si>
  <si>
    <t xml:space="preserve">Direction/Phases/Discovery/Deliverables/Training Specialist Functionality and Quality Requirements </t>
  </si>
  <si>
    <t xml:space="preserve">Direction/Phases/Discovery/Deliverables|Stakeholder Analysts MUST Define the Desires of all Stakeholders (not just Business Stakeholders) </t>
  </si>
  <si>
    <t xml:space="preserve">Direction/Phases/Definition/Deliverables/Functional Requirements Document </t>
  </si>
  <si>
    <t xml:space="preserve">Direction/Phases/Definition/Deliverables/Quality Requirements Document </t>
  </si>
  <si>
    <t xml:space="preserve">Direction/Phases/Design/Deliverables/Solution Architecture Description </t>
  </si>
  <si>
    <t xml:space="preserve">Direction/Phases/DEVELOP/Deliverables/Develop and Map Backlog to Sprints </t>
  </si>
  <si>
    <t xml:space="preserve">Direction/Phases/DEVELOP/Deliverables/Product BackLog Feature List (Converted from Functional List) </t>
  </si>
  <si>
    <t xml:space="preserve">Direction/Phases/DEVELOP/Effort/Completeness </t>
  </si>
  <si>
    <t xml:space="preserve">Direction/Phases/DEVELOP/Effort/Estimation </t>
  </si>
  <si>
    <t xml:space="preserve">Direction/Phases/DEVELOP/Effort/Sequencing </t>
  </si>
  <si>
    <t xml:space="preserve">Direction/Phases/Deployment </t>
  </si>
  <si>
    <t xml:space="preserve">Direction/Phases/Deployment/ChangeControl </t>
  </si>
  <si>
    <t xml:space="preserve">Direction/Phases/Driving </t>
  </si>
  <si>
    <t xml:space="preserve">Direction/Phases/Driving/Maintaining </t>
  </si>
  <si>
    <t xml:space="preserve">Direction/Phases/Driving/Operations </t>
  </si>
  <si>
    <t xml:space="preserve">Direction/Phases/Driving/Support </t>
  </si>
  <si>
    <t xml:space="preserve">Direction/Phases/Decommissioning/Generic </t>
  </si>
  <si>
    <t>Direction/Constraints: AntiPatterns: Start with Devs/Development Resources SHOULD NOT be hired before Objectives.Hire them last, after Objectives, Definition, and QA are sorted out.</t>
  </si>
  <si>
    <t>Direction/Constraints: AntiPatterns: Only one Deliverable/Direction Stakeholders MUST NOT fall into the trap of thinking that the InfoService is the key &amp; only Deliverable.There are MANY.</t>
  </si>
  <si>
    <t xml:space="preserve">Direction/Constraints: AntiPatterns: Delivery Planning Only/Service Delivery Planning MUST be based on Full Service Lifespan rather than only short term Delivery considerations </t>
  </si>
  <si>
    <t xml:space="preserve">Direction/Constraints: Obligations: ATO Required/Permission to Publish to PROD-DATA environments requires the issuance of an Authority to Operate (ATO) </t>
  </si>
  <si>
    <t xml:space="preserve">Direction/Constraints: Obligations: Progress Reporting/Direction Stakeholders MUST regularly report to Project Governance Stakeholders Qualities, Functionality &amp; Workitem progress, Velocity, Rework %, Trending ETA </t>
  </si>
  <si>
    <t>Direction/Constraints: Obligations: Probity/Direction Stakeholders SHOULD commission independent 3rd parties to report on project's probity obligations.</t>
  </si>
  <si>
    <t>Direction/Constraints: Resources: Budget: Restrained Capex/The Business Case Budget SHOULD plan to use no more than 33% of budget on initial Capex investment on service development &amp; delivery</t>
  </si>
  <si>
    <t>Direction/Constraints: Resources: Budget: Sufficient Opex/The Business Case Budget SHOULD put aside no less than 66% of Budget on ongoing Opex for ongoing Operations and continual Improvement</t>
  </si>
  <si>
    <t xml:space="preserve">Direction/Constraints: Resources: Time: GoLive/The first release of a rudimentary but secure system to end users MUST occur within 60 days of project start </t>
  </si>
  <si>
    <t>Direction/Constraints: Resources: Time: Blackout Periods/Scheduling of Effort and Releases MUST take into account any Organisation Christmas &amp; New Year Gray &amp; Black Out Periods</t>
  </si>
  <si>
    <t>Direction/Constraints: Resources: Time: Scholastic Schedules/Scheduling of effort and releases MUST take account of scholastic holidays which traditionally affects Resource availability</t>
  </si>
  <si>
    <t>Direction/Constraints: Resources: Time: Release Cadence/The cadence of new releases to end users MUST be no longer than 2 weeks (forcing automation and best practices)</t>
  </si>
  <si>
    <t xml:space="preserve">04.20:00.5.01/Direction/Phases/Ongoing/Processes/Constraints/AntiPatterns/Permit Developers to start on UserStories before Test Analysts have defined Tests </t>
  </si>
  <si>
    <t xml:space="preserve">04.20:00.5.02/Direction/Phases/Ongoing/Processes/Constraints/AntiPatterns/Run Development &amp; Test Definition in parallel </t>
  </si>
  <si>
    <t xml:space="preserve">04.20:00.8.03/Direction/Phases/Ongoing/Processes/Communication/Reporting/Progress </t>
  </si>
  <si>
    <t xml:space="preserve">04.20:00.8.03/Direction/Phases/Ongoing/Processes/Communication/Reporting/QA </t>
  </si>
  <si>
    <t xml:space="preserve">04.20:00.8.03/Direction/Phases/Ongoing/Processes/Communication/Reporting/Risk Register </t>
  </si>
  <si>
    <t xml:space="preserve">04.20:00.8.04/Direction/Phases/Ongoing/Processes/Communication/Reporting/QA/Code Coverage </t>
  </si>
  <si>
    <t xml:space="preserve">04.20:00.8.05/Direction/Phases/Ongoing/Processes/Communication/Reporting/CA </t>
  </si>
  <si>
    <t>04.20:00.8.06/Direction/Phases/Ongoing/Processes/Communication/Interteam/Security A337</t>
  </si>
  <si>
    <t>D426.Services/ALM/Delivery Pipeline</t>
  </si>
  <si>
    <t>D3S29.Specifications/REQ/System (F+Q)</t>
  </si>
  <si>
    <t>Definition/SPONSOR STAKHOLDER Definition/Sponsor Stakeholders/The Service MUST contribute a Value that is multiples of the Opex and Capex Cost</t>
  </si>
  <si>
    <t>D0S40.Business/Execution Plan</t>
  </si>
  <si>
    <t>Definition/Priotise SMART requirements by Foundational Value/</t>
  </si>
  <si>
    <t>Definition/Legal Assurance Services: Frameworks: NZ GOAL/The Stakeholder Analyst MUST follow the NZ GOAL Framework</t>
  </si>
  <si>
    <t>Desires/ISO-25010/Portability/Reusability Definition/Data Governance: NZ GOAL/All Content MUST adhere to NZ GOAL objectives, and commissioned content be made Creative Commons.</t>
  </si>
  <si>
    <t>Definition/DATA STAKEHOLDERS Definition/Data Governance Stakeholders/The Service MUST demonstrably meet the functional and quality expectations of data governance stakeholders</t>
  </si>
  <si>
    <t xml:space="preserve">Definition/Legal Assurance: Endorsement/The service MUST meet be endorsable by Legal Assurance at CAB </t>
  </si>
  <si>
    <t>Definition/Legal Assurance Services: Laws: Trade/The service MUST not permit interaction from a mutable list of embargoed countries</t>
  </si>
  <si>
    <t>Definition/Legal Assurance Services: Laws: Privacy/The Service MUST meet the obligations of the country's Privacy Laws &amp; Regulations</t>
  </si>
  <si>
    <t>Definition/Legal Assurance Services: Laws: Accountability/The Service MUST adhere to Legal Accountability to Public Constraints (OIA Request Reporting).</t>
  </si>
  <si>
    <t xml:space="preserve">Definition/Legal Assurance Services: Regulations: Information/The Service MUST meet the obligations of the country's Information Security Directives </t>
  </si>
  <si>
    <t>Definition/Legal Assurance Services: Regulations: Archiving/The Service MUST meet the obligations of the country's Archiving Laws &amp; Regulations</t>
  </si>
  <si>
    <t xml:space="preserve">Definition/Legal Assurance Services: Regulations: Open Data/The Service MUST meet the obligations of the country's Open Data Directives </t>
  </si>
  <si>
    <t>Definition/Legal Assurance Services: Agreements: Partners/The Service MUST adhere to prior agreements (eg: interdepartmental, Partners, SoWs)</t>
  </si>
  <si>
    <t>Definition/Legal Assurance Services: Frameworks: NZ DIMP/The Service MUST follow the NZ DIMP Framework</t>
  </si>
  <si>
    <t>Definition/Legal Assurance Services: Frameworks: NZISM/The Stakeholder Analyst MUST follow the NZISM Framework</t>
  </si>
  <si>
    <t>Definition/Legal Assurance Services: Principles: AoG Digital Service/The Service MUST follow the guideance of the AoG Digital Service Principles</t>
  </si>
  <si>
    <t>Definition/PRIVACY GOVERNANCE STAKEHOLDERS Definition/Endorsability: Privacy Assurance/The service MUST be endorsable as being compliant with Privacy Obligations</t>
  </si>
  <si>
    <t>Desires/Privacy Services/ISO------/---/---/Versioned Disclosures/The InfoService MUST be able to present and record acceptance to Versioned Statements and Disclosures (eg: Tracking, Data Correction, Data Use, Opt-Out Processes &amp; Policies)</t>
  </si>
  <si>
    <t>Desires/ISO-25010/Usability/Operability Definition/Data Governance Stakeholders: SEO/All Content MUST be presented such that it can be indexed and become discoverable by public Search engines.</t>
  </si>
  <si>
    <t>Desires/ISO-25010/Portability/Installability Definition/Data Governance Stakeholders: API Attributes/To meet policy based Organisation Data Aggregation agreements, export (by API or DataStorage) data attributes MUST receive governance board design endorsement</t>
  </si>
  <si>
    <t>Desires/ISO-25010/Usability/Operability/DIMP APIs/To adhere to DIMP objectives, as much system information that is not PII or Confidential MUST be made available via authenticated access API (See API-First design Principle).</t>
  </si>
  <si>
    <t>Desires/Qualities/Security/Integrity Definition/Data Governance Stakeholders: Data Classification/Data Classification of Information handled by the Service MUST be determined as early as practical, as it informs Risk and Security Framework decisions</t>
  </si>
  <si>
    <t>Desires/Qualities/Security/Integrity Definition/Data Governance Stakeholders: SENSITIVE/IF not already specified, for planning purposes, Data Classification of Information handled by the Service SHOULD be assumed to be SENSITIVE until specified otherwise.</t>
  </si>
  <si>
    <t>Definition/SYSTEM DESIGN GOVERNANCE STAKEHOLDERS Definition/Design Governance Stakeholders/The Service MUST demonstrably meet the functional and quality expectations of design governance stakeholders</t>
  </si>
  <si>
    <t>Definition/Governance Stakeholders: TWG: Design Endorsement Required/Governance Stakeholders DESIRE the system design be endorsed by the organisation's technical design governance board (TWG) before development.</t>
  </si>
  <si>
    <t>Definition/Governance Stakeholders: TWG: Architecturally Significant Changes/Governance Stakeholders DESIRE Architecturally significant changes to system designs be presented &amp; [re]endorsed by the organisation's technical design governance board (TWG).</t>
  </si>
  <si>
    <t>Desires/ISO-25010/Maintainability/Reusability Definition/Design Governance Stakeholders: Server Client Separation/To mitigate redundency, the Service Client MUST be a separate System than the Service (see: separate SPA-PWA interface)</t>
  </si>
  <si>
    <t>Desires/ISO-25010/Portability/Installability Definition/Design Governance Stakeholders: Cloud First/To meet regulation obligations, the Service MUST be hosted in a cloud environment</t>
  </si>
  <si>
    <t>Desires/--- Definition/Design Governance Stakeholders: Procurement Preference/To Lower Delivery Risk the proposed SHOULD prefer existing commodity Services -- as long as expected functionality and outcomes are not compromised.</t>
  </si>
  <si>
    <t>Definition/Legal Assurance Services: Regulations/The service client interface MUST demonstrably meet WCAG expectations</t>
  </si>
  <si>
    <t>Definition/Legal Assurance Services: Regulations: Accessibilty/The Service MUST meet the obligations of the country's Accessibility Laws, Regulations</t>
  </si>
  <si>
    <t xml:space="preserve">Definition/Legal Assurance Services: Regulations: Usability/The Service MUST meet the obligations of the country's Usability Directives </t>
  </si>
  <si>
    <t>Definition/GOVERNANCE STAKEHOLDERS Definition/Project Governance Stakeholders/The Service MUST demonstrably meet the functional and quality expectations of the TWG governance board</t>
  </si>
  <si>
    <t>Definition/CONTENT GOVERNANCE STAKEHOLDERS/The Service MUST demonstrably meet the functional and quality expectations of data content stakeholders</t>
  </si>
  <si>
    <t xml:space="preserve">Desires/Legal Assurance Services: Principles: Organisation Architecture/The Service MUST follow to the guidance of the Organisation's System Architecture Principles </t>
  </si>
  <si>
    <t>Definition/SECURITY Services/Endorsability: Security Assurance/The service MUST be endorsable by Security Assurance at CABS</t>
  </si>
  <si>
    <t>S08.17:00.6.01/Desires/Security Services/ISO-25010/Authorisation/The InfoService MUST NOT rely on external services to determine permissions</t>
  </si>
  <si>
    <t>S08.17:00.6.02/Desires/Security Services/ISO-25010/IdP/Authorisation MUST integrate with an organisation endorsed 3rd party Identity Provider (IdP) Service to validate credentials</t>
  </si>
  <si>
    <t>S08.17:00.6.03/Desires/Security Services/ISO-25010/Security/Integrity/3rd party Technical Risk Assessment/The system, independent of its environment, MUST be technically assessed by an acceptable accredited 3rd party</t>
  </si>
  <si>
    <t>S08.17:00.6.04/Desires/Security Services/ISO-25010/Security/Integrity/Remove User Access/Authorised Users MUST be able disable a System User</t>
  </si>
  <si>
    <t>S08.17:00.6.05/Desires/Security Services/ISO-25010/Security/Integrity/Temorarily Disable Users/Authorised Users MUST be able disable a System User for a specified duration (eg: after multiple incorrect operations)</t>
  </si>
  <si>
    <t>Definition/C&amp;A STAKEHOLDERS/...</t>
  </si>
  <si>
    <t>Definition/CA Services: Security Testable Environments/Organisation C&amp;A stakeholders MUST be provided an environment that can be technically Risk Assessed, unless exempted.</t>
  </si>
  <si>
    <t>Definition/CAB STAKEHOLDERS/...</t>
  </si>
  <si>
    <t>Definition/MANAGEMENT STAKEHOLDERS Definition/Project Management Stakeholders/The Service MUST demonstrably meet the functional and quality expectations of Project Management Stakeholders</t>
  </si>
  <si>
    <t>Definition/Management Stakeholders: 3rd party Certification Cost/As per Management Stakeholders desires, To increase quality and decrease costs, requirements compliance by 3rd party certifications MUST be at service supplier's cost</t>
  </si>
  <si>
    <t>Definition/Management Stakeholders: ALM Access/Management Stakeholders require ALM Task Services &amp; dashboards be accessible and manageable by approved organisation and consultant users for the service's lifetime</t>
  </si>
  <si>
    <t>Definition/Management Stakeholders: Organisation ALM/Management Services The ALM Service Suite SHOULD be Organisation provided or approved</t>
  </si>
  <si>
    <t>Definition/Management Stakeholders: Status Dashboard/An ALM based Dashboard MUST be WWW accessible to show and forcast functionality and qualities progress against milestones and objectives</t>
  </si>
  <si>
    <t>Definition/Management Stakeholders: WorkItems/As per Management Stakeholders desires, WorkItems MUST be managed in a WWW accessible ALM Service Suite provided by the organisation</t>
  </si>
  <si>
    <t>Definition/Management Stakeholders: Code Access/Custom Code Repositories MUST be accessible and manageable by approved organisation users for the service's lifetime.</t>
  </si>
  <si>
    <t>DESIRE (QA ASSURANCE) STAKEHOLDERS Definition/Obligations: Quality Assurance/The service's functionality and qualities MUST meet be endorsable by Quality Assurance specialists at CAB</t>
  </si>
  <si>
    <t>Definition/QAServices: Fresh Test Environments/Organisation QA stakeholders MUST have remote access over the WWW to QA environments that are refreshed daily</t>
  </si>
  <si>
    <t>Definition/USERS/PUBLIC STAKEHOLDERS Definition/Public Users/The Service MUST demonstrably meet the functional and quality expectations of the Public (Unauthenticated) Users SME.</t>
  </si>
  <si>
    <t>Definition/Public Users: ISO-25010: Usability: Accessibility: Colour Impaired/Colour impaired users MUST be able to use the interface productively</t>
  </si>
  <si>
    <t>S08.22:00.6.01/Desires/ISO-25010/Usability/Operability Definition/Business Customers Support: Contact Page/Users MUST be able to quickly find how to Contact Support, preferably by asynchronous Email first.</t>
  </si>
  <si>
    <t>Definition/Public Users: ISO-25010: Usability: Accessibility: User Language Preference/Authenticated Users MUST be able to persist The InfoService Client interface language in their Profile.</t>
  </si>
  <si>
    <t>S08.22:00.6.02/Desires/ISO-25010/Usability/Operability Definition/Business Customers Support: Organisation Branding/The InfoService Client Interface MUST Demonstrably meet WCAG 3(+), Bronze(+) Accessibility standards</t>
  </si>
  <si>
    <t>Definition/Public Users: ISO-25010: Usability: Accessibility: User Language/All Users MUST be able to switch The InfoService Client interface language to one of the national written languages.</t>
  </si>
  <si>
    <t>Definition/Public Users: ISO-25010: Usability: Accessibility: Visually Impaired Reader Preference/For Visually impaired users, structure and content MUST be developed for being reading aloud before visually enhancements (eg: specific, succinct, skippable)</t>
  </si>
  <si>
    <t>Definition/Public Users: ISO-25010: Usability: Accessibility: Visually Impaired/Visually impaired users MUST be able to use the interface productively using a screen reader</t>
  </si>
  <si>
    <t>Definition/Public Users: ISO-25010: Usability: Operability: Internal Search/Users MUST be able to find resources quickly, based on Attributes, Metadata, Synonyms, Ranknig, etc (eg: using a system specific Search engine)</t>
  </si>
  <si>
    <t>Definition/Public Users: ISO-25010: Usability: Operability: External (WWW) Search/Users MUST be able to find SEO optimised publicly accessible resources using Google and other public search engines</t>
  </si>
  <si>
    <t>Definition/USERS/AUTHENTICATED STAKEHOLDERS Definition/Authenticated Users/The Service MUST demonstrably meet the functional and quality expectations of the Authenticated User SME.</t>
  </si>
  <si>
    <t>DESIRE SUPPORT SERVICES (BIZ) STAKEHOLDERS /Business Customer Support Stakeholders/The Service MUST demonstrably meet the functional and quality expectations of internal Business Customer User Support Stakeholders.</t>
  </si>
  <si>
    <t>Definition/Authenticated Users: ISO-25010: Usability: Accessibility: Group Profiles/Authorised Users MUST be able to customize Group Profiles</t>
  </si>
  <si>
    <t>Definition/Authenticated Users: ISO-25010: Usability: Accessibility: User Profiles/Authenticated Users MUST be able to persist a User Profile which they can customize</t>
  </si>
  <si>
    <t>S08.23:00.6.03/Desires/ISO-25010/Usability/Operability Definition/Business Customers Support: User Impersonation/Users MUST be able to invite other Users to be delegated their Role &amp; Permissions for a specified duration.</t>
  </si>
  <si>
    <t>DESIRE.SUPPORT SERVICES/GENERAL CUSTOMER STAKEHOLDERS /General Customer Stakeholders/The Service MUST demonstrably meet the functional and quality expectations of general customers.</t>
  </si>
  <si>
    <t>S08.24:00.6.01/Desires/ISO-25010/Usability/Operability Definition/ Customers Support: Contact Page/Support Users SHOULD be able to review the History of Users Operations</t>
  </si>
  <si>
    <t>S08.24:00.6.02/Desires/ISO-25010/Usability/Operability Definition/Customers Support: Session Operation History/Authorised Users MUST be able review the Session Operations of other Users.</t>
  </si>
  <si>
    <t>Definition/USERS/BUSINESS USER STAKEHOLDERS Definition/Business User Stakeholders/The Service MUST demonstrably meet the functional and quality expectations of internal Business User Stakeholders.</t>
  </si>
  <si>
    <t>S08.26:00.6.01/Desires/Business Users: ISO-25010: Maintainability: Quickly Updatable Content/The system's content MUST be updatable without requiring a redeployment of the service</t>
  </si>
  <si>
    <t>S08.26:00.6.01/Desires/MonitoringServices/ISO-25010/Maintainability/Analysability/Monitoring/IF hosted, Monitoring Services MUST be provided the means to monitor resources &amp; exceptions versus performance &amp; results delivered</t>
  </si>
  <si>
    <t>S08.26:00.6.02/Desires/Business Users: ISO-25010: Quickly Updatable Resouces/The system resource text &amp; media SHOULD be updatable without requiring a redeployment of the service</t>
  </si>
  <si>
    <t>S08.26:00.6.03/Desires/Business Users: ISO-25010: Usability: Operability: User Group Management/Authorised Users MUST be able to be Discover other Users within their Groups</t>
  </si>
  <si>
    <t>S08.26:00.6.04/Desires/ISO-25010/Usability/Operability Definition/Business User Stakeholders: User Group Nesting/Groups MUST be capable of being Nested, inheriting Attributes unless overridden</t>
  </si>
  <si>
    <t>S08.26:00.6.05/Desires/ISO-25010/Usability/Operability Definition/Business User Stakeholders: User Group Role Invitations/Authorised Users MUST be able to be invite others to Group Roles via Messages (eg: SMTP)</t>
  </si>
  <si>
    <t>S08.26:00.6.06/Desires/ISO-25010/Usability/Operability Definition/Business User Stakeholders: User Group Roles/Users MUST be able to be assigned a Time-Limited Role in one or more Groups</t>
  </si>
  <si>
    <t>Definition/TRAINING SERVICES STAKEHOLDERS Definition/Training Stakeholders/The Service MUST demonstrably meet the functional and quality expectations of business user training services.</t>
  </si>
  <si>
    <t>S08.31:00.6.01/Desires/ISO-25010/Usability/Operability Definition/Business Training: Training Environment/IF training is expected, one or more Tenancies or other isolated, resettable, environments MUST be provided</t>
  </si>
  <si>
    <t>Definition/INFRASTRUCTURE SERVICES STAKEHOLDERS/...</t>
  </si>
  <si>
    <t>S08.34:00.6.01/Desires/InfrastructureServices/ISO-25010/Performance/Resource Utilisation/IF Hosted, Service Components will not require exceptional device capabilities or licensing (memory &amp; cpu no higher than 2x minimum OS requirements)</t>
  </si>
  <si>
    <t>S08.34:00.6.02/Desires/InfrastructureServices/ISO-25010/Performance/Resource Utilisation/IF Hosted, the use of VMs MUST be avoided unless endorsed by Design Governance (VMs are costly in the cloud, being more appropriate to legacy hosting environments)</t>
  </si>
  <si>
    <t>DESIRE MONITORING SERVICES STAKEHOLDERS/...</t>
  </si>
  <si>
    <t>Definition/MAINTENANCE SERVICES STAKEHOLDERS/...</t>
  </si>
  <si>
    <t>Definition/OPERATIONS SERVICES STAKEHOLDERS/...</t>
  </si>
  <si>
    <t>Definition/ARCHIVE GOVERNANCE STAKEHOLDERS Definition/Endorsability: Arching/The service MUST be endorsable as being compliant with Archiving Obligations</t>
  </si>
  <si>
    <t>S08.42:00.6.01/Definition/Archiving Services/ISO-25010/Security/Accountability/Virtual Delete Records/Records MUST not be physically deleted (only use State to Logically delete)</t>
  </si>
  <si>
    <t>Definition/DEPLOYMENT SERVICES/...</t>
  </si>
  <si>
    <t>S08.43:00.6.01/Desires/Deployment Services/ISO-25010/Security/Integrity/By Automation/If Configured or Custom or Hosted, the deployment and or changes MUST be managed via an automated pipeline</t>
  </si>
  <si>
    <t>S08.43:00.6.02/Desires/Deployment Services/ISO-25010/Security/Integrity/ISO-25301 Environment/Environments for the Service MUST be developed in Independently assessed ISO-25301, Level 2, environments</t>
  </si>
  <si>
    <t>Definition/DATABASE SERVICES/SCHEMA STAKEHOLDERS/...</t>
  </si>
  <si>
    <t>S08.50:00.6.01/Desires/DataServices/ISO-25010/Portability/Installability/Idempotent Schema &amp; Data Updates/IF Hosted, Data Support Services MUST be provided Idempotent updates for DB Schemas and seeding material.</t>
  </si>
  <si>
    <t>DESIRE DEVELOPMENT SERVICES/SERVER STAKEHOLDERS/...</t>
  </si>
  <si>
    <t>S08.53:00.6.01/Desires/DevelopmentServices/ISO-25010/Maintainability/Analysability/Continous History/Support Developers MUST retain access to the main development phase Documentation, Repo &amp; WorkItems, avoiding porting (and losing) valuable IP</t>
  </si>
  <si>
    <t>S08.53:00.6.02/Desires/DevelopmentServices/ISO-25010/Usability/Operability/Managed Service Components/The InfoService Server components MUST be managed at all times to remain functional &amp; secure &amp; supported</t>
  </si>
  <si>
    <t>Definition/DEVELOPMENT SERVICES/CLIENT STAKEHOLDERS/...</t>
  </si>
  <si>
    <t>S08.54:00.6.01/Desires/DevelopmentServices/ISO-25010/Usability/Operability/Managed Client Components/The InfoService Client Interface components MUST be managed at all times to remain functional, secure &amp; supported</t>
  </si>
  <si>
    <t>S08.54:00.6.02/Desires/DevelopmentServices/ISO-25010/Usability/Operability/Managed Interface/The InfoService Client Interface MUST be managed at all times to remain functional,secure &amp; supported in the 2 latest versions of the 2 market leading Browsers</t>
  </si>
  <si>
    <t>S08.54:00.6.03/Desires/DevelopmentServices/ISO-25010/Usability/Operability/Organisation Branding/The InfoService Client Interface MUST follow Organisation branding &amp; Styling policy for recognisability and trustability objectives</t>
  </si>
  <si>
    <t xml:space="preserve">Procurement/RFP/Proposals/Questions/Functionality/Completeness/Group Management </t>
  </si>
  <si>
    <t xml:space="preserve">Procurement/RFP/Proposals/Questions/Functionality/Completeness/Media Management </t>
  </si>
  <si>
    <t xml:space="preserve">Procurement/RFP/Proposals/Questions/Functionality/Completeness/User Group Role Management </t>
  </si>
  <si>
    <t xml:space="preserve">Procurement/RFP/Proposals/Questions/Functionality/Completeness/User Management </t>
  </si>
  <si>
    <t xml:space="preserve">Procurement/RFP/Proposals/Questions/ISO-25010/Compatibility </t>
  </si>
  <si>
    <t xml:space="preserve">00.ISO-25010/Functionality/Completeness/Appropriateness </t>
  </si>
  <si>
    <t xml:space="preserve">Procurement/RFP/Proposals/Questions/ISO-25010/Functionality (Multiple Orgs, Groups, Users, Roles, Permissions, Media, Business Needs) </t>
  </si>
  <si>
    <t>300.ISO-25010/Maintainability</t>
  </si>
  <si>
    <t xml:space="preserve">Procurement/RFP/Proposals/Questions/ISO-25010/Maintainability </t>
  </si>
  <si>
    <t xml:space="preserve">Procurement/RFP/Proposals/Questions/ISO-25010/Maintainability/Component (Latest Minor Version, minus 2) Version Health Within 3 months </t>
  </si>
  <si>
    <t xml:space="preserve">Procurement/RFP/Proposals/Questions/ISO-25010/Maintainability/Support Costs </t>
  </si>
  <si>
    <t>400.ISO-25010/Performance</t>
  </si>
  <si>
    <t xml:space="preserve">Procurement/RFP/Proposals/Questions/ISO-25010/Performance </t>
  </si>
  <si>
    <t xml:space="preserve">130.ISO-25010/Compatibility/Portability </t>
  </si>
  <si>
    <t xml:space="preserve">Procurement/RFP/Proposals/Questions/ISO-25010/Portability </t>
  </si>
  <si>
    <t xml:space="preserve">620.ISO-25010/Privacy/Data-Use </t>
  </si>
  <si>
    <t xml:space="preserve">Procurement/RFP/Proposals/Questions/ISO-25010/Privacy </t>
  </si>
  <si>
    <t>5700.00.0000/ISO-25010/Reliability</t>
  </si>
  <si>
    <t xml:space="preserve">Procurement/RFP/Proposals/Questions/ISO-25010/Security/At Rest (ISO-31001, Credential Storage, Audited Access, Production, Backups) </t>
  </si>
  <si>
    <t xml:space="preserve">Procurement/RFP/Proposals/Questions/ISO-25010/Security/In Transit (HTTPS) </t>
  </si>
  <si>
    <t xml:space="preserve">Procurement/RFP/Proposals/Questions/ISO-25010/Security/Validation/AntiMalware </t>
  </si>
  <si>
    <t xml:space="preserve">5900.00.0000/ISO-25010/Usability </t>
  </si>
  <si>
    <t xml:space="preserve">5944.00.0000/ISO-25010/Usability/Configurability/System Profile </t>
  </si>
  <si>
    <t xml:space="preserve">The System Profile SHOULD be configurable </t>
  </si>
  <si>
    <t>PROCUREMENT/...</t>
  </si>
  <si>
    <t xml:space="preserve">Design/InfoService/Environment/IDE/Provisioning/Developers MUST configure their workstations to develop under HTTPS </t>
  </si>
  <si>
    <t>Design/SystemResources/ISO-25010/Usability/Accessibility/Interpretable Text/Resource Text MUST be developed with the objective of being quickly interpreted into our cultures</t>
  </si>
  <si>
    <t>Design/SystemResources/ISO-25010/Usability/Accessibility/Scalar Graphics/Graphics MUST be developed as Monochromatic Scalable Vector Graphics usable over coloured backgrounds.</t>
  </si>
  <si>
    <t>Design/SystemResources/ISO-25010/Usability/Operability/Succint Text/Resource Text MUST be short to minimise scrolling, especially on mobile devices</t>
  </si>
  <si>
    <t>Design/SystemResources/ISO-25010/Usability/Recognisability/Recognisable Instructions/Resource Text MUST be developed to repetively use the same instructions (SignIn, SignOut, Search, View, Save, Accept, Cancel, etc.)</t>
  </si>
  <si>
    <t xml:space="preserve">10.48:01.00 Design/InfoService/Resources/Messages </t>
  </si>
  <si>
    <t xml:space="preserve">Design/InfoService/Content/Branding </t>
  </si>
  <si>
    <t xml:space="preserve">Design/InfoServiceResources/ISO-25010/Usability/Accesibility/Accessible Monochromatic Scalable Graphics/Accessible, Monochromatic, Scalable Vector Graphics MUST be developed </t>
  </si>
  <si>
    <t xml:space="preserve">Design/InfoServiceResources/ISO-25010/Usability/Accesibility/Understandable UI Text/A set of UX Operation (eg: BREAD) Title &amp; Description Resources MUST be developed </t>
  </si>
  <si>
    <t xml:space="preserve">Design/InfoServiceResources/ISO-25010/Usability/Accessibility|Icons MUST be Monochrome Scalabe Graphics (displayable on coloured background) </t>
  </si>
  <si>
    <t>Design/InfoServiceResources/ISO-25010/Usability/Operability/Messages/Expiring Group Role Msg/A Template Message MUST be developed to Warn that a Group Role Duration is Expiring</t>
  </si>
  <si>
    <t>Design/InfoServiceResources/ISO-25010/Usabiltiy/Accessibility/Interface Images and text MUST adhere to WCAG 3 or later specifications, Level Bronze or better</t>
  </si>
  <si>
    <t>Design/InfoServiceResources/ISO-25010/Usabiltiy/Accessibility/Interface Resource Text MUST be delivered in the official written languages of countries where the service made available</t>
  </si>
  <si>
    <t xml:space="preserve">10.49:01.00 Design/InfoService/Content/Metadata (Discoverability) </t>
  </si>
  <si>
    <t>Design/InfoServiceContent/ISO-25010/Maintainability/Reusability/Content SHOULD be developed and maintained in a low level, format (eg: ASCIIDoc, Markdown)</t>
  </si>
  <si>
    <t>Design/InfoServiceContent/ISO-25010/Usability/Accessibility/Media MUST be culturally Interpreted, not simply Translated</t>
  </si>
  <si>
    <t>Design/InfoServiceContent/ISO-25010/Usability/Operability/Developed Content MUST be developed and managed to remain easily and quickly understood and actionable.</t>
  </si>
  <si>
    <t xml:space="preserve">10.49:01.90.00 Design/InfoServiceContent/Media/Develop Content Model </t>
  </si>
  <si>
    <t xml:space="preserve">10.49:01.90.00 Design/InfoServiceContent/Media/Develop Content Type Actionable Schemas </t>
  </si>
  <si>
    <t xml:space="preserve">10.49:01.90.00 Design/InfoServiceContent/Media/Develop Content Types </t>
  </si>
  <si>
    <t>DESIGN/InfoService/MEDIA/CONTENT/...</t>
  </si>
  <si>
    <t>Design/InfoServiceContent/</t>
  </si>
  <si>
    <t>DESIGN/ENVIRONMENTS/...</t>
  </si>
  <si>
    <t xml:space="preserve">Design/InfoService/Content/Disclosures </t>
  </si>
  <si>
    <t xml:space="preserve">Design/InfoService/Content/Terms&amp;Conditions </t>
  </si>
  <si>
    <t>Design/ISO-25010/Maintainability/Modularity/API Testing uses the API Client/If permitted, Dynamic QA Testing of APIs MUST be via custom developed API Client Development Kit examples.</t>
  </si>
  <si>
    <t>10.44:00.0.01/Design: ALM: For Consultation/The ALM suite MUST permit members from multiple organisation (eg: Consultants, Vendors, etc.) and their internal groups to participate and collaborate</t>
  </si>
  <si>
    <t>10.44:00.0.02/Design/ALM Service/ALM Service Suite/The ALM Suite MUST provide and integrate the following services: WorkItems, Repository, Automation Pipelines, Documentation</t>
  </si>
  <si>
    <t>10.44:00.0.03/Design/ALM Service/Continued ALM syncing/IF the ALM is not organisation provided, the ALM data MUST be dynamically kept in sync with the Organisation provided ALM, to facilitate handover when required.</t>
  </si>
  <si>
    <t>10.44:00.0.04/Design/ALM Service/Continued ALM use/If the ALM is not organisation provided, the ALM space MUST be maintained functional and secure for the delivered services full lifecycle, while allowing ongoing use, at no additional cost.</t>
  </si>
  <si>
    <t>10.44:00.0.05/Design/ALM Service/Endorsed ALMs Only/Projects MUST NOT use an alternate to an organisation provided ALM (eg: Vendors), unless technical governance board exempted.</t>
  </si>
  <si>
    <t>10.44:00.0.06/Design/ALM Service/WWW WAN Accessible ARM/ALM Service suite MUST be accessible outside organisation LANs, over the WWW.</t>
  </si>
  <si>
    <t>Design/ALM Service/Documentation/Direct Wiki Access/A WWW Accessible Wiki MUST be accessible to Authorised Organisation Users</t>
  </si>
  <si>
    <t>Design/ALM Service/Documentation/Document within a Wiki/A WWW Accessible Wiki MUST be used to record Design and Development information.</t>
  </si>
  <si>
    <t>Design/ALM Service/Documentation/DR within a Wiki/The Wiki SHOULD document a Deployemnt Service Deployment Guide (describing how to invoke the available automation)</t>
  </si>
  <si>
    <t>Design/ALM Service/Documentation/DR within a Wiki/The Wiki SHOULD document a Maintenance Service Disaster Recovery (DR) Plan (describing how to invoke the available idempotent redeployment automation)</t>
  </si>
  <si>
    <t>Design/ALM Service/Documentation/Wiki Git/IF using Azure Devops, Wiki MUST be default Wiki (as Git Repository access requires Basic License for all users)</t>
  </si>
  <si>
    <t>DESIGN/ALM Service/DOCUMENTATION/...</t>
  </si>
  <si>
    <t xml:space="preserve">Design/InfoService/Constraints/AntiPatterns/Developers MUST NOT begin development on WorkItems without Test Analysts Adding Acceptance Test Criteria </t>
  </si>
  <si>
    <t xml:space="preserve">10.47:00.00 Design/InfoService/C&amp;A/Analysis/Maintainability/Code Quality </t>
  </si>
  <si>
    <t xml:space="preserve">Design/InfoService/Constraints/Guidance/Developers MUST NOT check Configuration Credentials into Code Repositories </t>
  </si>
  <si>
    <t>Design/ALM Service/Repo/Protect the Repos/The Repositories MUST be protected against checking in of Confidential information (eg: using Branching strategies, policies, scan checks).</t>
  </si>
  <si>
    <t>Design/ALM Service/Repo/Use Provided Repos/Any Custom or Configuration Automation developed MUST be persisted in the ALM's Repository.</t>
  </si>
  <si>
    <t>Design/ALM Service/Repo/Use the Repo Branching Strategy/An Organisation endorsed Branching strategy of the ALM's Repository MUST be used to facilitate ongoing support by organisation resources</t>
  </si>
  <si>
    <t>Design/ALM Service/DeploymentPipelines/IF the system is Configurable, whether Hosted or Not, System Configurations MUST be idempotently deployable via an Deployment Pipeline Step(eg: using APIs)</t>
  </si>
  <si>
    <t>Design/ALM Service/DeploymentPipelines/IF the system is Hosted, System Packages MUST be idempotently deployable via an Deployment Pipeline.</t>
  </si>
  <si>
    <t>Design/ALM Service/DeploymentPipelines/InfoService/InfoService Compilation/IF Custom, InfoService System Compilation MUST be a Step within Deployment Pipeline processes</t>
  </si>
  <si>
    <t>Design/ALM Service/DeploymentPipelines/InfoService/InfoService Packaging/IF Custom, InfoService System Packaging MUST be a Step within Deployment Pipeline processes</t>
  </si>
  <si>
    <t>Design/ALM Service/DeploymentPipelines/InfoService/InfoService: UIClient Transcompilation/IF Custom, InfoService Client System Compilation MUST be a Step within Deployment Pipeline processes</t>
  </si>
  <si>
    <t>Design/ALM Service/DeploymentPipelines/Infrastructure Deployment/Infrastructure MUST be provisioned as an Idempotent Step within Deployment Pipeline processes</t>
  </si>
  <si>
    <t>Design/ALM Service/DeploymentPipelines/Work across local and remote stakeholders within multiple organisations MUST be managed using an ALM's WorkItem Service (Kanban).</t>
  </si>
  <si>
    <t>Design/ALM Service/DR Automation Instructions/Service Providers MUST regularly participate in developing and maintaining usable DR instructions for Maintenance Specialists.</t>
  </si>
  <si>
    <t>Design/ALM Service/Service Configuration Automation Instructions/IF Configurable, Service Providers MUST regularly participate in developing and maintaining usable Service Customization instructions for Deployment Specialists.</t>
  </si>
  <si>
    <t>Design/Environments/Infrastructure Instructions (IaC) MUST be developed for idempotent deployment.</t>
  </si>
  <si>
    <t xml:space="preserve">Design/ALM Service/ConfigurationPipeline/Deployed Configuration/A Step of the Deployment Process MUST be to query and/or idempotently update mutable system configuration settings (via APIs or similar) </t>
  </si>
  <si>
    <t>Design/ALM Service/DeliveryPipeline/ISO-25010/Maintainability/Modifiability/Pipeline as Code/The Pipeline MUST be developed using open source Code (versus NoCode or similar)</t>
  </si>
  <si>
    <t>Design/ALM Service/DeliveryPipeline/ISO-25010/Security/Accountability/Credentials entrusted to Automation only/Credentials for Infrastructure &amp; Dependency Service MUST be only accessible by the Deployment Service Agent</t>
  </si>
  <si>
    <t xml:space="preserve">Design/ALM Service/DeliveryPipeline/ISO-25010/Security/Confidentiality/Inaccessible Credentials/Credentials for Infrastructure &amp; Dependency Service Credentials MUST not be accessible to Resources </t>
  </si>
  <si>
    <t>Design/ALM Service/DeliveryPipeline/ISO-25010/Security/Confidentiality/Securely Stored Credentials/Credentials for Infrastructure &amp; Dependency Service MUST be persisted in Secure Storage</t>
  </si>
  <si>
    <t>DESIGN/ALM Service /Design: ALM Service/The Design MUST include the use of a ALM suite based collaborative development and delivery environment.</t>
  </si>
  <si>
    <t>Design/ALM Service/DeploymentPipelines/Data Schemas/System Configuration SHOULD be deployed as an Idempotent Step within Deployment Pipeline processes</t>
  </si>
  <si>
    <t>Design/Environments/Custom/An Organisation Development environment DNS SubDomain Cert must be developed via code (eg: MYAPP.MYDEVORG.TLD)</t>
  </si>
  <si>
    <t>Design/Environments/Custom/An Organisation Production environment DNS SubDomain Cert must be developed via code (eg: MYAPP.MYPRODORG.TLD).</t>
  </si>
  <si>
    <t>Design/Environments/Infrastructure Deployment MUST be developed as Declarative Code (eg: ARM), using Functional Code (eg: PowerShell) sparingly.</t>
  </si>
  <si>
    <t xml:space="preserve">Design/InfoService/Constraints/Principles/Development MUST be undertaken with Compiler Warnings set on the Highest Setting to force not accepting Warnings </t>
  </si>
  <si>
    <t xml:space="preserve">Design/InfoService/Environment/HostConfiguration </t>
  </si>
  <si>
    <t>Design/ALM Service/DeploymentPipelines/IF permitted, QA Dynamic Tests MUST be run within a Deployment Pipeline Step (eg: Acceptance Tests)</t>
  </si>
  <si>
    <t>Design/ALM Service/DeploymentPipelines/IF the system is Custom, QA Static Tests MUST be run within a Deployment Pipeline Step (eg: Unit Tests)</t>
  </si>
  <si>
    <t>Design/ALM Service/QA Automation Instructions/Service Providers MUST regularly participate in developing and maintaining usable QA development, implementation and running instructions for QA Specialists.</t>
  </si>
  <si>
    <t>DESIGN/QAAUTOMATION/...</t>
  </si>
  <si>
    <t>Design/QAAutomation/Qualities/ISO-25301/Maintainability/Testability/Behaviour Tests MUST encode QA knowledge by automation, protecting the project against resource attrition</t>
  </si>
  <si>
    <t xml:space="preserve">10.47:00.00 Design/InfoService/C&amp;A/Analysis/Maintainability/Tests/API Coverage </t>
  </si>
  <si>
    <t xml:space="preserve">10.47:00.00 Design/InfoService/C&amp;A/Analysis/Maintainability/Tests/Code Coverage </t>
  </si>
  <si>
    <t>Design/QAAutiomation/ISO-25010/Maintainability/Testability/API Coverage/IF Custom Developed, 100% coverage of InfoService API Endpoints MUST be achieved</t>
  </si>
  <si>
    <t>Design/QAAutomation/IF Custom Developed, QA Testing MUST include Unit Tests of Logic (not Functionality)</t>
  </si>
  <si>
    <t>Design/QAAutomation/ISO-25010/Maintainability/Testability/Dynamic QA Testing/IF Custom Developed, QA Automation MUST include Dynamic Functional Acceptance Testing (unless prohibited on SaaS Platforms)</t>
  </si>
  <si>
    <t>Design/QAAutomation/ISO-25010/Maintainability/Testability/QA Testing in Piplines/QA Automation MUST be developed to be run within automated deployment/delivery Pipelines</t>
  </si>
  <si>
    <t>Design/ALM Service/DeploymentPipelines/Data Schema Deployment/Data Schemas MUST be deployed as an Idempotent Step within Deployment Pipeline processes</t>
  </si>
  <si>
    <t>Design/ALM Service/DeploymentPipelines/SEED DATA/System SEED DATA SHOULD be deployed as an Idempotent Step within Deployment Pipeline processes</t>
  </si>
  <si>
    <t>Design/Environments/DNS subdomains require being registered (MYAPP.MYPRODORG.TLD).</t>
  </si>
  <si>
    <t>DESIGN/InfoService/SERVER/...</t>
  </si>
  <si>
    <t xml:space="preserve">Design/InfoService/Storage/RelationalDB Service </t>
  </si>
  <si>
    <t>Design/InfoService/Functionality/Completeness/Exceptions Viewing/IF Hosted by the Organisation, Support Staff SHOULD be able to review Exceptions to provide answers to Users</t>
  </si>
  <si>
    <t xml:space="preserve">Design/InfoService/Functionality/Completeness/Group Role Management/List a Groups Role Assignees </t>
  </si>
  <si>
    <t>Design/InfoService/Functionality/Completeness/Media Management/The service SHOULD provide a means to manage user and group provided media in collections</t>
  </si>
  <si>
    <t xml:space="preserve">Design/InfoService/Functionality/Completeness/Search Management/Users can specify what Objects to search </t>
  </si>
  <si>
    <t xml:space="preserve">Design/InfoService/Functionality/Completeness/Session Management/Ability to Cancel Sessions </t>
  </si>
  <si>
    <t xml:space="preserve">Design/InfoService/Functionality/Completeness/Session Operation Management/List A Users Operations </t>
  </si>
  <si>
    <t xml:space="preserve">Design/InfoService/Functionality/Completeness/System Configuration (Cached from DB) Management </t>
  </si>
  <si>
    <t xml:space="preserve">Design/InfoService/Functionality/Completeness/User Management </t>
  </si>
  <si>
    <t xml:space="preserve">Design/InfoService/Functionality/Completeness/Validation Functionality (see Malware Detection) </t>
  </si>
  <si>
    <t xml:space="preserve">Design/InfoService/Services/Diagnostics Message Logging Functionality </t>
  </si>
  <si>
    <t>Design/InfoService/Base (System) Logical Module/ISO-25010/Compatibility/Interoperability/The system SHOULD provide WebHook endpoints to permit 3rd parties signaling events to the system</t>
  </si>
  <si>
    <t xml:space="preserve">Design/InfoService/Base (System) Logical Module/ISO-25010/Functionality/Completeness/Authorisation </t>
  </si>
  <si>
    <t>Design/InfoService/Base (System) Logical Module/ISO-25010/Functionality/Completeness/Configuration Management</t>
  </si>
  <si>
    <t>Design/InfoService/Base (System) Logical Module/ISO-25010/Functionality/Completeness/Customisation Management</t>
  </si>
  <si>
    <t>Design/InfoService/Base (System) Logical Module/ISO-25010/Functionality/Completeness/Exception Record (Permanent) Management/The Service SHOULD provide Exception Management Capabilities for Diagnostics purposes</t>
  </si>
  <si>
    <t>Design/InfoService/Base (System) Logical Module/ISO-25010/Functionality/Completeness/GroupManagement/The service SHOULD provide Nestable Group Management Capabiligies</t>
  </si>
  <si>
    <t>Design/InfoService/Base (System) Logical Module/ISO-25010/Functionality/Completeness/GroupMembershipManagement/The service SHOULD provide duration based Group Role Membership Management</t>
  </si>
  <si>
    <t xml:space="preserve">Design/InfoService/Base (System) Logical Module/ISO-25010/Functionality/Completeness/HostManagement </t>
  </si>
  <si>
    <t>Design/InfoService/Base (System) Logical Module/ISO-25010/Functionality/Completeness/HostManagement/The Service SHOULD provide Host Device ReadOnly Capabilities (to read config settings, etc.)</t>
  </si>
  <si>
    <t>Design/InfoService/Base (System) Logical Module/ISO-25010/Functionality/Completeness/NotificationManagement/The Service SHOULD provide Dated Duration Notification Management Capabilities (eg: Expected Shutdowns, Covid changes, etc.)</t>
  </si>
  <si>
    <t xml:space="preserve">Design/InfoService/Base (System) Logical Module/ISO-25010/Functionality/Completeness/ReportingManagement/Abandonment </t>
  </si>
  <si>
    <t xml:space="preserve">Design/InfoService/Base (System) Logical Module/ISO-25010/Functionality/Completeness/ReportingManagement/Exceptions </t>
  </si>
  <si>
    <t xml:space="preserve">Design/InfoService/Base (System) Logical Module/ISO-25010/Functionality/Completeness/ReportingManagement/Feedback </t>
  </si>
  <si>
    <t xml:space="preserve">Design/InfoService/Base (System) Logical Module/ISO-25010/Functionality/Completeness/ReportingManagement/Groups </t>
  </si>
  <si>
    <t xml:space="preserve">Design/InfoService/Base (System) Logical Module/ISO-25010/Functionality/Completeness/ReportingManagement/Operations </t>
  </si>
  <si>
    <t xml:space="preserve">Design/InfoService/Base (System) Logical Module/ISO-25010/Functionality/Completeness/ReportingManagement/Traffic </t>
  </si>
  <si>
    <t xml:space="preserve">Design/InfoService/Base (System) Logical Module/ISO-25010/Functionality/Completeness/ReportingManagement/Users </t>
  </si>
  <si>
    <t xml:space="preserve">Design/InfoService/Base (System) Logical Module/ISO-25010/Functionality/Completeness/ResourcesManagement/Deletion </t>
  </si>
  <si>
    <t xml:space="preserve">Design/InfoService/Base (System) Logical Module/ISO-25010/Functionality/Completeness/ResourcesManagement/Media </t>
  </si>
  <si>
    <t xml:space="preserve">Design/InfoService/Base (System) Logical Module/ISO-25010/Functionality/Completeness/ResourcesManagement/Routing </t>
  </si>
  <si>
    <t xml:space="preserve">Design/InfoService/Base (System) Logical Module/ISO-25010/Functionality/Completeness/ResourcesManagement/Versioning </t>
  </si>
  <si>
    <t>Design/InfoService/Base (System) Logical Module/ISO-25010/Functionality/Completeness/ResourcesManagement/Workflows/IF the design requires Workflow Processing, it MUST be capable of handling the following cases: Approvals, Delegations, Escalations</t>
  </si>
  <si>
    <t xml:space="preserve">Design/InfoService/Base (System) Logical Module/ISO-25010/Functionality/Completeness/RolePermission Management/The Service SHOULD provide Permission to Role Assignment &amp; Management capabilities </t>
  </si>
  <si>
    <t>Design/InfoService/Base (System) Logical Module/ISO-25010/Functionality/Completeness/SearchManagement</t>
  </si>
  <si>
    <t xml:space="preserve">Design/InfoService/Base (System) Logical Module/ISO-25010/Functionality/Completeness/Stakeholders </t>
  </si>
  <si>
    <t xml:space="preserve">Design/InfoService/Base (System) Logical Module/ISO-25010/Functionality/Completeness/SystemManagement </t>
  </si>
  <si>
    <t xml:space="preserve">Design/InfoService/ISO-25010/Security/Integrity/The Service MUST validate User Input Media for Malware before changing sate </t>
  </si>
  <si>
    <t xml:space="preserve">Design/InfoService/Base (System) Logiacl Module/ISO-25010/Functionality/Completeness/Correctness/Use Money Types for persisting Currency Attributes </t>
  </si>
  <si>
    <t>Design/InfoService/Base (System) Logical Module/ISO-25010/Compatibility/Coexistence/The system MUST NOT require dedicating a whole server device</t>
  </si>
  <si>
    <t>Design/InfoService/Base (System) Logical Module/ISO-25010/Functionality/Completeness/An OperationQueue Service MUST be provided to queue Operations for async execution</t>
  </si>
  <si>
    <t>Design/InfoService/Base (System) Logical Module/ISO-25010/Functionality/Completeness/Authentication</t>
  </si>
  <si>
    <t>Design/InfoService/Base (System) Logical Module/ISO-25010/Functionality/Completeness/Blob Storage/A Blob Storage Management Service MUST be provided to support storing media without reliance on the host's File System.</t>
  </si>
  <si>
    <t>Design/InfoService/Base (System) Logical Module/ISO-25010/Functionality/Completeness/Cache Service/A Shared Cache Management Service MUST be provided</t>
  </si>
  <si>
    <t>Design/InfoService/Base (System) Logical Module/ISO-25010/Functionality/Completeness/Context/A Location Service MUST be provided, to permit Location based automatic customisation</t>
  </si>
  <si>
    <t>Design/InfoService/Base (System) Logical Module/ISO-25010/Functionality/Completeness/Doc Storage/A Doc DB Management Service MUST be provided to support no-sql, indexed organised document storage</t>
  </si>
  <si>
    <t>Design/InfoService/Base (System) Logical Module/ISO-25010/Functionality/Completeness/Graph Storage/A Graph DB Management Service MUST be provided to support relating Resources</t>
  </si>
  <si>
    <t xml:space="preserve">Design/InfoService/Base (System) Logical Module/ISO-25010/Functionality/Completeness/Local Device Cache Management </t>
  </si>
  <si>
    <t xml:space="preserve">Design/InfoService/Base (System) Logical Module/ISO-25010/Functionality/Completeness/Media/MalwareDetection Management Service MUST be provided to validate uploaded Media to be persisted in Blob Storage </t>
  </si>
  <si>
    <t>Design/InfoService/Base (System) Logical Module/ISO-25010/Functionality/Completeness/PubSub/A PubSub Management Service MUST be provided to support immediate, efficient communication between server and client devices</t>
  </si>
  <si>
    <t>Design/InfoService/Base (System) Logical Module/ISO-25010/Functionality/Completeness/RDMS Storage/Relational DB Management Service MUST be provided to support a Generic Repository Service</t>
  </si>
  <si>
    <t>Design/InfoService/Base (System) Logical Module/ISO-25010/Functionality/Completeness/Repository Service/A Generic Repository Service MUST be provided to facilitate data access development</t>
  </si>
  <si>
    <t>Design/InfoService/Base (System) Logical Module/ISO-25010/Functionality/Completeness/Rule Service/A 3rd party Rule Engine Service MUST be used if Rule Processing becomes required</t>
  </si>
  <si>
    <t>Design/InfoService/Base (System) Logical Module/ISO-25010/Functionality/Completeness/Search Service/A 3rd party Search Service MUST be used to facilitate indexing and Discovery of Non-Public Resources</t>
  </si>
  <si>
    <t xml:space="preserve">Design/InfoService/Base (System) Logical Module/ISO-25010/Functionality/Completeness/UserPermissionDelegationManagement/The System MUST be capable of assigning Permissions to Users via Roles, while providing a means of adding or removing specific Permissions </t>
  </si>
  <si>
    <t>Design/InfoService/Base (System) Logical Module/ISO-25010/Functionality/Completeness/Workflow Service/A 3rd party Workflow Service MUST be used, if Escalation, etc.Workflows are required</t>
  </si>
  <si>
    <t xml:space="preserve">Design/InfoService/Configuration </t>
  </si>
  <si>
    <t xml:space="preserve">Design/InfoService/Integration/Datawarehouse/Using Standard Schemas &amp; Attributes </t>
  </si>
  <si>
    <t xml:space="preserve">Design/InfoService/Integration/Reporting </t>
  </si>
  <si>
    <t xml:space="preserve">Design/InfoService/Integration/Reporting/Use of a separate Database </t>
  </si>
  <si>
    <t>Design/InfoService/ISO-25010/Compatibility/Integration/Datawarehouse/Data MUST be exportable to the organisation Data Warehouse</t>
  </si>
  <si>
    <t>Design/InfoService/ISO-25010/Compatibility/Interoperability/OAUTH/IF the design requires authenticating API service clients, OAuth MUST be usable</t>
  </si>
  <si>
    <t>Design/InfoService/ISO-25010/Compatibility/Interoperability/OIDC/The Service MUST be capable of supporting OIDC to authenticate service client users</t>
  </si>
  <si>
    <t>Design/InfoService/ISO-25010/Compatibility/Interoperability/SAML/The Service MAY rely on SAML to authenticate Users and Devices</t>
  </si>
  <si>
    <t>Design/InfoService/ISO-25010/Compatibility/Interoperability/SCIM/The Service SHOULD implement SKIM APIs to permit initial migration of users, groups and permissions</t>
  </si>
  <si>
    <t xml:space="preserve">Design/InfoService/ISO-25010/Compatibility/Portability/The Service MUST be developed using mainstream enterprise grade languages </t>
  </si>
  <si>
    <t xml:space="preserve">Design/InfoService/ISO-25010/Compatibility/Portability/Use languages that are executable on Linux and Windows </t>
  </si>
  <si>
    <t>Design/InfoService/ISO-25010/Compatibility/Portability/Use mainstream development frameworks/All Development MUST be on mainstream development frameworks</t>
  </si>
  <si>
    <t>Design/InfoService/ISO-25010/Functionality/Completeness/Auditing Capabilities/The Service MUST audit operations of authenticated users who change state</t>
  </si>
  <si>
    <t>Design/InfoService/ISO-25010/Functionality/Completeness/Auditing Capabilities/The Service SHOULD audit operations of unauthenticated users as well as authenticated users</t>
  </si>
  <si>
    <t>Design/InfoService/ISO-25010/Functionality/Completeness/Auditing Management Capabilities/The Service SHOULD provide Session Operation Auditing Management Capabilities</t>
  </si>
  <si>
    <t>Design/InfoService/ISO-25010/Functionality/Completeness/Diagnostics Collecting/IF Organisation Managed, the Service MUST capture Diagnostics Messages in a NonPermanent, Rolling manner</t>
  </si>
  <si>
    <t>Design/InfoService/ISO-25010/Functionality/Completeness/Diagnostics Queryability Capabilities/IF Organisation Managed, The Service SHOULD provide Diagnostics Message Querying Capabilities</t>
  </si>
  <si>
    <t>Design/InfoService/ISO-25010/Functionality/Completeness/Feedback Capabilities/The Service SHOULD provide Feedback Collection and Management Capabilities</t>
  </si>
  <si>
    <t>Design/InfoService/ISO-25010/Functionality/Completeness/UserManagement/The System MUST provide capabilities to add, suspend and remove Users from the System</t>
  </si>
  <si>
    <t>Design/InfoService/ISO-25010/Functionality/Completeness/Correctness/The Service's Authorisation Mechanisms SHOULD be Permission based, as opposed to only Role based</t>
  </si>
  <si>
    <t xml:space="preserve">Design/InfoService/ISO-25010/Interoperability/APIs/Expose all Functionality/Completeness/All system Functionality SHOULD be exposed as Authorisable APIs </t>
  </si>
  <si>
    <t>Design/InfoService/ISO-25010/Maintainability/Analysability/Counters/The System SHOULD record Metrics for Reporting on Traffic,Abandonment, Conversion to Authenticated, Operations, Resource Usage</t>
  </si>
  <si>
    <t>Design/InfoService/ISO-25010/Maintainability/Analysability/Diagnostics/Blob Storage/Diagnostics Records SHOULD be persisted to a queryable Blob Storage or similar to not rely on the Host devices file system</t>
  </si>
  <si>
    <t>Design/InfoService/ISO-25010/Maintainability/Analysability/Diagnostics/Clearing Duration/The number of days to persist Diagnostics Tracing SHOULD be configurable</t>
  </si>
  <si>
    <t>Design/InfoService/ISO-25010/Maintainability/Analysability/Diagnostics/Clearing Process/A periodic task SHOULD be developed to clear diagnostics records that are older than a configurable number of days</t>
  </si>
  <si>
    <t>Design/InfoService/ISO-25010/Maintainability/Analysability/Diagnostics/Configurable Level/The level of Diagnostics Tracing to be recorded SHOULD be dynamically configurable without restarting the service</t>
  </si>
  <si>
    <t>Design/InfoService/ISO-25010/Maintainability/Analysability/Diagnostics/Queryability/Diagnostics Records SHOULD be recorded to a repository that is remotely queryable (in other words, consider a relational or NoSql datastore)</t>
  </si>
  <si>
    <t>Design/InfoService/ISO-25010/Maintainability/Analysability/The Service SHOULD be capable of alerting monitoring service specialists to abnormal behaviour</t>
  </si>
  <si>
    <t xml:space="preserve">Design/InfoService/ISO-25010/Maintainability/Components are Kept Supportable (Updated/Replaced at least 1 year before expiration) </t>
  </si>
  <si>
    <t>Design/InfoService/ISO-25010/Maintainability/Modifiability/Open Source CodeBase/Any Custom Code developed for the system MUST be capable of being made available as Open Source without compromising Confidential information</t>
  </si>
  <si>
    <t>Design/InfoService/ISO-25010/Maintainability/Modifiability/Open Source Libraries/Open Source libraries used in the solution MUST be and remain actively maintained libraries</t>
  </si>
  <si>
    <t>Design/InfoService/ISO-25010/Maintainability/Modularity/Based on Logical Modules/The service should be designed and developed based on Logical Modules, which CAN be developed as physical deployable modules</t>
  </si>
  <si>
    <t>Design/InfoService/ISO-25010/Maintainability/Modularity/Extensible by Modules/The System MUST be extendable using Physical Deployable Modules</t>
  </si>
  <si>
    <t>Design/InfoService/ISO-25010/Maintainability/Reusability/All System Functionality MUST be exposed via Authorisable APIs</t>
  </si>
  <si>
    <t xml:space="preserve">Design/InfoService/ISO-25010/Maintainability/Testability/Preference for Compiled Languages </t>
  </si>
  <si>
    <t xml:space="preserve">Design/InfoService/ISO-25010/Performance/Capacity (concurrent clients) </t>
  </si>
  <si>
    <t xml:space="preserve">Design/InfoService/ISO-25010/Performance/Resource Usage/Capacity/Can handle expected number of Records </t>
  </si>
  <si>
    <t xml:space="preserve">Design/InfoService/ISO-25010/Performance/Resource Usage/Capacity/Can handle expected number of Users </t>
  </si>
  <si>
    <t xml:space="preserve">Design/InfoService/ISO-25010/Performance/Resource Usage/Consumer/Reputation &amp; Trust </t>
  </si>
  <si>
    <t xml:space="preserve">Design/InfoService/ISO-25010/Performance/Resource Usage/Environment/Costs </t>
  </si>
  <si>
    <t xml:space="preserve">Design/InfoService/ISO-25010/Performance/Resource Usage/System/CPU/No more than 2 CPU Required to meet Availability Targets </t>
  </si>
  <si>
    <t xml:space="preserve">Design/InfoService/ISO-25010/Performance/Resource Usage/System/Devices </t>
  </si>
  <si>
    <t xml:space="preserve">Design/InfoService/ISO-25010/Performance/Resource Usage/System/IO </t>
  </si>
  <si>
    <t xml:space="preserve">Design/InfoService/ISO-25010/Performance/Resource Usage/System/Storage/Dynamically &amp; Sufficiently Expandable </t>
  </si>
  <si>
    <t xml:space="preserve">Design/InfoService/ISO-25010/Performance/Resource Usage/Team/Effort &amp; Cost </t>
  </si>
  <si>
    <t xml:space="preserve">Design/InfoService/ISO-25010/Performance/Throughput (Transactions Completed per) </t>
  </si>
  <si>
    <t>/The System MUST recover from a User initiated Exception within 600ms</t>
  </si>
  <si>
    <t>/The System MUST be available to accept another Request from the same User within 600ms</t>
  </si>
  <si>
    <t>/The System MUST be able to be shut down within 15 seconds</t>
  </si>
  <si>
    <t>/The System MUST be able to start accepting requests within 30 seconds of startup</t>
  </si>
  <si>
    <t>Design/InfoService/ISO-25010/Performance/Time Behaviour/Transaction Duration</t>
  </si>
  <si>
    <t xml:space="preserve">Design/InfoService/ISO-25010/Portability/Adaptability </t>
  </si>
  <si>
    <t>/Country MUST be recored in ISO 2 or 3 format</t>
  </si>
  <si>
    <t>/Data Should be persisted in ISO formats when available</t>
  </si>
  <si>
    <t xml:space="preserve">/Time MUST be recorded in UTC </t>
  </si>
  <si>
    <t>/UUIDs MUST be used for record Primary Keys</t>
  </si>
  <si>
    <t>Design/InfoService/ISO-25010/Portability/HostManagement</t>
  </si>
  <si>
    <t xml:space="preserve">Design/InfoService/ISO-25010/Portability/Installability </t>
  </si>
  <si>
    <t xml:space="preserve">Design/InfoService/ISO-25010/Portability/Installability/Multi-Platform Framework </t>
  </si>
  <si>
    <t xml:space="preserve">Design/InfoService/ISO-25010/Portability/Installability/Multi-Platform Language </t>
  </si>
  <si>
    <t xml:space="preserve">Design/InfoService/ISO-25010/Portability/Installability/Package Based Installation </t>
  </si>
  <si>
    <t xml:space="preserve">Design/InfoService/ISO-25010/Portability/Replaceability </t>
  </si>
  <si>
    <t>Design/InfoService/ISO-25010/Reliability/Availability/24/7/The Service MUST be available to Users 24/7</t>
  </si>
  <si>
    <t>Design/InfoService/ISO-25010/Reliability/Availability/99.99% uptime/The Service MUST be availale 99.99%/month to end Users</t>
  </si>
  <si>
    <t>Design/InfoService/ISO-25010/Reliability/Availability/DoS Protection/The Service ENvironment MUST be capable of defending itself from common DoS scenarios</t>
  </si>
  <si>
    <t>Design/InfoService/ISO-25010/Reliability/Availability/Globality/The Service Design MUST be capable of being cached globally</t>
  </si>
  <si>
    <t>Design/InfoService/ISO-25010/Reliability/Availability/Planned Downtime Notification/The Service MUST be able to Notify Users of Planned Downtime.</t>
  </si>
  <si>
    <t>Design/InfoService/ISO-25010/Reliability/Availability/Scalability/Horizontal Scalability/The System MUST be able to scale horizontally to meet legitimate surge demand</t>
  </si>
  <si>
    <t>Design/InfoService/ISO-25010/Reliability/Availability/Scalability/Vertical Scalability/The System's Resources (Memory, Storage, Licenses) MUST be able to scaled vertically if Horizontal scaling is insufficient to address the objective</t>
  </si>
  <si>
    <t>Design/InfoService/ISO-25010/Reliability/Availability/System Status/The Service MUST be capable of directing users to a dynamic web based message explaining why a status is temporarily unavailable</t>
  </si>
  <si>
    <t>Design/InfoService/ISO-25010/Reliability/Availability/WWW WAN Available/The Service MUST be available from the Web (ie from beyond any organisation LAN).</t>
  </si>
  <si>
    <t>Design/InfoService/ISO-25010/Reliability/Fault Tolerance/Idempotent Operations/Operations MUST be Idempotent so as to not create Duplicate Records or Operations</t>
  </si>
  <si>
    <t>Design/InfoService/ISO-25010/Reliability/Fault Tolerance/User Focused Error Messages/Error Messages MUST be User Understandable and Actionalble to reduce Support burden and costs</t>
  </si>
  <si>
    <t>Design/InfoService/ISO-25010/Security/Accountability/All State Change Operations Are Permanently Recorded for Auditability as required</t>
  </si>
  <si>
    <t xml:space="preserve">Design/InfoService/ISO-25010/Security/Components are Kept up to date (Latest Major Version, Minor Latest -2 Minor Version) </t>
  </si>
  <si>
    <t>Design/InfoService/ISO-25010/Security/Confidentiality/Designed for Insecure Devices/The Service MUST be capable of being securely used on non-organisation devices</t>
  </si>
  <si>
    <t>Design/InfoService/ISO-25010/Security/Confidentiality/Diagnostics Log messages are scrubbed of PII &amp; Credentials/Diagnostics Records MUST be scrubbed of PII, Confidential information and Credentials</t>
  </si>
  <si>
    <t>Design/InfoService/ISO-25010/Security/Confidentiality/Encrypted Network Connections/Communication between Devices and Services MUST be Encrypted</t>
  </si>
  <si>
    <t>Design/InfoService/ISO-25010/Security/Confidentiality/Exception Records are scrubbed of PII &amp; Credentials/Diagnostics Records MUST be scrubbed of PII, Confidential information and Credentials</t>
  </si>
  <si>
    <t>Design/InfoService/ISO-25010/Security/Confidentiality/HTTP Redirection/HTTP Requests MUST be redirected back by equivalent HTTPS endpoints</t>
  </si>
  <si>
    <t xml:space="preserve">Design/InfoService/ISO-25010/Security/Confidentiality/Securely Stored Credentials </t>
  </si>
  <si>
    <t xml:space="preserve">Design/InfoService/ISO-25010/Security/Confidentiality/Storage Primary Keys are not exposed outside system </t>
  </si>
  <si>
    <t xml:space="preserve">Design/InfoService/ISO-25010/Security/Confidentiality/Storage SHOULD be is Encrypted </t>
  </si>
  <si>
    <t xml:space="preserve">Design/InfoService/ISO-25010/Security/Confidentiality/Test with Test Data </t>
  </si>
  <si>
    <t xml:space="preserve">Design/InfoService/ISO-25010/Security/Confidentiality/Tracking Mememtos/Cookies are marked as Secure </t>
  </si>
  <si>
    <t>Design/InfoService/ISO-25010/Security/Integrity/Communication Certificates MUST be short lived (max 90 days)</t>
  </si>
  <si>
    <t xml:space="preserve">Design/InfoService/ISO-25010/Security/Integrity/Exposed Identity &amp; Session Tokens are Cryptographically Signed </t>
  </si>
  <si>
    <t xml:space="preserve">Design/InfoService/ISO-25010/Security/Integrity/Identity &amp; Session Tokens are marked HTTPS only </t>
  </si>
  <si>
    <t>Design/InfoService/ISO-25010/Security/Integrity/IDP Service/A 3rd party IdP Service MUST be used to manage user credentials</t>
  </si>
  <si>
    <t>Design/InfoService/ISO-25010/Security/Integrity/IDP Service/User &amp; Client Device Credentials MUST NOT be persisted in system storage of any kind</t>
  </si>
  <si>
    <t xml:space="preserve">Design/InfoService/ISO-25010/Security/Non-Repudiation </t>
  </si>
  <si>
    <t xml:space="preserve">Design/InfoService/ISO-25010/Security/Non-Repudiation/Auditing logs never deleted </t>
  </si>
  <si>
    <t xml:space="preserve">Design/InfoService/ISO-25010/Security/Non-Repudiation/Operations logged against User (Authenticated or not) </t>
  </si>
  <si>
    <t xml:space="preserve">Design/InfoService/ISO-25010/Supportability/Documentation/Editable </t>
  </si>
  <si>
    <t>Design/InfoService/ISO-25010/Usability</t>
  </si>
  <si>
    <t xml:space="preserve">Design/InfoService/ISO-25010/Usability/Analytics </t>
  </si>
  <si>
    <t xml:space="preserve">Design/InfoService/ISO-25010/Usability/Analytics/Predictive </t>
  </si>
  <si>
    <t xml:space="preserve">Design/InfoService/ISO-25010/Usability/Analytics/Status </t>
  </si>
  <si>
    <t xml:space="preserve">Design/InfoService/ISO-25010/Usability/Assistance </t>
  </si>
  <si>
    <t xml:space="preserve">Design/InfoService/ISO-25010/Usability/Assistance/Online Contact Email Provided </t>
  </si>
  <si>
    <t xml:space="preserve">Design/InfoService/ISO-25010/Usability/Configurability </t>
  </si>
  <si>
    <t xml:space="preserve">Design/InfoService/ISO-25010/Usability/Configurability/Group Membership </t>
  </si>
  <si>
    <t xml:space="preserve">Design/InfoService/ISO-25010/Usability/Configurability/Group Profile </t>
  </si>
  <si>
    <t xml:space="preserve">Design/InfoService/ISO-25010/Usability/Configurability/Group Roles </t>
  </si>
  <si>
    <t xml:space="preserve">Design/InfoService/ISO-25010/Usability/Configurability/Resource Collection Profile </t>
  </si>
  <si>
    <t xml:space="preserve">Design/InfoService/ISO-25010/Usability/Configurability/Resource Collection Role Associations </t>
  </si>
  <si>
    <t xml:space="preserve">Design/InfoService/ISO-25010/Usability/Configurability/Role Permissions </t>
  </si>
  <si>
    <t xml:space="preserve">Design/InfoService/ISO-25010/Usability/Configurability/User Dashboard </t>
  </si>
  <si>
    <t xml:space="preserve">Design/InfoService/ISO-25010/Usability/Configurability|Tenancy Profiles, if provided, MUST be configurable </t>
  </si>
  <si>
    <t xml:space="preserve">Design/InfoService/ISO-25010/Usability/Configurability|The System Profile MUST be configurable </t>
  </si>
  <si>
    <t xml:space="preserve">Design/InfoService/ISO-25010/Usability/Configurability|User Profiles MUST be configurable </t>
  </si>
  <si>
    <t xml:space="preserve">Design/InfoService/ISO-25010/Usability/Documentation|System Documentation MUST be digitally available &amp; Online </t>
  </si>
  <si>
    <t xml:space="preserve">Design/InfoService/ISO-25010/Usability/Documentation|System Documentation MUST be Digitally available and Searchable </t>
  </si>
  <si>
    <t xml:space="preserve">Design/InfoService/ISO-25010/Usability/Learnability|All User Operations that Change State MUST be Undoable without assistance </t>
  </si>
  <si>
    <t xml:space="preserve">Design/InfoService/ISO-25010/Usability/Operabiility|Generated Reports MUST be printable, stripped of User Interface Artefacts </t>
  </si>
  <si>
    <t xml:space="preserve">Design/InfoService/ISO-25010/Usability/Operabiility|Printable Reports MUST be avaiable as PDFs </t>
  </si>
  <si>
    <t xml:space="preserve">Design/InfoService/ISO-25010/Usability/Operabiility|The service MUST NOT require Training to use </t>
  </si>
  <si>
    <t xml:space="preserve">Design/InfoService/ISO-25010/Usability/Recognisability/HTTPS Certificate </t>
  </si>
  <si>
    <t xml:space="preserve">Design/InfoService/ISO-25010/Usability/Recognisability/Sector Endorsement </t>
  </si>
  <si>
    <t xml:space="preserve">Design/InfoService/ISO-25010/Usability/Supportability/On-Off-Boarding </t>
  </si>
  <si>
    <t xml:space="preserve">Design/InfoService/ISO-xxxxx/Privacy/A47Data-Use </t>
  </si>
  <si>
    <t xml:space="preserve">Design/InfoService/ISO-xxxxx/Privacy/Correctability </t>
  </si>
  <si>
    <t xml:space="preserve">Design/InfoService/ISO-xxxxx/Privacy/Opt-Out </t>
  </si>
  <si>
    <t xml:space="preserve">Design/InfoService/ISO-xxxxx/Privacy/Tracking </t>
  </si>
  <si>
    <t>Design/InfoService/Qualities/ISO-35012/---/Correctness/The Service APIs MUST validate the attributes of all incoming Messages</t>
  </si>
  <si>
    <t>Design/InfoServiceClient/ISO-25010/Reliability/Recoverability/Errors Are Recoverable/Continuation after an Exception MUST not require a refresh of the server.</t>
  </si>
  <si>
    <t>Development/InfoService/ISO-25010/Reliability/Availability/DoS Protection/The Service itself SHOULD be capable of defending itself from common DoS scenarios</t>
  </si>
  <si>
    <t>Deveop/InfoService/ISO-25010/Security/Authenticity/Signed Records/Session Audit Records SHOULD be signed against Tamperability</t>
  </si>
  <si>
    <t xml:space="preserve">Design/InfoService/Base (System) Logical Module/A464Functionality/Completeness/Documents (using Document DB) Management </t>
  </si>
  <si>
    <t>Design/InfoService/Base (System) Logical Module/Functionality/Completeness/Cache Management/When custom developing, Caching Servies MUST be developed early to provide their use for subsequent development, making a more resilient system</t>
  </si>
  <si>
    <t xml:space="preserve">Design/InfoService/Base (System) Logical Module/Functionality/Completeness/Exception Record Management/Explore Exceptions by Attributes </t>
  </si>
  <si>
    <t>Design/InfoService/Base (System) Logical Module/Functionality/Completeness/Group Management/Explore Groups Hierarchically</t>
  </si>
  <si>
    <t xml:space="preserve">Design/InfoService/Base (System) Logical Module/Functionality/Completeness/Host Device Context (Time, Location, Culture) Management (Readonly) Functionality </t>
  </si>
  <si>
    <t xml:space="preserve">Design/InfoService/Base (System) Logical Module/Functionality/Completeness/HostDevice Configuration Management (Readonly) Functionality </t>
  </si>
  <si>
    <t>Design/InfoService/Base (System) Logical Module/Functionality/Completeness/Internal Search/Users MUST be able to Search for Resources in a forgiving manner (accepting spelling mistakes)</t>
  </si>
  <si>
    <t>Design/InfoService/Base (System) Logical Module/Functionality/Completeness/Internal Search/Users SHOULD be able to Search for Resources via Metadata</t>
  </si>
  <si>
    <t xml:space="preserve">Design/InfoService/Base (System) Logical Module/Functionality/Completeness/Link (using Graphs DB) Management </t>
  </si>
  <si>
    <t xml:space="preserve">Design/InfoService/Base (System) Logical Module/Functionality/Completeness/Mapping Management/Map Models/The Service MUST be capable of mapping from Entities to Messages -- and back again -- at the API boundary </t>
  </si>
  <si>
    <t xml:space="preserve">Design/InfoService/Base (System) Logical Module/Functionality/Completeness/Media in Blob Storage/Media MUST be persisted in Blob Storage </t>
  </si>
  <si>
    <t xml:space="preserve">Design/InfoService/Base (System) Logical Module/Functionality/Completeness/Media Management/Media MUST be manageable on a per User or per Group Collection basis </t>
  </si>
  <si>
    <t>Design/InfoService/Base (System) Logical Module/Functionality/Completeness/Messaging/SMTP/The System MUST be able to be send notification emails without disclosing personal or confidential information</t>
  </si>
  <si>
    <t xml:space="preserve">Design/InfoService/Base (System) Logical Module/Functionality/Completeness/Messaging/Store User Message Metadata/Keep Msg Metadata Indefinitely </t>
  </si>
  <si>
    <t>Design/InfoService/Base (System) Logical Module/Functionality/Completeness/Messaging/Store User Messages/Keep Msg Contents Indefinitely Separately in Blob</t>
  </si>
  <si>
    <t xml:space="preserve">Design/InfoService/Base (System) Logical Module/Functionality/Completeness/Messaging/View Users Messages/Authorised Users MUST be capable of exploring Messages sent and received by Users </t>
  </si>
  <si>
    <t>Design/InfoService/Base (System) Logical Module/Functionality/Completeness/Module Management/The service MUST be able to add/remove functionality via Modules.</t>
  </si>
  <si>
    <t xml:space="preserve">Design/InfoService/Base (System) Logical Module/Functionality/Completeness/Module Permission Management/List Modules Permissions </t>
  </si>
  <si>
    <t>Design/InfoService/Base (System) Logical Module/Functionality/Completeness/Modules in Blob Storage/The service MUST persist Modules in Blob Storage to account for dynamically allocated devices in cloud environments</t>
  </si>
  <si>
    <t xml:space="preserve">Design/InfoService/Base (System) Logical Module/Functionality/Completeness/Related Entities (using Relational DB ORM) Management </t>
  </si>
  <si>
    <t>Design/InfoService/Base (System) Logical Module/Functionality/Completeness/Request Routing Management</t>
  </si>
  <si>
    <t>Design/InfoService/Base (System) Logical Module/Functionality/Completeness/Search Management/Search SummaryItems/The Universal internal Search Functionality MUST return SummaryItem records summarising found Records</t>
  </si>
  <si>
    <t>Design/InfoService/Base (System) Logical Module/Functionality/Completeness/Search Management/Universal Internal Search/The Service MUST be capable of Searching across all Modules, all key Objects within</t>
  </si>
  <si>
    <t xml:space="preserve">Design/InfoService/Base (System) Logical Module/Functionality/Completeness/User Device Management/Device Context/Developers MUST be capable of querying the Server Device's Location, UTC Zone, Default Culture </t>
  </si>
  <si>
    <t>Design/InfoService/Base (System) Logical Module/Functionality/Completeness/User Permissions Management/View User Permissions/An Authorised User may list the Permissions assigned to a User, identifying which Physical Module they are associated.</t>
  </si>
  <si>
    <t xml:space="preserve">Design/InfoService/Base (System) Logical Module/Functionality/Completeness/User Profile Management/Default Avatar Image/If Authorised, Users MUST be capable of specifying a default Image of themselves </t>
  </si>
  <si>
    <t>Design/InfoService/Base (System) Logical Module/Functionality/Completeness/User Profile Management/Default Bio/If Authorised, Users MUST be capable of specifying a default Bio about themselves.</t>
  </si>
  <si>
    <t>Design/InfoService/Base (System) Logical Module/Functionality/Completeness/User Profile Management/Default Name/If Authorised, Users MUST be capable of specifying a Default Name (to avoid disclosing uneccessary PII).</t>
  </si>
  <si>
    <t>IF custom developed, API &amp; View Controllers MUST be developed 'Thin', handing off as much as possible to Infrastructure &amp; Domain Services.</t>
  </si>
  <si>
    <t xml:space="preserve">IF custom developed, API &amp; View Controllers are Reliant on Validation &amp; Malware Detection Functionality </t>
  </si>
  <si>
    <t xml:space="preserve">Design/InfoService/Base (System) Logical Module/Interface/Patterns/API Controllers use Mapping Service to Map Sys Models to&amp;from Msg Models </t>
  </si>
  <si>
    <t>Design/InfoService/Base (System) Logical Module/ISO-25010/Functionality/Completeness/User Management/Can Disable Users/Authorised Users MUST be capable of Disabling Users (if considered to be a bad actor)</t>
  </si>
  <si>
    <t>Design/InfoService/Base (System) Logical Module/ISO-25010/Functionality/Completeness/User Management/Can Temporarily Disable Users/Authorised Users MUST be capable of Disabling Users for a Duration of Time (eg: After a number of failed attempts to authenticate)</t>
  </si>
  <si>
    <t xml:space="preserve">Design/InfoService/Base (System) Logical Module/ISO-25010/Functionality/Completeness/User Management/Can Temporarily Enable Users/Authorised Users MUST be capable of enabling Users for a specified Chron Duration (eg: Semester) </t>
  </si>
  <si>
    <t>Design/InfoServiceAPIClient/ISO-25010/Maintainability/Testability/API Dev Framework Examples/Examples of consuming all APIs will be provided to facilitate later integration.</t>
  </si>
  <si>
    <t xml:space="preserve">Design/InfoService/ISO-25010/Resource Utilisation/DB Connections </t>
  </si>
  <si>
    <t>DESIGN DETAILED/...A766</t>
  </si>
  <si>
    <t xml:space="preserve">Design/Environments/Tasks/Dynamically allocated horizontally scaled Web Servers </t>
  </si>
  <si>
    <t>Design/InfoServiceResources/ISO-25010/Usability/Operability/Messages/Group Invitation Msg/A Template Message MUST be developed to be sent to Invite Users to a Group Role for a Duration</t>
  </si>
  <si>
    <t>Design/InfoServiceResources/ISO-25010/Usability/Operability/Messages/Group Welcome Msg/A Template Message MUST be developed to Welcome New Group Members</t>
  </si>
  <si>
    <t>Design/InfoServiceResources/ISO-25010/Usability/Operability/Messages/System Welcome Msg/A Template Message MUST be developed to Welcome to New System Members</t>
  </si>
  <si>
    <t>Design/InfoService/ISO-25010/Usability/Operability/All Functionality SHOULD be appropriately accessible by Permission validating APIs</t>
  </si>
  <si>
    <t xml:space="preserve">Design/InfoService/ISO-25010/Usability/Aesthetics </t>
  </si>
  <si>
    <t xml:space="preserve">Design/InfoService/ISO-25010/Usability/Aesthetics/Corporate Branding </t>
  </si>
  <si>
    <t xml:space="preserve">Design/InfoService/ISO-25010/Usability/Aesthetics/Per Tenancy Branding </t>
  </si>
  <si>
    <t xml:space="preserve">Design/InfoService/ISO-25010/Usability/Recognisability/Corporate Branding </t>
  </si>
  <si>
    <t>DESIGN/InfoService UI CLIENT/…</t>
  </si>
  <si>
    <t>Design/InfoService: UIClient/Base (System) Logical Module/Functionality/Completeness/Service Clients SHOULD cache information on the Client Device to minimize traffic</t>
  </si>
  <si>
    <t xml:space="preserve">Design/InfoService: UIClient/Base (System) Logical Module/Interface/UX/Principles/Minimise Wasted space on System/Tenant Context/Branding </t>
  </si>
  <si>
    <t xml:space="preserve">Design/InfoService: UIClient/Constraints/AntiPatterns/Letting Interface Appearance drive Development </t>
  </si>
  <si>
    <t xml:space="preserve">Design/InfoService: UIClient/Interface/UX/Principles/Interpretation versus Translation </t>
  </si>
  <si>
    <t>Design/InfoService: UIClient/CustomTechnical/ISO-25010/Maintainability/Modularity/The UI Client MUST provide functionality to be listed As a Service Client Mobile Dashboard item</t>
  </si>
  <si>
    <t>Design/InfoService: UIClient/CustomTechnical/ISO-25010/Maintainability/Modularity/The UI MUST be developed using a leading Single Page Application (SPA) Framework</t>
  </si>
  <si>
    <t xml:space="preserve">Design/InfoService: UIClient/ISO-25010/Availability/Scalability </t>
  </si>
  <si>
    <t xml:space="preserve">Design/InfoService: UIClient/ISO-25010/Interoperability/APIs/Queryability </t>
  </si>
  <si>
    <t>Design/InfoService: UIClient/ISO-25010/Maintainability/Modularity/All component Views MUST be either Input, Output, or Collections - but combinations thereof</t>
  </si>
  <si>
    <t>Design/InfoService: UIClient/ISO-25010/Maintainability/Modularity/All Interfaces MUST be developed from Views</t>
  </si>
  <si>
    <t xml:space="preserve">Design/InfoService: UIClient/ISO-25010/Notification/Alerting </t>
  </si>
  <si>
    <t>Design/InfoService: UIClient/ISO-25010/Portability/Installability/Current Browsers/The interface MUST be kept running in current market leading browsers (latest version - 6 months)</t>
  </si>
  <si>
    <t>Design/InfoService: UIClient/ISO-25010/Reliability/Recoverability/Errors Are Recoverable/Continuation after an Exception MUST not require a refresh of the browser.</t>
  </si>
  <si>
    <t xml:space="preserve">Design/InfoService: UIClient/ISO-25010/Resource Utilisation </t>
  </si>
  <si>
    <t xml:space="preserve">Design/InfoService: UIClient/ISO-25010/Resource Utilisation/CPU </t>
  </si>
  <si>
    <t xml:space="preserve">Design/InfoService: UIClient/ISO-25010/Security </t>
  </si>
  <si>
    <t>Design/InfoService: UIClient/ISO-25010/Security/Storage</t>
  </si>
  <si>
    <t>Design/InfoService: UIClient/ISO-25010/Usability/Accessibility/Developers MUST NOT embed text resources into code (use interpretable resource localisation libraries)</t>
  </si>
  <si>
    <t xml:space="preserve">Design/InfoService: UIClient/ISO-25010/Usability/Accessibility/Graphics are Monochrome Scalable Graphics </t>
  </si>
  <si>
    <t>Design/InfoService: UIClient/ISO-25010/Usability/Accessibility/Images MUST be developed as monochromatic Scalable Graphics, displayable on colour backgrounds</t>
  </si>
  <si>
    <t>Design/InfoService: UIClient/ISO-25010/Usability/Accessibility/UnAuthenticated Users MUST be able to specify their Session's preferred language</t>
  </si>
  <si>
    <t>Design/InfoService: UIClient/ISO-25010/Usability/Accessibility/UnAuthenticated Users MUST have a static Dashboard View</t>
  </si>
  <si>
    <t xml:space="preserve">Design/InfoService: UIClient/ISO-25010/Usability/Accessibility|Blue &amp; Yellow SHOULD be used to indicate binary options (Correct/Incorrect, etc.) </t>
  </si>
  <si>
    <t xml:space="preserve">Design/InfoService: UIClient/ISO-25010/Usability/Accessibility|Red &amp; Green MUST NOT be used to indicate binary options (Correct/Incorrect, etc.) </t>
  </si>
  <si>
    <t xml:space="preserve">Design/InfoService: UIClient/ISO-25010/Usability/Aesthetics/Provide enough text space for Interpretations </t>
  </si>
  <si>
    <t>Design/InfoService: UIClient/ISO-25010/Usability/Learnability/All State Change Operations (Save, Update, Delete, Link, etc.) MUST permit being Undone.</t>
  </si>
  <si>
    <t>Design/InfoService: UIClient/ISO-25010/Usability/Learnability/The Interface MUST NOT require Training</t>
  </si>
  <si>
    <t>Design/InfoService: UIClient/ISO-25010/Usability/Operability/All Printable Reports (ie all) MUST be printable as PDFs</t>
  </si>
  <si>
    <t xml:space="preserve">Design/InfoService: UIClient/ISO-25010/Usability/Operability/Allocate 180% Expected Space for Interpreted Translations </t>
  </si>
  <si>
    <t>Design/InfoService: UIClient/ISO-25010/Usability/Operability/Authenticated Users MUST be able to specify their preferred language, persisted in their Profile</t>
  </si>
  <si>
    <t>Design/InfoService: UIClient/ISO-25010/Usability/Operability/Authenticated Users MUST have a personalizable Dashboard View</t>
  </si>
  <si>
    <t>Design/InfoService: UIClient/ISO-25010/Usability/Operability/Recognisability/The URL's Domain MUST be customizable according to Organisation or Tenancy.</t>
  </si>
  <si>
    <t>Design/InfoService: UIClient/ISO-25010/Usability/Operability/Reports are Printable/All Reports MUST be printable</t>
  </si>
  <si>
    <t>Design/InfoService: UIClient/ISO-25010/Usability/Operability/Web interfaces MUST first be designed to run on the smallest common interface dimensions.</t>
  </si>
  <si>
    <t>Design/InfoService: UIClient/ISO-25010/Usability/Recognisability/Organisation Branding MUST be applyable to the interface to support trust</t>
  </si>
  <si>
    <t>Design/InfoService: UIClient/ISO-25010/Usability/Recognisability/Organisation Branding MUST be minimal -- users know what they are using and prefer functionality</t>
  </si>
  <si>
    <t>Design/InfoService: UIClient/ISO-25010/Usability/Recognisability/Recognisable Domain/The URL's Domain MUST be customizable to a subdomain of the organisation Url.</t>
  </si>
  <si>
    <t>Design/InfoService: UIClient/ISO-25010/Usability/Recognisability/System Branding MUST be minimal -- users know what they are using and prefer functionality on mobile devices</t>
  </si>
  <si>
    <t>Design/InfoService: UIClient/ISO-25010/Usabiltiy/Accessibility/The interface MUST meet WCAG 3 or later, Level Bronze or better</t>
  </si>
  <si>
    <t>Design/InfoService: UIClient/Qualities/--------------/Privacy/A Data Correction Statement is required being available</t>
  </si>
  <si>
    <t>Design/InfoService: UIClient/Qualities/--------------/Privacy/A Data Use Statement is required being available</t>
  </si>
  <si>
    <t>Design/InfoService: UIClient/Qualities/--------------/Privacy/A Privacy Statement is required being available</t>
  </si>
  <si>
    <t>Design/InfoService: UIClient/Qualities/--------------/Privacy/A Tracking (Cookie) Statement is required being available</t>
  </si>
  <si>
    <t>Design/InfoService: UIClient/Qualities/--------------/Privacy/An OutOut Statement is required being available</t>
  </si>
  <si>
    <t>DESIGN/ALM Service/WORKITEMS/...</t>
  </si>
  <si>
    <t>Design/ALM Service/Security/Integrity/The Code Repository SHOULD be protected by scanning Checkins for Confidential Credentials</t>
  </si>
  <si>
    <t>DESIGN/ALM Service/REPO/...</t>
  </si>
  <si>
    <t>Design/ALM Service/Deployment Automation Instructions/IF Hosted, Service Providers MUST regularly participate in developing and maintaining usable Deployment instructions for Deployment Specialists.</t>
  </si>
  <si>
    <t>Design/ALM Service/Integation Automation Instructions/Service Providers MUST regularly participate in developing and maintaining usable integration instructions for Deployment and Maintenance Specialists.</t>
  </si>
  <si>
    <t>Design/Environments/ISO-25010/Performance/Resource Usage/Environment Components and Services MUST NOT required exceptional sizing (CPU, Memory, Licenses)</t>
  </si>
  <si>
    <t>Design/Environments/ISO-25010/Portability/Installability/Idempotent Resource Creation/IF Hosted, Environment creation MUST be idempotent</t>
  </si>
  <si>
    <t xml:space="preserve">Design/Environments/ISO-25010/Security/Confidentiality/Backups Separated from Runtime Environments (protect against Deletion) </t>
  </si>
  <si>
    <t>Design/Environments/ISO-25010/Security/Confidentiality/Environment based Redirection/Environments MUST protect the system by redirecting HTTP requests to HTTPS equivalent requests (via WAF, Server Host Device Routing rules, etc.)</t>
  </si>
  <si>
    <t>Design/Environments/ISO-25010/Security/Confidentiality/Message Encryption/Message Encryption MAY be used when Channel Encryption is not available.</t>
  </si>
  <si>
    <t>Design/Environments/ISO-25010/Security/Confidentiality/Secure Connections Btwn Devices/Connections between all devices MUST be channel encrypted when technically not possible</t>
  </si>
  <si>
    <t>Design/Environments/ISO-25010/Security/Confidentiality/Secured Environments (ISO-25301,2)/Environments MUST be developed within ISO-25301, Level 2, independently certified locations (eg: Cloud Providers)</t>
  </si>
  <si>
    <t>Design/Environments/ISO-25010/Security/Integrity/Two Separate Environments Min/IF SaaS, two different licensed environments are required: NON-PROD-DATA and PROD-DATA</t>
  </si>
  <si>
    <t>Design/Environments/ISO-25010/Security/Integrity/Use Encrypted Storage (Runtime and Backups)/Encrypt databases and backups using current approaches</t>
  </si>
  <si>
    <t xml:space="preserve">Design/Environments/Tasks/Load Balanced across dynamically allocated horizontally scaling Web Servers </t>
  </si>
  <si>
    <t>10.44:00.90.00 Design/Environments/Qualities/------/Avoid using A249VMs/The use of Virtual Machines (VMs) - a legacy design - to host services requires TWG Excemption</t>
  </si>
  <si>
    <t>10.44:00.90.00 Design/Environments/Qualities/------/Cloud-First/To adhere to National Directives, The Service MUST be hosted on cloud infrastructure</t>
  </si>
  <si>
    <t>10.44:00.90.00 Design/Environments/Qualities/------/Regulation/Standard Clound Services/Exemptions MUST be obtained to use higher than Standard licensing options for Cloud Services</t>
  </si>
  <si>
    <t>10.44:00.90.00 Design/Environments/Qualities/Security/Integrity/PROD-DATA environments MUST be kept separate from TEST-DATA environments</t>
  </si>
  <si>
    <t>DESIGN/DATASEEDING/...</t>
  </si>
  <si>
    <t>Design/InfoService/SeedData/Where available, a Deployment Pipeline Step SHOULD be used to invoke System APIs to seed immutable data, such as categorisation lists, etc.</t>
  </si>
  <si>
    <t>Design/InfoService/SeedData/Where available, Seeding MUST be done via in-code CodeFirst Migrations (Core Reference data) and via a Deployment Pipeline Step invoking APIs (Installation-specific).</t>
  </si>
  <si>
    <t>Design/InfoServiceDataSchemas/Data Schemas MUST be developed as Idempotent Instructions</t>
  </si>
  <si>
    <t>171631.ISO-25010/Reliability/Availability/Expirations/Certificates</t>
  </si>
  <si>
    <t>Detailed/Monitoring Services: Service HTTPS Certificate/The InfoService Certificate's Expiration MUST be monitored to trigger its replacement before it expires.</t>
  </si>
  <si>
    <t>132310.ISO-25010/Maintainability/Analysability/Notifications/Devices</t>
  </si>
  <si>
    <t>Messages/Infrastructure/Running Out of Devices</t>
  </si>
  <si>
    <t>132320.ISO-25010/Maintainability/Analysability/Notifications/Storage</t>
  </si>
  <si>
    <t>Messages/Infrastructure/Running Out of Storage</t>
  </si>
  <si>
    <t>1323S40.ISO-25010/Maintainability/Analysability/Notifications/Traffic</t>
  </si>
  <si>
    <t>Messages/Infrastructure/Atypical Spike in Requests</t>
  </si>
  <si>
    <t>132350.ISO-25010/Maintainability/Analysability/Notifications/Services</t>
  </si>
  <si>
    <t>Messages/Infrastructure/Service Down or Inaccessible</t>
  </si>
  <si>
    <t>132330.ISO-25010/Maintainability/Analysability/Notifications/Certificates</t>
  </si>
  <si>
    <t>Messages/Infrastructure/Certificate requiring Updating</t>
  </si>
  <si>
    <t>415961.Functionality/Completeness/Reporting/Resources/Components/Version &amp; Age</t>
  </si>
  <si>
    <t>Reports/List Components Age (if possible)</t>
  </si>
  <si>
    <t>415951.Functionality/Completeness/Reporting/Resources/Services/Last Accessed</t>
  </si>
  <si>
    <t>Reports/Services connected to, and last accessed</t>
  </si>
  <si>
    <t>415951.Functionality/Completeness/Reporting/Resources/Services/Down Since</t>
  </si>
  <si>
    <t>Reports/List Services Down and Duration (for SLR verification)</t>
  </si>
  <si>
    <t>415610.Functionality/Completeness/Reporting/Sessions/Active</t>
  </si>
  <si>
    <t>Reports/Sessions Active, Activity in last 5, Proportion of Anon to Authenticated</t>
  </si>
  <si>
    <t>415620.Functionality/Completeness/Reporting/Sessions/Operations</t>
  </si>
  <si>
    <t>Reports Sessions to Operations</t>
  </si>
  <si>
    <t>Reports search to abandonment</t>
  </si>
  <si>
    <t>Reports A-B Testings</t>
  </si>
  <si>
    <t>Reports/Users to Look Version Percentages (to Phase Out old ones)</t>
  </si>
  <si>
    <t>Reports/Features to Comments</t>
  </si>
  <si>
    <t>QA/InfoService: ISO-25010: Maintainability: Analysability: Discrete Tests/Test Scripts MUST be defined for each Task within each User Story</t>
  </si>
  <si>
    <t>QA/InfoService: ISO-25010: Maintainability: Analysability: Use Gherkin/Acceptance Test Definitions MUST be defined using Gherkin (GWT) Syntax</t>
  </si>
  <si>
    <t>QA/InfoService:Test Interoperability/Tests for Interoperation MUST be developed</t>
  </si>
  <si>
    <t xml:space="preserve">QA/Objectives: Whole Service Lifecycle/The Objectives of QA MUST include automating QA checks so that they ensure quality long after project development resources are disbanded </t>
  </si>
  <si>
    <t xml:space="preserve">QA/Objectives: Develop Test Definitions/The Objectives of QA MUST include Developing Test Scripts for Encoding into Automation to be run within Automated Delivery Pipelines </t>
  </si>
  <si>
    <t>QA/Constraints: Principles: Dynamic Tests/Testing SHOULD include running Dynamic Tests in the BT Environment</t>
  </si>
  <si>
    <t xml:space="preserve">QA/Constraints: Principles: Focus on this System/Testing of delivery systems MUST exclude responsibility of validating the qualities of dependency systems </t>
  </si>
  <si>
    <t>QA/Constraints: Principles: Prove Connectivity/ System Dependency Connectivitys are Demonstated by Successful Dynamic Tests</t>
  </si>
  <si>
    <t xml:space="preserve">QA/Constraints/AntiPatterns/Repetitive Testing by Hand </t>
  </si>
  <si>
    <t xml:space="preserve">QA/Constraints/AntiPatterns/Security Failure: Access to Full or partial Clear/Obfuscated Data </t>
  </si>
  <si>
    <t xml:space="preserve">QA/Constraints/AntiPatterns/Solving for Current/Lagard Device Limits versus predicted (Lifecycle) Needs </t>
  </si>
  <si>
    <t xml:space="preserve">QA/Constraints/AntiPatterns/Solving for Data Quality, rather than Logic that improves Data Quality </t>
  </si>
  <si>
    <t>QA/InfoService/CONTENT/...</t>
  </si>
  <si>
    <t>QA/InfoService/API-CLIENT/...</t>
  </si>
  <si>
    <t>QA/InfoService/UI-CLIENT/...</t>
  </si>
  <si>
    <t>QA/InfoService: UIClient/Constraints/Constraints: UX AntiPatterns: Matching Paper/Test for Identical Appearance across Devices, Browers and Paper</t>
  </si>
  <si>
    <t>QA/InfoService: UIClient/Constraints/Constraints: UX AntiPatterns: Matching Statistics across Platforms/Test for Identical Statistics across Devices, Browers and Paper</t>
  </si>
  <si>
    <t>QA/InfoService: UIClient/Tasks/TODO: Complete each User Story's Tasks with one or more Acceptance Test Definitions</t>
  </si>
  <si>
    <t>QA/...</t>
  </si>
  <si>
    <t>DELIVERY/...</t>
  </si>
  <si>
    <t>16.4503.00 DEVELOP/InfoService/ENTERPRISE INTEGRATION/API GATEWAY/...</t>
  </si>
  <si>
    <t xml:space="preserve">Driving/Maintenance/Backups </t>
  </si>
  <si>
    <t xml:space="preserve">Driving/Maintenance/Backups/Automated </t>
  </si>
  <si>
    <t xml:space="preserve">Driving/Maintenance/Backups/Encrypted At Rest </t>
  </si>
  <si>
    <t xml:space="preserve">Driving/Maintenance/Backups/Mix of Interval &amp; Full Backups </t>
  </si>
  <si>
    <t xml:space="preserve">Driving/Maintenance/Backups/Over encrypted channels </t>
  </si>
  <si>
    <t xml:space="preserve">Driving/Maintenance/Backups/Regularly Demonstrated/Tested (by default Operations) </t>
  </si>
  <si>
    <t xml:space="preserve">Driving/Maintenance/Backups/Restoration </t>
  </si>
  <si>
    <t xml:space="preserve">Driving/Maintenance/Backups/Restoration/Automated </t>
  </si>
  <si>
    <t xml:space="preserve">Driving/Maintenance/Backups/Restoration/Regularly Tested </t>
  </si>
  <si>
    <t xml:space="preserve">Driving/Maintenance/Backups/Stored in a separate location than PROD-DATA Environment </t>
  </si>
  <si>
    <t>DRIVING/SUPPORT/GEN CUSTOMER/...</t>
  </si>
  <si>
    <t>DRIVING/SUPPORT/BUSINESS/...</t>
  </si>
  <si>
    <t>DRIVING/MAINTENANCE/…</t>
  </si>
  <si>
    <t xml:space="preserve">Driving/Maintenance/Access/Security: No Direct Unaudited Access to Storage </t>
  </si>
  <si>
    <t xml:space="preserve">Driving/Maintenance/Component Version Maintenance </t>
  </si>
  <si>
    <t xml:space="preserve">Driving/Maintenance/Data/Quality </t>
  </si>
  <si>
    <t>DRIVING/OPERATIONS/...</t>
  </si>
  <si>
    <t xml:space="preserve">Driving/Operations/Analysis </t>
  </si>
  <si>
    <t xml:space="preserve">Driving/Operations/Diagnostics </t>
  </si>
  <si>
    <t xml:space="preserve">Driving/Operations/Exporting </t>
  </si>
  <si>
    <t xml:space="preserve">Driving/Operations/Exporting/Media (Collections, Media, Metadata, Permissions, Members) </t>
  </si>
  <si>
    <t xml:space="preserve">Driving/Operations/Exporting/Users &amp; AuthZ (Groups, Membership, Group Roles, Permissions) </t>
  </si>
  <si>
    <t xml:space="preserve">Driving/Operations/Importing </t>
  </si>
  <si>
    <t xml:space="preserve">Driving/Operations/Importing Users &amp; AuthZ (Groups, Users, Roles, Permissions) </t>
  </si>
  <si>
    <t xml:space="preserve">Driving/Operations/Importing/Media (Collections, Media, Metadata, Permissions, Members) </t>
  </si>
  <si>
    <t xml:space="preserve">Driving/Operations/Reporting </t>
  </si>
  <si>
    <t xml:space="preserve">Driving/Operations/Reporting/Assets (Most Viewed) </t>
  </si>
  <si>
    <t xml:space="preserve">Driving/Operations/Reporting/Auditing (Group Summary: Description, Metadata, Members, Resources) </t>
  </si>
  <si>
    <t xml:space="preserve">Driving/Operations/Reporting/Auditing (Record History: Viewers, Editors, Creator, Logical Deletor) </t>
  </si>
  <si>
    <t xml:space="preserve">Driving/Operations/Reporting/Auditing (User Activity History: Operations) </t>
  </si>
  <si>
    <t xml:space="preserve">Driving/Operations/Reporting/Auditing (User Summary: Context, Permissions, Operations, Records) </t>
  </si>
  <si>
    <t xml:space="preserve">Driving/Operations/Reporting/Discovery (Source Paths,Metadata Used) </t>
  </si>
  <si>
    <t xml:space="preserve">Driving/Operations/Reporting/Format/PDF is preferred for print </t>
  </si>
  <si>
    <t xml:space="preserve">Driving/Operations/Reporting/Operations (Search, Abandonment, Consumation) </t>
  </si>
  <si>
    <t xml:space="preserve">Driving/Operations/Reporting/QA (Requests to Delay, Duration, Exceptions) </t>
  </si>
  <si>
    <t xml:space="preserve">Driving/Operations/Reporting/Security/printed reports are unalterable </t>
  </si>
  <si>
    <t xml:space="preserve">Driving/Operations/Reporting/Traffic (UnAuthenticated, Abandonment, Authentication, Authenticated) </t>
  </si>
  <si>
    <t xml:space="preserve">Driving/Operations/Reporting/Usability (Searches, Followed, Abandoned) </t>
  </si>
  <si>
    <t>153100.ISO-25010/Portability/Replaceability/Exportable Information</t>
  </si>
  <si>
    <t>Decommissioning/InfoService/ISO-25010/Compatibility/Interoperability/System Data MUST be digitally prepared for Archives prior to Decomissioning the infoservice.</t>
  </si>
  <si>
    <t xml:space="preserve">Decommissioning/InfoService/ISO-25010/Security/Confidentiality/A digital method of migrating system data (ETL over APIs, etc.) to a replacement system MUST be made available prior to Decomissioning a legacy system </t>
  </si>
  <si>
    <t>183400.ISO-25010/Security/Confidentiality/Decommissioning/Secure Deletion</t>
  </si>
  <si>
    <t xml:space="preserve">Decommissioning/InfoService/ISO-25010/Security/Confidentiality/Hosted Storage Devices MUST be deleted securely when decomissioned </t>
  </si>
  <si>
    <t xml:space="preserve">Decommissioning/InfoService/ISO-25010/Security/Confidentiality/The next appropriate system MUST be Authenticatable and Permitted to export data via API prior to Decommissioning a legacy system </t>
  </si>
  <si>
    <t>DECOMMISSIONING/...</t>
  </si>
  <si>
    <t>Design/InfoServiceLegacyDataMigration/Constraints/AntiPattern/Migration Data SHOULD not be ingested directly into system storage - use validated APIs instead when available</t>
  </si>
  <si>
    <t>DIRECTION/...</t>
  </si>
  <si>
    <t>DESIGN/LEGACYDATAMIGRATION/...</t>
  </si>
  <si>
    <t>10.00:00.00 DESIGN /Design: High LevelComponents, Info &amp; Delivery Design/A High Level Design Proposition of components, information, development &amp; delivery MUST be provided for review and collaborative critique, correction and completion</t>
  </si>
  <si>
    <t>Design/LegacyData/Qualities/ISO-35012/---/Correctness/Validate Migrations/Migration Data MUST not be bypass validation and ingested directly into system storage - use validated system APIs</t>
  </si>
  <si>
    <t>DESIGN/InfoService/RESOURCES/…</t>
  </si>
  <si>
    <t>TEAM/DEVELOPMENT/Management Roles MUST assemble a Team of individuals capable of filling the Roles required to deliver expected deliverables and service.</t>
  </si>
  <si>
    <t>DESIGN/ALM Service/DEPLOYMENT PIPELINES/...</t>
  </si>
  <si>
    <t xml:space="preserve">/Dependencies: Team Members: Constraints: Team AntiPatterns/Support Developers MUST have current capabilities, patterns and approaches </t>
  </si>
  <si>
    <t xml:space="preserve">Direction/Phases/Initiation/Deliverables/Team Constraints: AntiPatterns: Devs != Design Lead/Developer Roles SHOULD NOT perform as the Solution Architect Role </t>
  </si>
  <si>
    <t xml:space="preserve">Direction/Phases/Initiation/Deliverables/Team Constraints: Patterns: Common Induction/Team Members MUST read Induction Material defining Outcomes, Obligations, Processes to get there As a Service Client team </t>
  </si>
  <si>
    <t xml:space="preserve">Direction/Phases/Initiation/Deliverables/Team Constraints: Patterns: Dev Lead Required/Team MUST include a Development Team Lead Role </t>
  </si>
  <si>
    <t xml:space="preserve">Direction/Phases/Initiation/Deliverables/Team Constraints: Patterns: Hire on Capability/Team members SHOULD be hired for best Capabilities rather than Social Fit to decrease delivery risks </t>
  </si>
  <si>
    <t xml:space="preserve">Direction/Phases/Initiation/Deliverables/Team Constraints: Patterns: Members may have Multipe Roles/Small Teams MAY assign multiple Roles to a single qualified Person </t>
  </si>
  <si>
    <t xml:space="preserve">Direction/Phases/Initiation/Deliverables/Team Constraints: Patterns: QA Lead Required/Team MUST include a QA Team Lead Role </t>
  </si>
  <si>
    <t xml:space="preserve">Direction/Phases/Initiation/Deliverables/Team Constraints: Patterns: Work Orchestrator Required/Team MUST include a Role (eg: Scrum Master) to organise workitem prioritsation, allocation and progress </t>
  </si>
  <si>
    <t>Direction/Phases/Initiation/Deliverables/Team Constriants: AntiPatterns: SMEs are not BAs/SMEs MUST NOT be employed as Stakeholder Analysts</t>
  </si>
  <si>
    <t xml:space="preserve">Direction/Phases/Initiation/Deliverables/Team Cosntraints: AntiPatterns: Hire Devs Last/Team Development hiring MUST NOT start with Developers </t>
  </si>
  <si>
    <t>Direction/Phases/Initiation/Deliverables/Team/Members/BAs are Stakeholder Analysts/Business Analysts SHOULD be referred to as Stakeholder Analyst to not embed bias towards one Stakeholder Group</t>
  </si>
  <si>
    <t xml:space="preserve">Direction/Phases/Initiation/Deliverables/Team/Members/Capabilities </t>
  </si>
  <si>
    <t xml:space="preserve">Direction/Phases/Initiation/Deliverables/Team|Members: Team MUST include a Solution Architect Role to design &amp; describe how the Service will be delivered </t>
  </si>
  <si>
    <t xml:space="preserve">Direction/Phases/Initiation/Deliverables/Team|Members: Team MUST include an Automated Infrastructure, Pipeline &amp; Delivery Specialist Role </t>
  </si>
  <si>
    <t xml:space="preserve">Direction/Phases/Initiation/Deliverables/Team|Members: Team MUST include Development Roles for converting Stakeholder anaylst defined User story tasks into Automation </t>
  </si>
  <si>
    <t xml:space="preserve">Direction/Phases/Initiation/Deliverables/Team|Members: Team MUST include Development Roles for converting Test Scripts into Automation </t>
  </si>
  <si>
    <t xml:space="preserve">Direction/Phases/Initiation/Deliverables/Team|Members: Team MUST include Development Roles for developing Infrastructure as Code for automating the development of Environments </t>
  </si>
  <si>
    <t xml:space="preserve">Direction/Phases/Initiation/Tasks/Provisioning/Common Services/ALM Service/Developed Git Repository </t>
  </si>
  <si>
    <t xml:space="preserve">Direction/Phases/Initiation/Tasks/Provisioning/Common Services/ALM Service|A Delivery Pipelines MUST be developed to deploy Environments, Infrastructure, Components, Configuration, Seed data, Migration Data </t>
  </si>
  <si>
    <t xml:space="preserve">Direction/Phases/Initiation/Tasks/Provisioning/Common Services/ALM Service|Delivery Pipelines MUST include multiple types of QA Testing (Unit Testing, Behavioural) </t>
  </si>
  <si>
    <t xml:space="preserve">Direction/Phases/Initiation/Tasks/Provisioning/Common Services/ALM Service|Projects MUST be initialized with an ALM based Documentation cability (for a Technical Wiki) </t>
  </si>
  <si>
    <t>Direction/Phases/Initiation/Tasks/Provisioning/Common Services/ALM Service|Projects MUST be initialized with an ALM based Project Space A46</t>
  </si>
  <si>
    <t>Direction/Phases/Initiation/Tasks/Provisioning/Common Services/ALM Service|Projects MUST be provisioned with a Dynamic Project Dashboard to Management roles as to functionality quality, progress, etc.</t>
  </si>
  <si>
    <t xml:space="preserve">Direction/Phases/Initiation/Tasks/Provisioning/Common Services/ALM Service|Projects MUST be provisioned with ALM based delivery pipelines which deploy System Configuration (eg: via APIs) </t>
  </si>
  <si>
    <t xml:space="preserve">Direction/Phases/Initiation/Tasks/Provisioning/Common Services/ALM Service|Projects MUST be provisioned with an ALM based Project Workitem Backlog </t>
  </si>
  <si>
    <t xml:space="preserve">Direction/Phases/Initiation/Tasks/Provisioning/Common Services/ALM Service|Projects MUST be provisioned with an ALM based Sprint Backlogs to show Defined, Sized, Ready Workitems </t>
  </si>
  <si>
    <t xml:space="preserve">Direction/Phases/Initiation/Tasks/Provisioning/Common Services/Team Member Comms (Teams, etc.) </t>
  </si>
  <si>
    <t xml:space="preserve">Direction/Phases/Initiation/Tasks/Provisioning/Hosting Environments/Subscription </t>
  </si>
  <si>
    <t>Direction/Phases/Initiation/Tasks/Provisioning/Member/Devices/Development Member Devices/Project *Development* Members MUST be provisioned with appropriately capable physical development Devices to be efficient</t>
  </si>
  <si>
    <t xml:space="preserve">Direction/Phases/Initiation/Tasks/Provisioning/Member/Devices/Environmental Access/All Project Member Devices MUST have access to NON-PROD-DATA environments </t>
  </si>
  <si>
    <t xml:space="preserve">Direction/Phases/Initiation/Tasks/Provisioning/Member/Devices/Home Work/Issued Devices MUST be amply capable of efficient remote work from home </t>
  </si>
  <si>
    <t xml:space="preserve">Direction/Phases/Initiation/Tasks/Provisioning/Member/Devices/Member Devices/Project Members MUST be provisioned with appropriately capable physical development Devices </t>
  </si>
  <si>
    <t>Direction/Phases/Initiation/Tasks/Provisioning/Member/Devices/No Environmental Access/All Project Member Devices MUST NOT have access to PROD-DATA environments (the Deployment Service Agent does it for you in a secure manner)</t>
  </si>
  <si>
    <t xml:space="preserve">Direction/Phases/Initiation/Tasks/Provisioning/Member/Licenses/ </t>
  </si>
  <si>
    <t xml:space="preserve">Direction/Phases/Initiation/Tasks/Provisioning/Member/Licenses|All Project Development Members MUST be provisioned with Licenses permitting access to the Project ALM code repositories and build pipelines </t>
  </si>
  <si>
    <t xml:space="preserve">Direction/Phases/Initiation/Tasks/Provisioning/Member/Licenses|All Project Members MUST be provisioned with Developer Tool (eg: IDEs, Visual Studio) Licenses </t>
  </si>
  <si>
    <t>Direction/Phases/Initiation/Tasks/Provisioning/Member/Licenses|All Project Members MUST be provisioned with Licenses permitting access to the Project ALM documentation and workitems</t>
  </si>
  <si>
    <t xml:space="preserve">Direction/Phases/Initiation/Tasks/Provisioning/Member/Licenses|All Project Members MUST be provisioned with Licenses permitting Cloud Environment access </t>
  </si>
  <si>
    <t xml:space="preserve">Direction/Phases/Initiation/Tasks/Provisioning/Members/Accounts/Has Membership to Interteam Communication Service </t>
  </si>
  <si>
    <t>12128000.ISO-25010/Functionality/Completeness/Completeness/Chron Execution Management</t>
  </si>
  <si>
    <t>For Maintainability objectives, the Service MUST be capable of managing Chron Scheduled Tasks</t>
  </si>
  <si>
    <t>DEVELOP/...</t>
  </si>
  <si>
    <t>C00</t>
  </si>
  <si>
    <t>PHASE</t>
  </si>
  <si>
    <t>DELIVERABLE</t>
  </si>
  <si>
    <t>CONCERN.ID</t>
  </si>
  <si>
    <t>UID</t>
  </si>
  <si>
    <t>CONCERN.UNIQUEPATH</t>
  </si>
  <si>
    <t>TITLE</t>
  </si>
  <si>
    <t>RATIONALE</t>
  </si>
  <si>
    <t>NOTES</t>
  </si>
  <si>
    <t>RESPONSIBLE</t>
  </si>
  <si>
    <t>BENEFITING</t>
  </si>
  <si>
    <t>X02.01</t>
  </si>
  <si>
    <t>= CONCATENATE( MID([@PHASE],2,3), MID([@DELIVERABLE],2,4) )</t>
  </si>
  <si>
    <t>Concern/Title</t>
  </si>
  <si>
    <t>Concern:</t>
  </si>
  <si>
    <t>C02</t>
  </si>
  <si>
    <t>Governance/Sponsor: Expectations Alignment</t>
  </si>
  <si>
    <t>To decrease risk of not meeting sponsor's expectations Governance MUST track alignment with Sponsor's Strategic Objectives</t>
  </si>
  <si>
    <t>C04</t>
  </si>
  <si>
    <t>Governance/Organisation: Information Aignment</t>
  </si>
  <si>
    <t>To decrease risk of low value, Governance MUST track design and implementation alignment with Organisation Information Asset Strategies and Objectives</t>
  </si>
  <si>
    <t>C05</t>
  </si>
  <si>
    <t>Governance/Organisation: System Architecture Alignment</t>
  </si>
  <si>
    <t>To decrease risk of low value, Governance MUST track design and implementation alignment against Organisation system procurement and implementation strategies and objectives.</t>
  </si>
  <si>
    <t>C06</t>
  </si>
  <si>
    <t>Governance/Organisation: Obligations Alignment</t>
  </si>
  <si>
    <t>To decrease risk of delays, Governance MUST track design and implementation against known inter-departmental, partner, sector, legal obligations (Security, Privacy, Transparency, Auditability, Archives, Financial Probity)</t>
  </si>
  <si>
    <t>C63.01.01</t>
  </si>
  <si>
    <t>C63.01</t>
  </si>
  <si>
    <t>Direction/Constraints: Obligations: ATO Required</t>
  </si>
  <si>
    <t>To decrease project failure risk, PMs MUST obtain an Authority to Operate (ATO) in order to publish to PROD-DATA environments (which requires C&amp;A &amp; MUST be done within first 60 days)</t>
  </si>
  <si>
    <t>C63.02</t>
  </si>
  <si>
    <t>Direction/Constraints: Obligations: Progress Reporting</t>
  </si>
  <si>
    <t xml:space="preserve">To decrease project failure risk, PMs MUST regularly report to Governance Stakeholders on Qualities, Functionality &amp; Workitem progress, Velocity, Rework %, Trending ETA </t>
  </si>
  <si>
    <t>C63.03</t>
  </si>
  <si>
    <t>Direction/Constraints: Obligations: Probity</t>
  </si>
  <si>
    <t>To decrease project failure risk, PMs SHOULD -- Unless Exempted -- commission independent 3rd parties to report on project's probity obligations</t>
  </si>
  <si>
    <t>C63.11</t>
  </si>
  <si>
    <t>Direction/Constraints: Obligcations: Deliverables</t>
  </si>
  <si>
    <t>To decrease project failure risk, PMs MUST NOT fall into the trap of thinking that the InfoService is the key &amp; only Deliverable.There are MANY (over 100).</t>
  </si>
  <si>
    <t>C63.12</t>
  </si>
  <si>
    <t>Direction/Constraints: Planning: Key Deliverables</t>
  </si>
  <si>
    <t>To decrease project failure risk, PMs MUST manage different sets of deliverables: WorkItem Management, Functional and Quality Requirements, Architecture Description, Automated Delivery Pipeline, InfoService, InfoService Client, Endorsement, Documentation</t>
  </si>
  <si>
    <t>C63.13</t>
  </si>
  <si>
    <t>Direction/Constraints: Planning: Iterative Phases</t>
  </si>
  <si>
    <t>To decrease project failure risk, PMs MUST manage an iterative set of Phases: Discovery, Definition, Design, Delivery-Development, System-Development, Data-Development, Deployment, Maintenance, Driving/Operating, Decommissioning</t>
  </si>
  <si>
    <t>C63.14</t>
  </si>
  <si>
    <t>Direction/Constraints: Planning: All Stakeholders Functionality</t>
  </si>
  <si>
    <t>To decrease project failure risk, PMs MUST ensure functionality desires are collected from all stakeholders: Infrastructure, Delivery, Monitoring, Maintenance, Operating, Supporting, before Business Support &amp; Business Users</t>
  </si>
  <si>
    <t>C63.15</t>
  </si>
  <si>
    <t>Direction/Constraints: Planning: for Full Service Lifespan</t>
  </si>
  <si>
    <t xml:space="preserve">To decrease project failure risk, PMs MUST plan Service Delivery based on Full Service Lifespan durations rather than only short term Delivery considerations </t>
  </si>
  <si>
    <t>C63.21</t>
  </si>
  <si>
    <t>Direction/Constraints: Budgeting: Restrained Capex</t>
  </si>
  <si>
    <t>To decrease project failure risk, PMs SHOULD use no more than 33% of available budget on Capex investment on service initial development &amp; delivery</t>
  </si>
  <si>
    <t>C63.22</t>
  </si>
  <si>
    <t>Direction/Constraints: Budgeting: Sufficient Opex</t>
  </si>
  <si>
    <t>To decrease project failure risk, PMs SHOULD put aside no less than 60% of available Budget as Opex for ongoing Operations and continual Improvement</t>
  </si>
  <si>
    <t>C63.31</t>
  </si>
  <si>
    <t xml:space="preserve">Direction/Constraints: Reporting: Progress </t>
  </si>
  <si>
    <t xml:space="preserve">To decrease project failure risk, PMs MUST report WorkItem Progress in terms of WorkItems completed, to known WorkItems </t>
  </si>
  <si>
    <t>C63.32</t>
  </si>
  <si>
    <t xml:space="preserve">Direction/Constraints: Reporting: QA </t>
  </si>
  <si>
    <t>To decrease project failure risk, PMs MUST report Quality Assurance Progress in terms of Tests passed in each of the ISO-25010 Categories</t>
  </si>
  <si>
    <t>C63.33</t>
  </si>
  <si>
    <t xml:space="preserve">Direction/Constraints: Reporting: Risk Register </t>
  </si>
  <si>
    <t xml:space="preserve">To decrease project failure risk, PMs MUST report as to items on the Project's Risk Register </t>
  </si>
  <si>
    <t>C63.34</t>
  </si>
  <si>
    <t xml:space="preserve">Direction/Constraints: Reporting: Code Coverage </t>
  </si>
  <si>
    <t xml:space="preserve">To decrease project failure risk, PMs MUST report QA Progress in terms of Code Coverage </t>
  </si>
  <si>
    <t>C63.35</t>
  </si>
  <si>
    <t xml:space="preserve">Direction/Constraints: Reporting: C&amp;A and Endorsements </t>
  </si>
  <si>
    <t>To decrease project failure risk, PMs MUST report Endorsement Progress in terms of C&amp;A and Endorsements</t>
  </si>
  <si>
    <t>C63.41</t>
  </si>
  <si>
    <t>Direction/Constraints: Resourcing: Blackout Periods</t>
  </si>
  <si>
    <t>To decrease project failure risk, PMs MUST take into account Organisation Christmas &amp; New Year Gray &amp; Black Out Periods when planning resourcing</t>
  </si>
  <si>
    <t>C63.42</t>
  </si>
  <si>
    <t>Direction/Constraints: Resourcing: Scholastic Schedules</t>
  </si>
  <si>
    <t>To decrease project failure risk, PMs MUST take into account of scholastic holidays -- which traditionally affects Resource availability -- when planning resourcing</t>
  </si>
  <si>
    <t>C63.51</t>
  </si>
  <si>
    <t>Direction/Constraints: Team: Security Training</t>
  </si>
  <si>
    <t>To decrease project failure risk, PMs MUST ensure Team Members are trained in Security Considerations (Security during Communications, Production, at Rest, In Transit, the purpose of Auditing &amp; Operations Attribution</t>
  </si>
  <si>
    <t>C63.52</t>
  </si>
  <si>
    <t>Direction/Constraints: Team: Hire Devs Last</t>
  </si>
  <si>
    <t>To decrease project failure risk, PMs MUST NOT hire Development Resources hired before Objectives are defined (hire them last, after Objectives, Definition, QA and Environments are sorted out).</t>
  </si>
  <si>
    <t>C63.61</t>
  </si>
  <si>
    <t>Direction/Constraints: Sequencing: Release Cadence</t>
  </si>
  <si>
    <t>To decrease project failure risk, PMs MUST set a cadence of new releases to end users no longer than 2 weeks (forcing automation and best practices)</t>
  </si>
  <si>
    <t>C63.62</t>
  </si>
  <si>
    <t>Direction/Constraints: Sequencing: Hold back Development</t>
  </si>
  <si>
    <t>To decrease project failure risk, PMs MUST NOT permit Developers to start on UserStories before Test Analysts have defined Tests for Tasks</t>
  </si>
  <si>
    <t>C63.63</t>
  </si>
  <si>
    <t xml:space="preserve">Direction/Constraints: Sequencing: Running Dev &amp; QA Def in parallel </t>
  </si>
  <si>
    <t>To decrease project failure risk, PMs MUST NOT permit Test Definition &amp; Development be done in parallel - only sequentially</t>
  </si>
  <si>
    <t>C63.64</t>
  </si>
  <si>
    <t>Direction/Constraints: Sequencing: Estimation</t>
  </si>
  <si>
    <t>To decrease project failure risk, PMs MUST know that Effort cannot be successfully estimated without it being broken down in Tasks, and estimated by the person who will do the work.</t>
  </si>
  <si>
    <t>C63.65</t>
  </si>
  <si>
    <t>Direction/Constraints: Sequencing: GoLive in 60 days</t>
  </si>
  <si>
    <t>To decrease project failure risk, PMs MUST expect a first release of a rudimentary but secure system to end users within 60 days of project start</t>
  </si>
  <si>
    <t>C65.01</t>
  </si>
  <si>
    <t>Discovery/Deployment Services: Query SMEs</t>
  </si>
  <si>
    <t xml:space="preserve">To increase Functionality/Completeness, Stakeholder Analyst Roles MUST query the Functional &amp; Quality Desires of Development SME Roles </t>
  </si>
  <si>
    <t>C65.02</t>
  </si>
  <si>
    <t>Discovery/Stakeholder Analyst Services: Stakeholder Map</t>
  </si>
  <si>
    <t>To increase Functionality/Completeness, Stakeholder Analyst Roles MUST manage the development of a Stakeholder Map and use it to query all stakeholders</t>
  </si>
  <si>
    <t>C65.03</t>
  </si>
  <si>
    <t>Discovery: Stakeholder Analyst Services: Constraints: Obligations</t>
  </si>
  <si>
    <t>To increase Functionality/Completeness, Stakeholder Analyst Roles MUST investigate &amp; define the Legal, Regulatory, Policy, Agreement, Principles &amp; Framework Constraints within which Desired functionality must operate</t>
  </si>
  <si>
    <t>C65.04</t>
  </si>
  <si>
    <t>Discovery: Stakeholder Analyst Services: Constraints: Scenarios Based Discovery &amp; Testing</t>
  </si>
  <si>
    <t>To increase Functionality/Completeness, Stakeholder Analyst Roles MUST NOT source Requirements from Migration or other Production Data Sources -- but develop them to meet specific *Logical* Use Cases.</t>
  </si>
  <si>
    <t>C65.05</t>
  </si>
  <si>
    <t>Discovery: Stakeholder Analyst Services: Constraints: Don't Develop from User Stories</t>
  </si>
  <si>
    <t xml:space="preserve">To increase Functionality/Completeness, Developers MUST NOT develop from User Stories: rather, they MUST develop from User Story Tasks </t>
  </si>
  <si>
    <t>C65.06</t>
  </si>
  <si>
    <t>Discovery: QA Services: Acceptance Test Format</t>
  </si>
  <si>
    <t xml:space="preserve">To increase Functionality/Completeness, Acceptance Tests SHOULD be defined in Gherkin (GWT) Syntax unless agreed otherwise </t>
  </si>
  <si>
    <t>C65.07</t>
  </si>
  <si>
    <t>Discovery: C&amp;A Servicews: Query SMEs</t>
  </si>
  <si>
    <t xml:space="preserve">To increase Functionality/Completeness, Stakeholder Analyst Roles MUST query the Functional &amp; Quality Desires of C&amp;A Service Role SMEs </t>
  </si>
  <si>
    <t>C65.08</t>
  </si>
  <si>
    <t>Discovery: Monitoring Services: Query SMEs</t>
  </si>
  <si>
    <t xml:space="preserve">To increase Functionality/Completeness, Stakeholder Analyst Roles MUST query the Functional &amp; Quality Desires of Monitoring Services (Security) SME Roles </t>
  </si>
  <si>
    <t>C65.09</t>
  </si>
  <si>
    <t>Discovery: Business Service: Query Consumer SMEs</t>
  </si>
  <si>
    <t>To increase Functionality/Completeness, Stakeholder Analyst Roles MUST query the Functional &amp; Quality Desires of Business Consumers (Users) SME Roles</t>
  </si>
  <si>
    <t>C65.10</t>
  </si>
  <si>
    <t>Discovery: Customer Support Services: Query SMEs</t>
  </si>
  <si>
    <t xml:space="preserve">To increase Functionality/Completeness, Stakeholder Analyst Roles MUST query the Functional &amp; Quality Desires of Support Services Role SMEs </t>
  </si>
  <si>
    <t>C65.11</t>
  </si>
  <si>
    <t>Discovery: Training Services: Query SMEs</t>
  </si>
  <si>
    <t xml:space="preserve">To increase Functionality/Completeness, Stakeholder Analyst Roles MUST query the Functional &amp; Quality Desires of Training Services Role SMEs </t>
  </si>
  <si>
    <t>C65.12</t>
  </si>
  <si>
    <t>Discovery: Operations Services: Query SMEs</t>
  </si>
  <si>
    <t xml:space="preserve">To increase Functionality/Completeness, Stakeholder Analyst Roles MUST query the Functional &amp; Quality Desires of Operation Services Role SMEs </t>
  </si>
  <si>
    <t>C65.13</t>
  </si>
  <si>
    <t>Discovery: Data Service: Query SMEs</t>
  </si>
  <si>
    <t xml:space="preserve">To increase Functionality/Completeness, Stakeholder Analyst Roles MUST query the Functional &amp; Quality Desires of Data Services Role SMEs </t>
  </si>
  <si>
    <t>C65.14</t>
  </si>
  <si>
    <t>Discovery: Design Services: Query SMEs</t>
  </si>
  <si>
    <t xml:space="preserve">To increase Functionality/Completeness, Stakeholder Analyst Roles MUST query the Functional &amp; Quality Desires of Design Services Role SMEs </t>
  </si>
  <si>
    <t>Discovery: Maintenance Services: Query SMEs</t>
  </si>
  <si>
    <t xml:space="preserve">To increase Functionality/Completeness, Stakeholder Analyst Roles MUST query the Functional &amp; Quality Desires of Infrastructure Services Role SMEs </t>
  </si>
  <si>
    <t>C65.15</t>
  </si>
  <si>
    <t xml:space="preserve">To increase Functionality/Completeness, Stakeholder Analyst Roles MUST query the Functional &amp; Quality Desires of Business Support Services Role SMEs </t>
  </si>
  <si>
    <t>C65.16</t>
  </si>
  <si>
    <t xml:space="preserve">To increase Functionality/Completeness, Stakeholder Analyst Roles MUST query the Functional &amp; Quality Desires of Maintenance Services Role SMEs </t>
  </si>
  <si>
    <t>C65.17</t>
  </si>
  <si>
    <t>Discovery: Data Warehouse Services: Query SMEs</t>
  </si>
  <si>
    <t xml:space="preserve">To increase Functionality/Completeness, Stakeholder Analyst Roles MUST query the Functional &amp; Quality Desires of Data Warehouse Services Role SMEs </t>
  </si>
  <si>
    <t>C65.18</t>
  </si>
  <si>
    <t>Discovery: Data Archiving Services: Query SMEs</t>
  </si>
  <si>
    <t>To increase Functionality/Completeness, Stakeholder Analyst Roles MUST query the Functional &amp; Quality Desires of Data Archiving SME Roles</t>
  </si>
  <si>
    <t>C65.19</t>
  </si>
  <si>
    <t>Discovery: Server Development Services: Query SMEs</t>
  </si>
  <si>
    <t xml:space="preserve">To increase Functionality/Completeness, Stakeholder Analyst Roles MUST query the Functional &amp; Quality Desires of Server Development Services Role SMEs </t>
  </si>
  <si>
    <t>C65.20</t>
  </si>
  <si>
    <t>Discovery: Public Users: Query SMEs</t>
  </si>
  <si>
    <t>To increase Functionality/Completeness, Stakeholder Analyst Roles MUST query the Functional &amp; Quality Desires of Public Users SME Roles</t>
  </si>
  <si>
    <t>C65.21</t>
  </si>
  <si>
    <t>Discovery: Business Service: Query SMEs</t>
  </si>
  <si>
    <t>To increase Functionality/Completeness, Stakeholder Analyst Roles MUST query the Functional &amp; Quality Desires of Business Services Role SMEs</t>
  </si>
  <si>
    <t>C65.22</t>
  </si>
  <si>
    <t>Discovery/Stakeholder Analyst Services: All Stakeholders, Full Lifecycle</t>
  </si>
  <si>
    <t>To increase Functionality/Completeness, Stakeholder Analyst Roles MUST discover the Desires of All Stakeholders involved over the full Service lifecycle</t>
  </si>
  <si>
    <t>C65.23</t>
  </si>
  <si>
    <t>Discovery/Stakeholder Analyst Services: All Stakeholders</t>
  </si>
  <si>
    <t>To increase Functionality/Completeness, Stakeholder Analyst Roles MUST query the Functional &amp; Quality Desires by ALL Stakeholders involved over the Services WHOLE Service Lifetime</t>
  </si>
  <si>
    <t>C65.24</t>
  </si>
  <si>
    <t>Discovery/Stakeholder Analyst Services: Constraints: ISO-29148</t>
  </si>
  <si>
    <t>To increase Functionality/Completeness, Stakeholder Analyst Roles MUST adhere to the role's expected Constraints -- including following ISO-29148 Guidance</t>
  </si>
  <si>
    <t>C67..31</t>
  </si>
  <si>
    <t>Deliverables: Reporting: Risks</t>
  </si>
  <si>
    <t>To permit insight by governance, Filterable, Sortable reporting of Risks to delivery MUST be deliverable on demand</t>
  </si>
  <si>
    <t>C67..32</t>
  </si>
  <si>
    <t>Deliverables: Reporting: Issues</t>
  </si>
  <si>
    <t>To permit insight by governance, Filterable, Sortable reporting of Current development &amp; delivery Issues MUST be deliverable on demand</t>
  </si>
  <si>
    <t>C67..33</t>
  </si>
  <si>
    <t>Deliverables: Reporting: Technical Debt</t>
  </si>
  <si>
    <t>To permit insight by governance, Filterable, Sortable reporting of Technical Debt accruing to achieve delivery of Quality and Functionality MUST be deliverable on demand.</t>
  </si>
  <si>
    <t>C67..37</t>
  </si>
  <si>
    <t>Deliverables: Reporting: Resources</t>
  </si>
  <si>
    <t>To permit insight by governance, Filterable, Sortable reporting of Resources Budgeted, Consumed, Projected to completion MUST be deliverable on demand</t>
  </si>
  <si>
    <t>C67..34</t>
  </si>
  <si>
    <t>Deliverables: Reporting: Effort</t>
  </si>
  <si>
    <t>To permit insight by governance, Filterable, Sortable reporting of known WorkItems, completed/todo, rework %, velocity MUST be deliverable on demand</t>
  </si>
  <si>
    <t>C67..36</t>
  </si>
  <si>
    <t>Deliverables: Reporting: Functionality</t>
  </si>
  <si>
    <t>To permit insight by governance, Filterable, Sortable reporting of Workitems to do/completed, by Stakeholder group, MUST be deliverable on demand</t>
  </si>
  <si>
    <t>C67..35</t>
  </si>
  <si>
    <t>Deliverables: Reporting: Quality</t>
  </si>
  <si>
    <t>To permit insight by governance, Filterable, Sortable reporting of Quality categories &amp; coverage MUST be deliverable on demand</t>
  </si>
  <si>
    <t>C67..11.1</t>
  </si>
  <si>
    <t>Deliverables: Documentation: Development: Design Guide</t>
  </si>
  <si>
    <t>The Development Documentation MUST contain sections describing the UX's structure, styling, flows, resources and media guidelines</t>
  </si>
  <si>
    <t>C67..11.2</t>
  </si>
  <si>
    <t>Deliverables: Documentation: Development: Development Guide</t>
  </si>
  <si>
    <t>The Development Documentation MUST contain sections describing Design, Development, Integration and QA Patterns, Standards, Processes</t>
  </si>
  <si>
    <t>C67..12.1</t>
  </si>
  <si>
    <t>Deliverables: Documentation: Maintenance: Infrastructure</t>
  </si>
  <si>
    <t>The Maintainance Documentation MUST contain a section describing automated idempotent creation of any Environments required.</t>
  </si>
  <si>
    <t>C67..12.2</t>
  </si>
  <si>
    <t>Deliverables: Documentation: Maintenance: Integration</t>
  </si>
  <si>
    <t>The Maintenance Documentation MUST contain a section describing the 3rd party services the service is integrated with</t>
  </si>
  <si>
    <t>C67..12.3</t>
  </si>
  <si>
    <t>Deliverables: Documentation: Maintenance: Deployment</t>
  </si>
  <si>
    <t>The Operations Documentation MUST contain a section describing how to deploy the service using automation</t>
  </si>
  <si>
    <t>C67..12.4</t>
  </si>
  <si>
    <t>Deliverables: Documentation: Maintenance: Configuration</t>
  </si>
  <si>
    <t>The Operations Documentation MUST contain a section describing the configuration options that can be configured by automated deployment</t>
  </si>
  <si>
    <t>C67..12.5</t>
  </si>
  <si>
    <t>Deliverables: Documentation: Maintenance: Backup &amp; Restoration</t>
  </si>
  <si>
    <t>The Maintenance Documentation MUST contain a section describing Automated Backup &amp; Restoration configuration and operation</t>
  </si>
  <si>
    <t>C67..12.6</t>
  </si>
  <si>
    <t>Deliverables: Documentation: Maintenance: DR</t>
  </si>
  <si>
    <t>The Maintenance Documtenation MUST contain a Disaster Recovery (DR) Section</t>
  </si>
  <si>
    <t>C67..13.1</t>
  </si>
  <si>
    <t>Deliverables: Documentation: Operations: Monitoring</t>
  </si>
  <si>
    <t>The Operations Documentation MUST contain a section describing how to configure monitoring and alerting of atypical System Resources usage, User traffic, Authorisation changes, Operations performed.</t>
  </si>
  <si>
    <t>C67..13.2</t>
  </si>
  <si>
    <t>Deliverables: Documentation: Operations: Onboarding</t>
  </si>
  <si>
    <t>The Operations Documentation MUST contain a section describing how to Onboard / Offboard Users</t>
  </si>
  <si>
    <t>C67..13.3</t>
  </si>
  <si>
    <t>Deliverables: Documentation: Operations: Authorisation</t>
  </si>
  <si>
    <t>The Operations Documentation MUST contain a section describing how to Authorise Users</t>
  </si>
  <si>
    <t>C67..13.4</t>
  </si>
  <si>
    <t>Deliverables: Documentation: Operations: Assistance</t>
  </si>
  <si>
    <t>The Operations Documentation MUST contain a section describing how to provide Assistance to end users</t>
  </si>
  <si>
    <t>C67..18</t>
  </si>
  <si>
    <t>Deliverables: Documentation: Maintenance: OOP</t>
  </si>
  <si>
    <t>An XXX document MUST be developed to provide to the Maintenance and Operations Services for Endorsement at CAB</t>
  </si>
  <si>
    <t>C67..19</t>
  </si>
  <si>
    <t>Deliverables: Documentation: Supporting: SSP</t>
  </si>
  <si>
    <t>An XXX document MUST be developed to provide to the Support Services for Endorsement at CAB</t>
  </si>
  <si>
    <t>C67..11.3</t>
  </si>
  <si>
    <t>Deliverables: Documentation: Development: Data Migration Guide</t>
  </si>
  <si>
    <t>The Development Documentation MUST contain sections describing how Legacy Data is/was imported</t>
  </si>
  <si>
    <t>C67..13.5</t>
  </si>
  <si>
    <t>Deliverables: Documentation: Operations: Training Guide</t>
  </si>
  <si>
    <t>The Operations Documentation MUST describe how to Reset &amp; Prepare the Training Environment in order to train new users and partners</t>
  </si>
  <si>
    <t>C67..14.2</t>
  </si>
  <si>
    <t>Deliverables: Documentation: Business: Continuity Plan</t>
  </si>
  <si>
    <t>The Business Operations Documentation MUST describe how to continue to provide a Service if the system is unavailable</t>
  </si>
  <si>
    <t>C67..14.1</t>
  </si>
  <si>
    <t>Deliverables: Documentation: Business: Change Management</t>
  </si>
  <si>
    <t>The Business Operations Documentation MUST describe how to roll out Change to Users</t>
  </si>
  <si>
    <t>C67..22</t>
  </si>
  <si>
    <t>Deliverables: Environments: Integration</t>
  </si>
  <si>
    <t>To permit the development of shared services (potentially saving licensing costs) a Common Shared NO-DATA automation environment must be developed by idempotent automation</t>
  </si>
  <si>
    <t>C67..21</t>
  </si>
  <si>
    <t>Deliverables: Environments: Secure Data</t>
  </si>
  <si>
    <t>To permit secure confidential and production backup storage, a separate environment is required, inaccessible by Team Members (only automation service accounts)</t>
  </si>
  <si>
    <t>C67..23</t>
  </si>
  <si>
    <t>Deliverables: Environments: BT</t>
  </si>
  <si>
    <t>To automatically dynamically QA any deployable service, a Build Test (BT) TEST-DATA environment, MUST be developed by idempotent automation</t>
  </si>
  <si>
    <t>C67..24</t>
  </si>
  <si>
    <t>Deliverables: Environments: ST</t>
  </si>
  <si>
    <t>To permit exploratory QA, a System Test (ST) TEST-DATA environment MUST be developed by idempotent automation</t>
  </si>
  <si>
    <t>C67..25</t>
  </si>
  <si>
    <t>Deliverables: Environments: UT</t>
  </si>
  <si>
    <t>To permit acceptance testing, a publicly acccessible User Test (UT) TEST-DATA environment MUST be developed by idempotent automation</t>
  </si>
  <si>
    <t>C67..26</t>
  </si>
  <si>
    <t>Deliverables: Environments: IT</t>
  </si>
  <si>
    <t>To permit integration testing by Partners and Clients, a publicly accessible TEST-DATA environment MUST be developed by idempotent automation</t>
  </si>
  <si>
    <t>C67..27</t>
  </si>
  <si>
    <t>Deliverables: Environments: TT</t>
  </si>
  <si>
    <t>To permit training of staff and partners, a publicly accessible, resettable TEST-dATA environment MUST be developed by idempotent automation</t>
  </si>
  <si>
    <t>C67..28</t>
  </si>
  <si>
    <t>Deliverables: Environments: PP</t>
  </si>
  <si>
    <t>To permit checking of PROD-DATA Environment Credentials and Automation, a publicly accessible PreProd (PP) PROD-DATA environment MUST be developed by idempotent automation</t>
  </si>
  <si>
    <t>C67..29</t>
  </si>
  <si>
    <t>Deliverables: Environments: PR</t>
  </si>
  <si>
    <t>To permit public access to a production system a publicly accessible Production Environment (PR) PROD-DATA environment MUST be developed by idempotent automation</t>
  </si>
  <si>
    <t>PageID</t>
  </si>
  <si>
    <t>Prerequisites: SOW: Delivery Management Services</t>
  </si>
  <si>
    <t>C01</t>
  </si>
  <si>
    <t>Prequiresites: SOW: Stakeholder Analysis Services</t>
  </si>
  <si>
    <t>C36</t>
  </si>
  <si>
    <t>Prerequisites: Endorsements: CAB: Support Services</t>
  </si>
  <si>
    <t>Towards improved Supportability, Project Management MUST obtain Support Services endorsement at CAB</t>
  </si>
  <si>
    <t xml:space="preserve">C01 </t>
  </si>
  <si>
    <t>Prerequisites: Prerequisites: Support Services: SSP</t>
  </si>
  <si>
    <t>Towards imporved Supportability, a System Support Plan (SSP) MUST be filled in for endorsement by Support Services at CAB</t>
  </si>
  <si>
    <t>C33</t>
  </si>
  <si>
    <t>Prerequisites: Endorsements: CAB: C&amp;A</t>
  </si>
  <si>
    <t>Towards improved Security, Project Management MUST obtain C&amp;A endorsement at CAB.</t>
  </si>
  <si>
    <t>C31</t>
  </si>
  <si>
    <t>Prerequisites: ATO</t>
  </si>
  <si>
    <t>Towards improving Availability, Project Management MUST obtain a signed Authority to Operate (ATO) -- based on an Endorsement from CAB -- before the Service can be deployed to a PROD-DATA environment.</t>
  </si>
  <si>
    <t>D083.Endorsement/ITC-Maintenance@CAB</t>
  </si>
  <si>
    <t>Prerequisites: Endorsements: CAB: Monitoring Services</t>
  </si>
  <si>
    <t>Towards improved Maintainability, Project Management MUST obtain endorsement from Monitoring Services at CAB</t>
  </si>
  <si>
    <t>C35</t>
  </si>
  <si>
    <t>Prerequisites: Endorsements: CAB: Maintenance Services</t>
  </si>
  <si>
    <t>Towards improved Maintainability, Project Management MUST obtain endorsement from Maintenance Services at CAB</t>
  </si>
  <si>
    <t>C32</t>
  </si>
  <si>
    <t>Prerequisites: Endorsements: CAB</t>
  </si>
  <si>
    <t>Towards improving Availability, Project Management MUST obtain Endorsement from CAB before the Service can be deployed to a PROD-DATA environment.</t>
  </si>
  <si>
    <t>C35.1</t>
  </si>
  <si>
    <t>Prerequisites: Endorsements: Maintenance Services: SOP</t>
  </si>
  <si>
    <t>Towards improved Maintainability, a System Operating Manual MUST be filled in for endorsement by Maintenance Services at CAB</t>
  </si>
  <si>
    <t>C34.1</t>
  </si>
  <si>
    <t>Prerequisites: Prerequisites: Monitoring Services: Manual</t>
  </si>
  <si>
    <t>Towards improved Maintainability, a Monitoring Manual (xxx) MUST be developed for endorsement by Monitoring Services at CAB</t>
  </si>
  <si>
    <t>Desires/Constraints: SMART</t>
  </si>
  <si>
    <t>To reduce ambiguity &amp; rework, Stakholder Analyst Roles MUST convert Stakeholder Desires into S.M.A.R.T.Requirements, or directly into User Stories with S.M.A.R.T.Tasks</t>
  </si>
  <si>
    <t>Desires/Constraints: Qualified Use Story Desire Format</t>
  </si>
  <si>
    <t xml:space="preserve">User Story submitters SHOULD qualify the expected value: "As a Service Client &lt;feature sponsor&gt;...I desire &lt;functionality&gt; to meet &lt;eg: ISO...&gt; objectives" </t>
  </si>
  <si>
    <t>C03</t>
  </si>
  <si>
    <t>Desires/Constraints: ISO Qualified</t>
  </si>
  <si>
    <t>To improve the chance that Requirements are Valuable, Stakeholder Analyst Roles MUST categorise Desires by the ISO-25010-12 service qualities addressed</t>
  </si>
  <si>
    <t>Desires/Constraints: Conditions &amp; Constraints</t>
  </si>
  <si>
    <t>To ensure Requirements are Scoped, Stakeholder Analyst Roles MUST ensure Desires contain any relevant Conditions and Constraints</t>
  </si>
  <si>
    <t>Desires/Constraints: Avoid SHALL &amp; WILL</t>
  </si>
  <si>
    <t>To decrease the risk of non-delivery litigation, Stakeholder Analyst Roles MUST use MUST|SHOULD|MAY [NOT] and avoid using the time ambiguous terms SHALL and WILL</t>
  </si>
  <si>
    <t>Desires/Constraints: Avoid ALL</t>
  </si>
  <si>
    <t>To improve Requirement Testability, Stakeholder Analyst Roles MUST NOT use the term ALL As a Service Client Requirement Condition.</t>
  </si>
  <si>
    <t>C07</t>
  </si>
  <si>
    <t>Desires/Constraints: Primary User Tasks are Tests Definitions</t>
  </si>
  <si>
    <t>To improve Requirement Delivery Automation, The First Tasks Added to a User Story SHOULD be Gherkin defined Test Definitions.</t>
  </si>
  <si>
    <t>C08</t>
  </si>
  <si>
    <t>Desires/Constraints: Secondary User Tasks are Development Tasks</t>
  </si>
  <si>
    <t>To improve Requirement Delivery Automation, the Secondary set of Tasks Added to a User Story MUST be Development Logic to pass the first Tasks Tests</t>
  </si>
  <si>
    <t>C09</t>
  </si>
  <si>
    <t>Desires/Constraints: Size Tasks Before Development</t>
  </si>
  <si>
    <t>To improve Deliverability, User Story Tasks MUST be Sized by Developers before they can be added to a Sprint's Backlog</t>
  </si>
  <si>
    <t>C10</t>
  </si>
  <si>
    <t>Desires/Constraints: All Stakeholders, Full Lifecycle</t>
  </si>
  <si>
    <t>To improve Functionality Completeness, the Service MUST demonstrably meet the functional and quality expectations of all Stakeholders involved over the Service's Lifecycle (not just Initiation, Development &amp; Delivery)</t>
  </si>
  <si>
    <t>Delivery: Automated</t>
  </si>
  <si>
    <t>To improve Availability -- by decreasing the IP that will be lost over the service's lifetime -- the Delivery Pipeline MUST be automated</t>
  </si>
  <si>
    <t>Delivery: Idempotent</t>
  </si>
  <si>
    <t>To improve Availability and decrease ways in which deployment may fail, the Automated Delivery Pipeline MUST be idempotent</t>
  </si>
  <si>
    <t>Delivery: Store Credentials Securely</t>
  </si>
  <si>
    <t>The Delivery Pipeline MUST source confidential host configuration from Secure Storage</t>
  </si>
  <si>
    <t>C11</t>
  </si>
  <si>
    <t>Delivery: Infrastructure Creation</t>
  </si>
  <si>
    <t>To improve Availability the delivery Pipeline MUST idempotently create the target Environment's required Infrastructure</t>
  </si>
  <si>
    <t>Delivery: Configure via Secure Storage</t>
  </si>
  <si>
    <t>To improve Availability and not have changes erased by the next deployment, configuration changes MUST be applied to the Secure Storage which the Deployment Pipeline accesses.</t>
  </si>
  <si>
    <t>Delivery: Configure via Secure Storage II</t>
  </si>
  <si>
    <t>To improve Availability while not decreasing Security, and allowing for deployments to different Environments, configuration changes MUST be applied to Secure Storage and not the Code Respository.</t>
  </si>
  <si>
    <t>C41</t>
  </si>
  <si>
    <t>Delivery: Automated Testing: Static</t>
  </si>
  <si>
    <t>To improve QA, the Automated Pipeline MUST run Static Tests after compiling the service code, before deployment to an environment</t>
  </si>
  <si>
    <t>C42</t>
  </si>
  <si>
    <t>Delivery: Automated Testing: Dynamic</t>
  </si>
  <si>
    <t>To improve QA, the Automated Pipeline MUST run Dynamic Tests after deploying to the BT environment</t>
  </si>
  <si>
    <t>C51</t>
  </si>
  <si>
    <t>Delivery: Automated DB Backup Restoration</t>
  </si>
  <si>
    <t>To improve Availability, the Automated Pipeline MAY be instructed to  run idempotent data backup restoration updates</t>
  </si>
  <si>
    <t>C52</t>
  </si>
  <si>
    <t>Delivery: Automated DB Schema Updates</t>
  </si>
  <si>
    <t>To improve Availability, the Automated Pipeline MUST run imdempotent data schema updates after deploying components and optionally restoring data backups</t>
  </si>
  <si>
    <t>PageID:</t>
  </si>
  <si>
    <t>Development/Secure Training</t>
  </si>
  <si>
    <t>D428.Services/ALM/QA Automation</t>
  </si>
  <si>
    <t>C77.01</t>
  </si>
  <si>
    <t>13750000.ISO-25010/Maintainability/Testability/Connectivity Tests</t>
  </si>
  <si>
    <t>13710000.ISO-25010/Maintainability/Testability/100% Automated</t>
  </si>
  <si>
    <t>13711000.ISO-25010/Maintainability/Testability/100% Automated/Within Delivery Pipeline</t>
  </si>
  <si>
    <t>C79</t>
  </si>
  <si>
    <t>C1010.00.0000</t>
  </si>
  <si>
    <t>Guidance/System Design MUST NOT be led from Interface design.</t>
  </si>
  <si>
    <t>C2030.00.0000</t>
  </si>
  <si>
    <t>Guidance/System Development MUST be led by TDD, following DDD</t>
  </si>
  <si>
    <t>C2040.00.0000</t>
  </si>
  <si>
    <t>Guidance/System Design MUST NOT be led from Legacy Data or Processes.</t>
  </si>
  <si>
    <t>C2050.00.0000</t>
  </si>
  <si>
    <t>Guidance/Requirements are modifiable upon Agreement</t>
  </si>
  <si>
    <t>Guidance/Requirements can be delivered during Operations, upon Agreement</t>
  </si>
  <si>
    <t>C5100.00.0000</t>
  </si>
  <si>
    <t>ISO-25010/Compatibility</t>
  </si>
  <si>
    <t>C5110.00.0000</t>
  </si>
  <si>
    <t>ISO-25010/Compatibility/Coeistence</t>
  </si>
  <si>
    <t>If hosted on organisation managed infrastructure, for Coeistence objectives, the System MUST be deployable to a shared virtual or physical host device without negatively impacting other services already installed</t>
  </si>
  <si>
    <t>C5111.00.0000</t>
  </si>
  <si>
    <t>ISO-25010/Compatibility/Coeistence/Immaterial Impact on Peers</t>
  </si>
  <si>
    <t>If hosted on organisation managed infrastructure, for Coeistence objectives, the System MUST be deployable to a shared virtual or physical host device with only negligeably negatively impacting other services already installed</t>
  </si>
  <si>
    <t>C5120.00.0000</t>
  </si>
  <si>
    <t>C5122.00.0000</t>
  </si>
  <si>
    <t>ISO-25010/Compatibility/Interoperability/APIs-First</t>
  </si>
  <si>
    <t>If custom developed for the organisation, For Interoperability objectives, the service MUST be developed according to (JSON REST) API-First design principles</t>
  </si>
  <si>
    <t>C5122.01.0000</t>
  </si>
  <si>
    <t>ISO-25010/Compatibility/Interoperability/APIs-First/Epose all, Appropriately</t>
  </si>
  <si>
    <t>C5122.02.0000</t>
  </si>
  <si>
    <t>ISO-25010/Compatibility/Interoperability/APIs-First/Design for Integration before U needs</t>
  </si>
  <si>
    <t>If custom developed for the organisation, For Interoperability objectives, the service's APIs MUST be developed first for integration from any client, before being designed for its default interface service client</t>
  </si>
  <si>
    <t>ISO-25010/Compatibility/Interoperability/APIs-First/UI is the first Separate Integration Client</t>
  </si>
  <si>
    <t>If custom developed for the organisation, For Interoperability objectives, the Service Client is to developed as the first separate Integration Client, and not part of the Service</t>
  </si>
  <si>
    <t>C5123.00.0000</t>
  </si>
  <si>
    <t>ISO-25010/Compatibility/Interoperability/ISO Based</t>
  </si>
  <si>
    <t>For Interoperability objectives, the service MUST persist and manage Data using Universal and stable Types where possible (UUID, UTC, Decimal)</t>
  </si>
  <si>
    <t>C5123.01.0000</t>
  </si>
  <si>
    <t>ISO-25010/Compatibility/Interoperability/ISO Based/Types</t>
  </si>
  <si>
    <t>The service's Types MUST be ISO standards defined where possible</t>
  </si>
  <si>
    <t>C5123.01.1000</t>
  </si>
  <si>
    <t>ISO-25010/Compatibility/Interoperability/ISO Based/Types/Global</t>
  </si>
  <si>
    <t>For Interoperability objectives, The service's Types MUST be Global.</t>
  </si>
  <si>
    <t>C5123.01.1100</t>
  </si>
  <si>
    <t>ISO-25010/Compatibility/Interoperability/ISO Based/Types/Global/UTC</t>
  </si>
  <si>
    <t>If custom developed for the organisation, For interoperability objectives, the service's date types MUST be serialised and/or stored as UTC based dates and time</t>
  </si>
  <si>
    <t>C5123.01.1200</t>
  </si>
  <si>
    <t>ISO-25010/Compatibility/Interoperability/ISO Based/Types/Global/UUID</t>
  </si>
  <si>
    <t>If custom developed for the organisation, For interoperability objectives, the service's data identifiers MUST be Universally Unique IDs (UUIDs)</t>
  </si>
  <si>
    <t>C5123.01.1230</t>
  </si>
  <si>
    <t>ISO-25010/Compatibility/Interoperability/ISO Based/Types/Global/UUID/Time Sequential</t>
  </si>
  <si>
    <t>FIf custom developed for the organisation, or interoperability and performace objectives, the service's data clustered key identifiers MUST be timestamp based UUIDs</t>
  </si>
  <si>
    <t>C5123.01.1240</t>
  </si>
  <si>
    <t>ISO-25010/Compatibility/Interoperability/ISO Based/Types/Global/UUID/Client Side Developed</t>
  </si>
  <si>
    <t>If custom developed for the organisation, For interoperability and performace objectives, the service's data clustered key identifiers MUST be client-side developed timestamp based UUIDs</t>
  </si>
  <si>
    <t>C5123.01.1350</t>
  </si>
  <si>
    <t>ISO-25010/Compatibility/Interoperability/ISO Based/Types/Global/CountryCodes</t>
  </si>
  <si>
    <t>If custom developed for the organisation, For interoperabiltiy objectives, the service should persist Country information as ISO country codes</t>
  </si>
  <si>
    <t>C5123.01.1360</t>
  </si>
  <si>
    <t>ISO-25010/Compatibility/Interoperability/ISO Based/Types/Global/Unicode/International characters entry enabled</t>
  </si>
  <si>
    <t>If custom developed for the organisation, For interoperabiltiy objectives, the service should persist and serialise tet using Unicode UTF-8</t>
  </si>
  <si>
    <t>ISO-25010/Compatibility/Interoperability/ISO Based/Types/Global/Unicode/Macron enabled</t>
  </si>
  <si>
    <t>C5123.02.0000</t>
  </si>
  <si>
    <t>ISO-25010/Compatibility/Interoperability/ISO Based/Formats</t>
  </si>
  <si>
    <t>C5123.02.1000</t>
  </si>
  <si>
    <t>ISO-25010/Compatibility/Interoperability/ISO Based/Formats/JSON</t>
  </si>
  <si>
    <t>C5123.02.2000</t>
  </si>
  <si>
    <t>ISO-25010/Compatibility/Interoperability/ISO Based/Formats/ML</t>
  </si>
  <si>
    <t>C5123.02.3000</t>
  </si>
  <si>
    <t>ISO-25010/Compatibility/Interoperability/ISO Based/Formats/YAML</t>
  </si>
  <si>
    <t>C5123.03.0000</t>
  </si>
  <si>
    <t>ISO-25010/Compatibility/Interoperability/ISO Based/Protocols</t>
  </si>
  <si>
    <t>C5123.03.1000</t>
  </si>
  <si>
    <t>ISO-25010/Compatibility/Interoperability/ISO Based/Protocols/ODATA</t>
  </si>
  <si>
    <t>C5124.00.0000</t>
  </si>
  <si>
    <t>ISO-25010/Compatibility/Interoperability/Syncing</t>
  </si>
  <si>
    <t>C5124.01.0000</t>
  </si>
  <si>
    <t>ISO-25010/Compatibility/Interoperability/Syncing/Simplicity</t>
  </si>
  <si>
    <t>C5124.01.1000</t>
  </si>
  <si>
    <t>ISO-25010/Compatibility/Interoperability/Syncing/Simplicity/Avoid Requiring Preregistration</t>
  </si>
  <si>
    <t>C5124.01.2000</t>
  </si>
  <si>
    <t>ISO-25010/Compatibility/Interoperability/Syncing/Simplicity/Avoid Requiring Client Certificates</t>
  </si>
  <si>
    <t>C5124.01.3000</t>
  </si>
  <si>
    <t>ISO-25010/Compatibility/Interoperability/Syncing/Simplicity/Permit ServerSide Projection and Shaping of Data</t>
  </si>
  <si>
    <t>C5124.02.0000</t>
  </si>
  <si>
    <t>ISO-25010/Compatibility/Interoperability/Syncing/ResourceConsumption</t>
  </si>
  <si>
    <t>C5124.03.0000</t>
  </si>
  <si>
    <t>ISO-25010/Compatibility/Interoperability/Syncing/Events</t>
  </si>
  <si>
    <t>C5124.03.1000</t>
  </si>
  <si>
    <t>ISO-25010/Compatibility/Interoperability/Syncing/Events/Track Date Last Synced against Client Systems</t>
  </si>
  <si>
    <t>ISO-25010/Compatibility/Interoperability/Syncing/ResourceConsumption/Paged Requests</t>
  </si>
  <si>
    <t>C5124.03.2000</t>
  </si>
  <si>
    <t>ISO-25010/Compatibility/Interoperability/Syncing/Events/Track Date Last Synced with Source Systems</t>
  </si>
  <si>
    <t>ISO-25010/Compatibility/Interoperability/Syncing/ResourceConsumption/Throttleable</t>
  </si>
  <si>
    <t>C5124.03.3000</t>
  </si>
  <si>
    <t>ISO-25010/Compatibility/Interoperability/Syncing/Events/Permit Including Deleted records since Last Sync</t>
  </si>
  <si>
    <t>ISO-25010/Compatibility/Interoperability/Syncing/ResourceConsumption/MultiThreaded</t>
  </si>
  <si>
    <t>C5124.04.0000</t>
  </si>
  <si>
    <t>ISO-25010/Compatibility/Interoperability/Syncing/Attributes</t>
  </si>
  <si>
    <t>C5124.04.1000</t>
  </si>
  <si>
    <t>ISO-25010/Compatibility/Interoperability/Syncing/Attributes/DeletedRecordFlags/Permit Resetting Date last Synced</t>
  </si>
  <si>
    <t>C5125.00.0000</t>
  </si>
  <si>
    <t>ISO-25010/Compatibility/Interoperability/Importing</t>
  </si>
  <si>
    <t>C5125.01.0000</t>
  </si>
  <si>
    <t>ISO-25010/Compatibility/Interoperability/Importing/via ETL</t>
  </si>
  <si>
    <t>C5125.01.1000</t>
  </si>
  <si>
    <t>ISO-25010/Compatibility/Interoperability/Importing/via ETL/Avoid if possible</t>
  </si>
  <si>
    <t>C5125.01.2000</t>
  </si>
  <si>
    <t>ISO-25010/Compatibility/Interoperability/Importing/via ETL/Prefer sourcing from APIs versus Files</t>
  </si>
  <si>
    <t>C5125.01.3000</t>
  </si>
  <si>
    <t>ISO-25010/Compatibility/Interoperability/Importing/via ETL/Prefer Continuous Paged Small Operations over Large Imports</t>
  </si>
  <si>
    <t>C5125.01.4000</t>
  </si>
  <si>
    <t>ISO-25010/Compatibility/Interoperability/Importing/via ETL/Use a Separate Staging DB</t>
  </si>
  <si>
    <t>C5125.01.5000</t>
  </si>
  <si>
    <t>ISO-25010/Compatibility/Interoperability/Importing/via ETL/Develop Transformations Safely with Non-Prod Data</t>
  </si>
  <si>
    <t>C5125.01.6000</t>
  </si>
  <si>
    <t>ISO-25010/Compatibility/Interoperability/Importing/via ETL/Minimise development in SQL</t>
  </si>
  <si>
    <t>C5125.01.7000</t>
  </si>
  <si>
    <t>ISO-25010/Compatibility/Interoperability/Importing/via ETL/Consider leveraging a Rule Engine for Transformations</t>
  </si>
  <si>
    <t>C5130.00.0000</t>
  </si>
  <si>
    <t>ISO-25010/Compatibility/Portability</t>
  </si>
  <si>
    <t>C5131.00.0000</t>
  </si>
  <si>
    <t>ISO-25010/Compatibility/Portability/OS</t>
  </si>
  <si>
    <t>C5131.09.0000</t>
  </si>
  <si>
    <t>ISO-25010/Compatibility/Portability/Framework/Prefer License Free Supported OS</t>
  </si>
  <si>
    <t>C5132.00.0000</t>
  </si>
  <si>
    <t>ISO-25010/Compatibility/Portability/Framework</t>
  </si>
  <si>
    <t>C5132.09.0000</t>
  </si>
  <si>
    <t>ISO-25010/Compatibility/Portability/Framework/Custom</t>
  </si>
  <si>
    <t>C5133.00.0000</t>
  </si>
  <si>
    <t>ISO-25010/Compatibility/Portability/Language</t>
  </si>
  <si>
    <t>C5133.01.0000</t>
  </si>
  <si>
    <t>ISO-25010/Compatibility/Portability/Language/License Free Supported Framework</t>
  </si>
  <si>
    <t>C5133.09.0000</t>
  </si>
  <si>
    <t>ISO-25010/Compatibility/Portability/Language/Custom</t>
  </si>
  <si>
    <t>C5133.09.1000</t>
  </si>
  <si>
    <t>ISO-25010/Compatibility/Portability/Language/Custom/Open Source Frameworks</t>
  </si>
  <si>
    <t>ISO-25010/Compatibility/Portability/Language/Custom/Prefer compilable typed script languages</t>
  </si>
  <si>
    <t>C5200.00.0000</t>
  </si>
  <si>
    <t>C5210.00.0000</t>
  </si>
  <si>
    <t>C5211.00.0000</t>
  </si>
  <si>
    <t>ISO-25010/Functionality/Appropriateness/Purpose</t>
  </si>
  <si>
    <t>C5211.01.0000</t>
  </si>
  <si>
    <t>ISO-25010/Functionality/Appropriateness/Purpose/Removal</t>
  </si>
  <si>
    <t>C5211.01.1000</t>
  </si>
  <si>
    <t>ISO-25010/Functionality/Appropriateness/Purpose/Removal/Considered only for Operations sake, not Delivery Sake</t>
  </si>
  <si>
    <t>C5211.01.2000</t>
  </si>
  <si>
    <t>ISO-25010/Functionality/Appropriateness/Purpose/Removal/Requested by a Stakeholder other than Delivery Stakeholder</t>
  </si>
  <si>
    <t>C5220.00.0000</t>
  </si>
  <si>
    <t>C5221.00.0000</t>
  </si>
  <si>
    <t>ISO-25010/Functionality/Completeness/Stakeholders</t>
  </si>
  <si>
    <t>C5221.01.0000</t>
  </si>
  <si>
    <t>ISO-25010/Functionality/Completeness/Stakeholders/Architecture Design Services</t>
  </si>
  <si>
    <t>C5221.02.0000</t>
  </si>
  <si>
    <t>ISO-25010/Functionality/Completeness/Stakeholders/Business Services</t>
  </si>
  <si>
    <t>C5221.03.0000</t>
  </si>
  <si>
    <t>ISO-25010/Functionality/Completeness/Stakeholders/Deployment Services</t>
  </si>
  <si>
    <t>C5221.04.0000</t>
  </si>
  <si>
    <t>ISO-25010/Functionality/Completeness/Stakeholders/Infrastructure Services</t>
  </si>
  <si>
    <t>C5221.05.0000</t>
  </si>
  <si>
    <t>ISO-25010/Functionality/Completeness/Stakeholders/Monitoring Services</t>
  </si>
  <si>
    <t>C5221.06.0000</t>
  </si>
  <si>
    <t>ISO-25010/Functionality/Completeness/Stakeholders/Management Services</t>
  </si>
  <si>
    <t>C5221.07.0000</t>
  </si>
  <si>
    <t>ISO-25010/Functionality/Completeness/Stakeholders/Operations Services</t>
  </si>
  <si>
    <t>C5221.08.0000</t>
  </si>
  <si>
    <t>ISO-25010/Functionality/Completeness/Stakeholders/Privacy Services</t>
  </si>
  <si>
    <t>C5221.09.0000</t>
  </si>
  <si>
    <t>ISO-25010/Functionality/Completeness/Stakeholders/Security Services</t>
  </si>
  <si>
    <t>C5221.10.0000</t>
  </si>
  <si>
    <t>ISO-25010/Functionality/Completeness/Stakeholders/Support Services (General)</t>
  </si>
  <si>
    <t>C5221.11.0000</t>
  </si>
  <si>
    <t>ISO-25010/Functionality/Completeness/Stakeholders/Support Services (Business)</t>
  </si>
  <si>
    <t>C5221.12.0000</t>
  </si>
  <si>
    <t>ISO-25010/Functionality/Completeness/Stakeholders/Training Services</t>
  </si>
  <si>
    <t>C5221.13.0000</t>
  </si>
  <si>
    <t>ISO-25010/Functionality/Completeness/Stakeholders/Data warehouse Services</t>
  </si>
  <si>
    <t>C5221.14.0000</t>
  </si>
  <si>
    <t>ISO-25010/Functionality/Completeness/Stakeholders/Data archiving Services</t>
  </si>
  <si>
    <t>C5222.00.0000</t>
  </si>
  <si>
    <t>ISO-25010/Functionality/Completeness/Capabilities</t>
  </si>
  <si>
    <t>C5222.01.0000</t>
  </si>
  <si>
    <t>ISO-25010/Functionality/Completeness/Capabilities/Configuration</t>
  </si>
  <si>
    <t>C5222.01.1000</t>
  </si>
  <si>
    <t>ISO-25010/Functionality/Completeness/Capabilities/Configuration/Host (Immutable)</t>
  </si>
  <si>
    <t>C5222.01.2000</t>
  </si>
  <si>
    <t>ISO-25010/Functionality/Completeness/Capabilities/Configuration/Mutable</t>
  </si>
  <si>
    <t>C5222.01.2100</t>
  </si>
  <si>
    <t>ISO-25010/Functionality/Completeness/Capabilities/Configuration/Mutable/Integration</t>
  </si>
  <si>
    <t>C5222.01.2200.1ISO-25010</t>
  </si>
  <si>
    <t>Functionality/Completeness/Capabilities/Configuration/Mutable/Defaults</t>
  </si>
  <si>
    <t>C5222.01.2300</t>
  </si>
  <si>
    <t>ISO-25010/Functionality/Completeness/Capabilities/Configuration/Mutable/Durations</t>
  </si>
  <si>
    <t>C5222.01.2400</t>
  </si>
  <si>
    <t>ISO-25010/Functionality/Completeness/Capabilities/Configuration/Mutable/Contet</t>
  </si>
  <si>
    <t>C5222.01.2500</t>
  </si>
  <si>
    <t>ISO-25010/Functionality/Completeness/Capabilities/Configuration/Mutable/Culture</t>
  </si>
  <si>
    <t>C5222.02.0000</t>
  </si>
  <si>
    <t>ISO-25010/Functionality/Completeness/Capabilities/Diagnostics</t>
  </si>
  <si>
    <t>C5222.02.1000</t>
  </si>
  <si>
    <t>ISO-25010/Functionality/Completeness/Capabilities/Diagnostics/Searchable</t>
  </si>
  <si>
    <t>C5222.03.0000</t>
  </si>
  <si>
    <t>ISO-25010/Functionality/Completeness/Capabilities/Eception Handling</t>
  </si>
  <si>
    <t>C5222.03.1000</t>
  </si>
  <si>
    <t>ISO-25010/Functionality/Completeness/Capabilities/Eception Handling/Searchable</t>
  </si>
  <si>
    <t>C5222.03.1100</t>
  </si>
  <si>
    <t>ISO-25010/Functionality/Completeness/Capabilities/Eception Handling/Searchable/By Event UUID</t>
  </si>
  <si>
    <t>C5222.04.0000</t>
  </si>
  <si>
    <t>ISO-25010/Functionality/Completeness/Capabilities/Validation</t>
  </si>
  <si>
    <t>C5222.04.1000</t>
  </si>
  <si>
    <t>ISO-25010/Functionality/Completeness/Capabilities/Validation/At Perimeter (ie Controllers)</t>
  </si>
  <si>
    <t>C5222.05.0000</t>
  </si>
  <si>
    <t>ISO-25010/Functionality/Completeness/Capabilities/Users</t>
  </si>
  <si>
    <t>C5222.05.1000</t>
  </si>
  <si>
    <t>ISO-25010/Functionality/Completeness/Capabilities/Users/Disablement</t>
  </si>
  <si>
    <t>C5222.05.1100</t>
  </si>
  <si>
    <t>ISO-25010/Functionality/Completeness/Capabilities/Users/Disablement/Temporary</t>
  </si>
  <si>
    <t>C5222.05.2000</t>
  </si>
  <si>
    <t>ISO-25010/Functionality/Completeness/Capabilities/Users/Enablement</t>
  </si>
  <si>
    <t>C5222.05.2100</t>
  </si>
  <si>
    <t>ISO-25010/Functionality/Completeness/Capabilities/Users/Enablement/Temporary</t>
  </si>
  <si>
    <t>C5222.06.0000</t>
  </si>
  <si>
    <t>ISO-25010/Functionality/Completeness/Capabilities/Groups</t>
  </si>
  <si>
    <t>C5222.06.1000</t>
  </si>
  <si>
    <t>ISO-25010/Functionality/Completeness/Capabilities/Group/Enablement</t>
  </si>
  <si>
    <t>C5222.06.1100</t>
  </si>
  <si>
    <t>ISO-25010/Functionality/Completeness/Capabilities/Group/Enablement/Temporary</t>
  </si>
  <si>
    <t>C5222.06.2000</t>
  </si>
  <si>
    <t>ISO-25010/Functionality/Completeness/Capabilities/Group/Disablement</t>
  </si>
  <si>
    <t>C5222.06.2100</t>
  </si>
  <si>
    <t>ISO-25010/Functionality/Completeness/Capabilities/Group/Disablement/Temporary</t>
  </si>
  <si>
    <t>C5222.06.3000</t>
  </si>
  <si>
    <t>ISO-25010/Functionality/Completeness/Capabilities/Group/Hierarchical Organisation</t>
  </si>
  <si>
    <t>C5222.07.0000</t>
  </si>
  <si>
    <t>ISO-25010/Functionality/Completeness/Capabilities/Group Roles</t>
  </si>
  <si>
    <t>C5222.07.1000</t>
  </si>
  <si>
    <t>ISO-25010/Functionality/Completeness/Capabilities/Group Roles/Notification</t>
  </si>
  <si>
    <t>C5222.07.1100</t>
  </si>
  <si>
    <t>ISO-25010/Functionality/Completeness/Capabilities/Group Roles/Notification/By Invitation</t>
  </si>
  <si>
    <t>C5222.07.2000</t>
  </si>
  <si>
    <t>ISO-25010/Functionality/Completeness/Capabilities/Group Roles/Accept Responsibilities</t>
  </si>
  <si>
    <t>C5222.07.2100</t>
  </si>
  <si>
    <t>ISO-25010/Functionality/Completeness/Capabilities/Group Roles/Accept Responsibilities/before Permissions</t>
  </si>
  <si>
    <t>C5222.08.0000</t>
  </si>
  <si>
    <t>ISO-25010/Functionality/Completeness/Capabilities/Permissions</t>
  </si>
  <si>
    <t>C5222.08.1000</t>
  </si>
  <si>
    <t>ISO-25010/Functionality/Completeness/Capabilities/Permissions/Assigned to Roles</t>
  </si>
  <si>
    <t>C5222.08.1100</t>
  </si>
  <si>
    <t>ISO-25010/Functionality/Completeness/Capabilities/Permissions/Assigned to Roles/Supercede per User</t>
  </si>
  <si>
    <t>C5222.08.2000</t>
  </si>
  <si>
    <t>ISO-25010/Functionality/Completeness/Capabilities/Permissions/Defined in Logical Modules</t>
  </si>
  <si>
    <t>C5222.09.0000</t>
  </si>
  <si>
    <t>ISO-25010/Functionality/Completeness/Capabilities/Authorisation Handling</t>
  </si>
  <si>
    <t>C5222.10.0000</t>
  </si>
  <si>
    <t>ISO-25010/Functionality/Completeness/Capabilities/Notifications</t>
  </si>
  <si>
    <t>C5222.10.1000</t>
  </si>
  <si>
    <t>ISO-25010/Functionality/Completeness/Capabilities/Notifications/Using SMTP</t>
  </si>
  <si>
    <t>C5222.10.2000</t>
  </si>
  <si>
    <t>ISO-25010/Functionality/Completeness/Capabilities/Notifications/In System</t>
  </si>
  <si>
    <t>C5222.10.3000</t>
  </si>
  <si>
    <t>ISO-25010/Functionality/Completeness/Capabilities/Notifications/Permanently Stored</t>
  </si>
  <si>
    <t>C5222.10.4000</t>
  </si>
  <si>
    <t>ISO-25010/Functionality/Completeness/Capabilities/Notifications/Confidential</t>
  </si>
  <si>
    <t>ISO-25010/Functionality/Completeness/Capabilities/Notifications/Searchable By Content &amp; Metadata</t>
  </si>
  <si>
    <t>C5222.10.4100</t>
  </si>
  <si>
    <t>ISO-25010/Functionality/Completeness/Capabilities/Notifications/Confidential/Do Not Disclose Personal Information</t>
  </si>
  <si>
    <t>C5222.10.5000</t>
  </si>
  <si>
    <t>ISO-25010/Functionality/Completeness/Capabilities/Notifications/Time Limited</t>
  </si>
  <si>
    <t>C5222.11.0000</t>
  </si>
  <si>
    <t>ISO-25010/Functionality/Completeness/Capabilities/Media</t>
  </si>
  <si>
    <t>C5222.11.1000</t>
  </si>
  <si>
    <t>ISO-25010/Functionality/Completeness/Capabilities/Media/Blob Storage</t>
  </si>
  <si>
    <t>C5222.11.2000</t>
  </si>
  <si>
    <t>ISO-25010/Functionality/Completeness/Capabilities/Media/By Group Association</t>
  </si>
  <si>
    <t>C5222.11.3000</t>
  </si>
  <si>
    <t>ISO-25010/Functionality/Completeness/Capabilities/Media/By Multiple Associations</t>
  </si>
  <si>
    <t>C5222.11.4000</t>
  </si>
  <si>
    <t>ISO-25010/Functionality/Completeness/Capabilities/Media/By User Association</t>
  </si>
  <si>
    <t>C5222.11.5000</t>
  </si>
  <si>
    <t>ISO-25010/Functionality/Completeness/Capabilities/Media/Validate for Malware</t>
  </si>
  <si>
    <t>C5222.11.6000</t>
  </si>
  <si>
    <t>ISO-25010/Functionality/Completeness/Capabilities/Media/Validate for Objectionability</t>
  </si>
  <si>
    <t>C5222.12.0000</t>
  </si>
  <si>
    <t>ISO-25010/Functionality/Completeness/Capabilities/User Feedback</t>
  </si>
  <si>
    <t>C5222.12.1000</t>
  </si>
  <si>
    <t>ISO-25010/Functionality/Completeness/Capabilities/User Feedback/By Feature</t>
  </si>
  <si>
    <t>C5222.12.2000</t>
  </si>
  <si>
    <t>ISO-25010/Functionality/Completeness/Capabilities/User Feedback/By Product</t>
  </si>
  <si>
    <t>C5222.17.0000</t>
  </si>
  <si>
    <t>ISO-25010/Functionality/Completeness/Capabilities/Search Metadata</t>
  </si>
  <si>
    <t>C5222.17.1000</t>
  </si>
  <si>
    <t>ISO-25010/Functionality/Completeness/Capabilities/Search Metadata/System Wide Tagging</t>
  </si>
  <si>
    <t>C5222.17.2000</t>
  </si>
  <si>
    <t>ISO-25010/Functionality/Completeness/Capabilities/Search Metadata/Personal Tagging</t>
  </si>
  <si>
    <t>C5222.18.0000</t>
  </si>
  <si>
    <t>ISO-25010/Functionality/Completeness/Capabilities/Route Handling</t>
  </si>
  <si>
    <t>C5222.18.1000</t>
  </si>
  <si>
    <t>ISO-25010/Functionality/Completeness/Capabilities/Route Handling/Permit multiple routes</t>
  </si>
  <si>
    <t>C5222.18.2000</t>
  </si>
  <si>
    <t>ISO-25010/Functionality/Completeness/Capabilities/Route Handling/Permit legacy redirection</t>
  </si>
  <si>
    <t>C5222.19.0000</t>
  </si>
  <si>
    <t>ISO-25010/Functionality/Completeness/Capabilities/Module Handling</t>
  </si>
  <si>
    <t>C5222.19.1000</t>
  </si>
  <si>
    <t>ISO-25010/Functionality/Completeness/Capabilities/Custom/Module Handling/Blob Stored</t>
  </si>
  <si>
    <t>C5222.19.2000</t>
  </si>
  <si>
    <t>ISO-25010/Functionality/Completeness/Capabilities/Custom/Module Handling/Permission Listing</t>
  </si>
  <si>
    <t>C5222.20.0000</t>
  </si>
  <si>
    <t>ISO-25010/Functionality/Completeness/Capabilities/Search</t>
  </si>
  <si>
    <t>C5222.20.1000</t>
  </si>
  <si>
    <t>ISO-25010/Functionality/Completeness/Capabilities/Search/Filterable</t>
  </si>
  <si>
    <t>C5222.20.1100</t>
  </si>
  <si>
    <t>ISO-25010/Functionality/Completeness/Capabilities/Search/Filterable/Metadata</t>
  </si>
  <si>
    <t>ISO-25010/Functionality/Completeness/Capabilities/Search/Filterable/Type</t>
  </si>
  <si>
    <t>C5222.20.2000</t>
  </si>
  <si>
    <t>ISO-25010/Functionality/Completeness/Capabilities/Search/Forgiving</t>
  </si>
  <si>
    <t>C5222.20.2100</t>
  </si>
  <si>
    <t>ISO-25010/Functionality/Completeness/Capabilities/Search/Forgiving/Spelling</t>
  </si>
  <si>
    <t>C5222.20.2200</t>
  </si>
  <si>
    <t>ISO-25010/Functionality/Completeness/Capabilities/Search/Forgiving/Diacritics</t>
  </si>
  <si>
    <t>C5222.20.2300</t>
  </si>
  <si>
    <t>ISO-25010/Functionality/Completeness/Capabilities/Search/Forgiving/Phonetic</t>
  </si>
  <si>
    <t>C5222.20.2400</t>
  </si>
  <si>
    <t>ISO-25010/Functionality/Completeness/Capabilities/Search/Forgiving/Synonyms</t>
  </si>
  <si>
    <t>C5222.20.3000</t>
  </si>
  <si>
    <t>ISO-25010/Functionality/Completeness/Capabilities/Search/On Content</t>
  </si>
  <si>
    <t>C5222.20.4000</t>
  </si>
  <si>
    <t>ISO-25010/Functionality/Completeness/Capabilities/Search/On Metadata</t>
  </si>
  <si>
    <t>C5222.20.5000</t>
  </si>
  <si>
    <t>ISO-25010/Functionality/Completeness/Capabilities/Search/Related</t>
  </si>
  <si>
    <t>C5222.20.5100</t>
  </si>
  <si>
    <t>ISO-25010/Functionality/Completeness/Capabilities/Search/Related/Linked</t>
  </si>
  <si>
    <t>C5222.20.5200</t>
  </si>
  <si>
    <t>ISO-25010/Functionality/Completeness/Capabilities/Search/Related/Pattern Matched</t>
  </si>
  <si>
    <t>C5222.22.0000</t>
  </si>
  <si>
    <t>ISO-25010/Functionality/Completeness/Capabilities/Async Task Eecution</t>
  </si>
  <si>
    <t>C5222.23.0000</t>
  </si>
  <si>
    <t>ISO-25010/Functionality/Completeness/Capabilities/Async Handling</t>
  </si>
  <si>
    <t>C5222.23.1000</t>
  </si>
  <si>
    <t>ISO-25010/Functionality/Completeness/Capabilities/Async Handling/Queue Processing</t>
  </si>
  <si>
    <t>C5222.23.2000</t>
  </si>
  <si>
    <t>ISO-25010/Functionality/Completeness/Capabilities/Async Handling/After work hour Processing</t>
  </si>
  <si>
    <t>C5222.26.0000</t>
  </si>
  <si>
    <t>ISO-25010/Functionality/Completeness/Capabilities/Workflow Handling</t>
  </si>
  <si>
    <t>C5222.26.1000</t>
  </si>
  <si>
    <t>ISO-25010/Functionality/Completeness/Capabilities/Workflow Handling/Can Custom Develop Workflows</t>
  </si>
  <si>
    <t>C5222.26.2000</t>
  </si>
  <si>
    <t>ISO-25010/Functionality/Completeness/Capabilities/Workflow Handling/Can Eecute Asynchronously</t>
  </si>
  <si>
    <t>C5222.26.3000</t>
  </si>
  <si>
    <t>ISO-25010/Functionality/Completeness/Capabilities/Workflow Handling/Can Notify</t>
  </si>
  <si>
    <t>C5222.26.4000</t>
  </si>
  <si>
    <t>ISO-25010/Functionality/Completeness/Capabilities/Workflow Handling/Can Escalate</t>
  </si>
  <si>
    <t>C5222.26.5000</t>
  </si>
  <si>
    <t>ISO-25010/Functionality/Completeness/Capabilities/Workflow Handling/Can Assign to Groups</t>
  </si>
  <si>
    <t>C5222.26.6000</t>
  </si>
  <si>
    <t>ISO-25010/Functionality/Completeness/Capabilities/Workflow Handling/Can Conditionally Branch</t>
  </si>
  <si>
    <t>C5222.26.7000</t>
  </si>
  <si>
    <t>ISO-25010/Functionality/Completeness/Capabilities/Workflow Handling/Can Run Parallel Branches</t>
  </si>
  <si>
    <t>C5222.26.8000</t>
  </si>
  <si>
    <t>ISO-25010/Functionality/Completeness/Capabilities/Workflow Handling/Any users may participate</t>
  </si>
  <si>
    <t>C5222.26.8100</t>
  </si>
  <si>
    <t>ISO-25010/Functionality/Completeness/Capabilities/Workflow Handling/Eternal Consultants can approve</t>
  </si>
  <si>
    <t>C5222.26.8200</t>
  </si>
  <si>
    <t>ISO-25010/Functionality/Completeness/Capabilities/Workflow Handling/Partners can be delegated work</t>
  </si>
  <si>
    <t>C5222.26.8300</t>
  </si>
  <si>
    <t>ISO-25010/Functionality/Completeness/Capabilities/Workflow Handling/Customers can participate</t>
  </si>
  <si>
    <t>C5222.27.0000</t>
  </si>
  <si>
    <t>ISO-25010/Functionality/Completeness/Capabilities/Rule Management</t>
  </si>
  <si>
    <t>C5222.27.1000</t>
  </si>
  <si>
    <t>ISO-25010/Functionality/Completeness/Capabilities/Rule Management/Authorisation</t>
  </si>
  <si>
    <t>C5222.27.1100</t>
  </si>
  <si>
    <t>ISO-25010/Functionality/Completeness/Capabilities/Rule Management/Authorisation/By Source Time</t>
  </si>
  <si>
    <t>C5222.27.1200</t>
  </si>
  <si>
    <t>ISO-25010/Functionality/Completeness/Capabilities/Rule Management/Authorisation/By Source Location</t>
  </si>
  <si>
    <t>C5222.27.1300</t>
  </si>
  <si>
    <t>ISO-25010/Functionality/Completeness/Capabilities/Rule Management/Authorisation/By Resource Requested</t>
  </si>
  <si>
    <t>C5222.30.0000</t>
  </si>
  <si>
    <t>ISO-25010/Functionality/Completeness/Capabilities/Reporting</t>
  </si>
  <si>
    <t>C5222.30.1000</t>
  </si>
  <si>
    <t>ISO-25010/Functionality/Completeness/Capabilities/Reporting/Resources</t>
  </si>
  <si>
    <t>C5222.30.1100</t>
  </si>
  <si>
    <t>ISO-25010/Functionality/Completeness/Capabilities/Reporting/Resources/Time</t>
  </si>
  <si>
    <t>C5222.30.1200</t>
  </si>
  <si>
    <t>ISO-25010/Functionality/Completeness/Capabilities/Reporting/Resources/Devices</t>
  </si>
  <si>
    <t>C5222.30.1300</t>
  </si>
  <si>
    <t>ISO-25010/Functionality/Completeness/Capabilities/Reporting/Resources/IO</t>
  </si>
  <si>
    <t>C5222.30.1400</t>
  </si>
  <si>
    <t>ISO-25010/Functionality/Completeness/Capabilities/Reporting/Resources/Storage</t>
  </si>
  <si>
    <t>C5222.30.1500</t>
  </si>
  <si>
    <t>ISO-25010/Functionality/Completeness/Capabilities/Reporting/Resources/Services</t>
  </si>
  <si>
    <t>C5222.30.1510</t>
  </si>
  <si>
    <t>ISO-25010/Functionality/Completeness/Capabilities/Reporting/Resources/Services/Down Since</t>
  </si>
  <si>
    <t>ISO-25010/Functionality/Completeness/Capabilities/Reporting/Resources/Services/Last Accessed</t>
  </si>
  <si>
    <t>C5222.30.1600</t>
  </si>
  <si>
    <t>ISO-25010/Functionality/Completeness/Capabilities/Reporting/Resources/Custom/Components</t>
  </si>
  <si>
    <t>C5222.30.1610</t>
  </si>
  <si>
    <t>ISO-25010/Functionality/Completeness/Capabilities/Reporting/Resources/Custom/Components/Version &amp; Age</t>
  </si>
  <si>
    <t>C5222.30.1700</t>
  </si>
  <si>
    <t>ISO-25010/Functionality/Completeness/Capabilities/Reporting/Resources/Cost</t>
  </si>
  <si>
    <t>C5222.30.1710</t>
  </si>
  <si>
    <t>ISO-25010/Functionality/Completeness/Capabilities/Reporting/Resources/Cost/PerRequest</t>
  </si>
  <si>
    <t>C5222.30.1720</t>
  </si>
  <si>
    <t>ISO-25010/Functionality/Completeness/Capabilities/Reporting/Resources/Cost/PerMember</t>
  </si>
  <si>
    <t>C5222.30.1730</t>
  </si>
  <si>
    <t>ISO-25010/Functionality/Completeness/Capabilities/Reporting/Resources/Cost/PerResource</t>
  </si>
  <si>
    <t>C5222.30.2000</t>
  </si>
  <si>
    <t>ISO-25010/Functionality/Completeness/Capabilities/Reporting/Sessions</t>
  </si>
  <si>
    <t>C5222.30.2100</t>
  </si>
  <si>
    <t>ISO-25010/Functionality/Completeness/Capabilities/Reporting/Sessions/AccessDeviceCapabilities</t>
  </si>
  <si>
    <t>C5222.30.2200</t>
  </si>
  <si>
    <t>ISO-25010/Functionality/Completeness/Capabilities/Reporting/Sessions/Source</t>
  </si>
  <si>
    <t>C5222.30.2300</t>
  </si>
  <si>
    <t>ISO-25010/Functionality/Completeness/Capabilities/Reporting/Sessions/Location</t>
  </si>
  <si>
    <t>C5222.30.2400</t>
  </si>
  <si>
    <t>ISO-25010/Functionality/Completeness/Capabilities/Reporting/Sessions/Active</t>
  </si>
  <si>
    <t>C5222.30.2500</t>
  </si>
  <si>
    <t>ISO-25010/Functionality/Completeness/Capabilities/Reporting/Sessions/Operations</t>
  </si>
  <si>
    <t>C5222.30.2610</t>
  </si>
  <si>
    <t>ISO-25010/Functionality/Completeness/Capabilities/Reporting/Sessions/Membership/Currency</t>
  </si>
  <si>
    <t>C5222.30.2620</t>
  </si>
  <si>
    <t>ISO-25010/Functionality/Completeness/Capabilities/Reporting/Sessions/Membership/ConversionAbandonment</t>
  </si>
  <si>
    <t>C5222.30.3000</t>
  </si>
  <si>
    <t>ISO-25010/Functionality/Completeness/Capabilities/Reporting/Tenancy Users</t>
  </si>
  <si>
    <t>C5222.30.3100</t>
  </si>
  <si>
    <t>ISO-25010/Functionality/Completeness/Capabilities/Reporting/Tenancy Users/Permissions</t>
  </si>
  <si>
    <t>C5222.30.3200</t>
  </si>
  <si>
    <t>ISO-25010/Functionality/Completeness/Capabilities/Reporting/Tenancy Users/Operations</t>
  </si>
  <si>
    <t>C5222.30.3300</t>
  </si>
  <si>
    <t>ISO-25010/Functionality/Completeness/Capabilities/Reporting/Tenancy Users/Group Membership</t>
  </si>
  <si>
    <t>C5222.30.4000</t>
  </si>
  <si>
    <t>ISO-25010/Functionality/Completeness/Capabilities/Reporting/Tenancy Groups</t>
  </si>
  <si>
    <t>C5222.30.4100</t>
  </si>
  <si>
    <t>ISO-25010/Functionality/Completeness/Capabilities/Reporting/Tenancy Groups/Member Roles</t>
  </si>
  <si>
    <t>C5222.30.5000</t>
  </si>
  <si>
    <t>ISO-25010/Functionality/Completeness/Capabilities/Reporting/Search</t>
  </si>
  <si>
    <t>C5222.30.5100</t>
  </si>
  <si>
    <t>ISO-25010/Functionality/Completeness/Capabilities/Reporting/Search/Most Searched For</t>
  </si>
  <si>
    <t>C5222.30.5200</t>
  </si>
  <si>
    <t>ISO-25010/Functionality/Completeness/Capabilities/Reporting/Search/Abandonment</t>
  </si>
  <si>
    <t>C5222.30.5300</t>
  </si>
  <si>
    <t>ISO-25010/Functionality/Completeness/Capabilities/Reporting/Search/Navigation Importance</t>
  </si>
  <si>
    <t>ISO-25010/Functionality/Completeness/Capabilities/Reporting/Search/Navigation Paths</t>
  </si>
  <si>
    <t>C5222.30.8000</t>
  </si>
  <si>
    <t>ISO-25010/Functionality/Completeness/Capabilities/Reporting/Operations</t>
  </si>
  <si>
    <t>C5222.30.8100</t>
  </si>
  <si>
    <t>ISO-25010/Functionality/Completeness/Capabilities/Reporting/Operations/Abandoment</t>
  </si>
  <si>
    <t>C5222.30.8200</t>
  </si>
  <si>
    <t>ISO-25010/Functionality/Completeness/Capabilities/Reporting/Operations/On A Product</t>
  </si>
  <si>
    <t>C5222.30.9000</t>
  </si>
  <si>
    <t>ISO-25010/Functionality/Completeness/Capabilities/Reporting/Products</t>
  </si>
  <si>
    <t>C5222.30.9100</t>
  </si>
  <si>
    <t>ISO-25010/Functionality/Completeness/Capabilities/Reporting/Products/Currency</t>
  </si>
  <si>
    <t>C5222.30.9200</t>
  </si>
  <si>
    <t>ISO-25010/Functionality/Completeness/Capabilities/Reporting/Products/Reviewable</t>
  </si>
  <si>
    <t>C5222.30.9300</t>
  </si>
  <si>
    <t>ISO-25010/Functionality/Completeness/Capabilities/Reporting/Products/ByMetadata</t>
  </si>
  <si>
    <t>C5222.30.9400</t>
  </si>
  <si>
    <t>ISO-25010/Functionality/Completeness/Capabilities/Reporting/Products/ByAccess</t>
  </si>
  <si>
    <t>C5222.30.9500</t>
  </si>
  <si>
    <t>ISO-25010/Functionality/Completeness/Capabilities/Reporting/Products/Source</t>
  </si>
  <si>
    <t>C5222.40.0000</t>
  </si>
  <si>
    <t>ISO-25010/Functionality/Completeness/Capabilities/User Profile</t>
  </si>
  <si>
    <t>C5222.40.1000</t>
  </si>
  <si>
    <t>ISO-25010/Functionality/Completeness/Capabilities/User Profile/Default Name</t>
  </si>
  <si>
    <t>C5222.40.2000</t>
  </si>
  <si>
    <t>ISO-25010/Functionality/Completeness/Capabilities/User Profile/Avatar</t>
  </si>
  <si>
    <t>C5222.40.3000</t>
  </si>
  <si>
    <t>ISO-25010/Functionality/Completeness/Capabilities/User Profile/Bio</t>
  </si>
  <si>
    <t>C5222.99.0000</t>
  </si>
  <si>
    <t>ISO-25010/Functionality/Completeness/Capabilities/Custom</t>
  </si>
  <si>
    <t>C5222.99.1000</t>
  </si>
  <si>
    <t>ISO-25010/Functionality/Completeness/Capabilities/Custom/Contet Handling</t>
  </si>
  <si>
    <t>C5222.99.2000</t>
  </si>
  <si>
    <t>ISO-25010/Functionality/Completeness/Capabilities/Custom/Module Handling</t>
  </si>
  <si>
    <t>C5222.99.2100</t>
  </si>
  <si>
    <t>ISO-25010/Functionality/Completeness/Capabilities/Custom/Contet Handling/Host</t>
  </si>
  <si>
    <t>C5222.99.3000</t>
  </si>
  <si>
    <t>ISO-25010/Functionality/Completeness/Capabilities/Custom/Message Mapping Management</t>
  </si>
  <si>
    <t>C5222.99.4000</t>
  </si>
  <si>
    <t>ISO-25010/Functionality/Completeness/Capabilities/Custom/Caching</t>
  </si>
  <si>
    <t>C5222.99.4100</t>
  </si>
  <si>
    <t>ISO-25010/Functionality/Completeness/Capabilities/Custom/Caching/Cache closest to use</t>
  </si>
  <si>
    <t>ISO-25010/Functionality/Completeness/Capabilities/Custom/Caching/Cache in format for use</t>
  </si>
  <si>
    <t>ISO-25010/Functionality/Completeness/Capabilities/Custom/Caching/Configurable S,M,L Cache Durations</t>
  </si>
  <si>
    <t>C5222.99.5000</t>
  </si>
  <si>
    <t>ISO-25010/Functionality/Completeness/Capabilities/Custom/Storage Handling</t>
  </si>
  <si>
    <t>C5222.99.5100</t>
  </si>
  <si>
    <t>ISO-25010/Functionality/Completeness/Capabilities/Custom/Storage Handling/CredentialStorage</t>
  </si>
  <si>
    <t>C5222.99.5200</t>
  </si>
  <si>
    <t>ISO-25010/Functionality/Completeness/Capabilities/Custom/Storage Handling/Blob</t>
  </si>
  <si>
    <t>C5222.99.5210</t>
  </si>
  <si>
    <t>ISO-25010/Functionality/Completeness/Capabilities/Custom/Storage Handling/Blob/For Diagnostics</t>
  </si>
  <si>
    <t>C5222.99.5230</t>
  </si>
  <si>
    <t>ISO-25010/Functionality/Completeness/Capabilities/Custom/Storage Handling/Blob/For Media</t>
  </si>
  <si>
    <t>C5222.99.5240</t>
  </si>
  <si>
    <t>ISO-25010/Functionality/Completeness/Capabilities/Custom/Storage Handling/Blob/For Messages</t>
  </si>
  <si>
    <t>C5222.99.5250</t>
  </si>
  <si>
    <t>ISO-25010/Functionality/Completeness/Capabilities/Custom/Storage Handling/Blob/For Modules</t>
  </si>
  <si>
    <t>C5222.99.5300</t>
  </si>
  <si>
    <t>ISO-25010/Functionality/Completeness/Capabilities/Custom/Storage Handling/RelationalDB</t>
  </si>
  <si>
    <t>C5222.99.5400</t>
  </si>
  <si>
    <t>ISO-25010/Functionality/Completeness/Capabilities/Custom/Storage Handling/DocumentDB</t>
  </si>
  <si>
    <t>C5222.99.5410</t>
  </si>
  <si>
    <t>ISO-25010/Functionality/Completeness/Capabilities/Custom/Storage Handling/DocumentDB/Schemed Docs</t>
  </si>
  <si>
    <t>C5222.99.5500</t>
  </si>
  <si>
    <t>ISO-25010/Functionality/Completeness/Capabilities/Custom/Storage Handling/GraphDB</t>
  </si>
  <si>
    <t>C5222.99.5510</t>
  </si>
  <si>
    <t>ISO-25010/Functionality/Completeness/Capabilities/Custom/Storage Handling/GraphDB/Related Links</t>
  </si>
  <si>
    <t>C5222.99.5520</t>
  </si>
  <si>
    <t>ISO-25010/Functionality/Completeness/Capabilities/Custom/Storage Handling/GraphDB/Version Links</t>
  </si>
  <si>
    <t>C5222.99.5530</t>
  </si>
  <si>
    <t>ISO-25010/Functionality/Completeness/Capabilities/Custom/Storage Handling/GraphDB/Usage Links</t>
  </si>
  <si>
    <t>C5230.00.0000</t>
  </si>
  <si>
    <t>C5233.01.0000</t>
  </si>
  <si>
    <t>ISO-25010/Functionality/Correctness/Instructions</t>
  </si>
  <si>
    <t>ISO-25010/Functionality/Correctness/Instructions/Current</t>
  </si>
  <si>
    <t>C5233.02.1000</t>
  </si>
  <si>
    <t>ISO-25010/Functionality/Correctness/Instructions/Current/Role Responsibility Required</t>
  </si>
  <si>
    <t>C5233.02.1100</t>
  </si>
  <si>
    <t>ISO-25010/Functionality/Correctness/Instructions/Current/Role Responsibility Required/Regularly Maintain</t>
  </si>
  <si>
    <t>C5252.00.0000</t>
  </si>
  <si>
    <t>ISO-25010/Functionality/Appropriateness/Evenly distributed across Stakeholders</t>
  </si>
  <si>
    <t xml:space="preserve">The system's Functionality MUST address the functional needs of End Users, General Support, Business Service Support, Operations and Assurance Users.  </t>
  </si>
  <si>
    <t>C5300.00.0000</t>
  </si>
  <si>
    <t>ISO-25010/Maintainability</t>
  </si>
  <si>
    <t>C5310.00.0000</t>
  </si>
  <si>
    <t>ISO-25010/Maintainability/Cost</t>
  </si>
  <si>
    <t>C5320.00.0000</t>
  </si>
  <si>
    <t>C5321.00.0000</t>
  </si>
  <si>
    <t>ISO-25010/Maintainability/Analysability/Diagnostics</t>
  </si>
  <si>
    <t>The system MUST develop a Trace Log that permits investigating operations by User,Session, Operation,DateTime,Component.</t>
  </si>
  <si>
    <t>C5322.00.0000</t>
  </si>
  <si>
    <t>ISO-25010/Maintainability/Analysability/Errors</t>
  </si>
  <si>
    <t xml:space="preserve">The system MUST develop a thin, permanent, secured record of all System Errors, associated to User, Session, Operation, DateTime, Component.  </t>
  </si>
  <si>
    <t>C5323.00.0000</t>
  </si>
  <si>
    <t>ISO-25010/Maintainability/Analysability/Notifications</t>
  </si>
  <si>
    <t xml:space="preserve">The system MUST notify - directly or via a proxy - members of appropriate role of system errors that require resolution. </t>
  </si>
  <si>
    <t>C5323.01.0000</t>
  </si>
  <si>
    <t>ISO-25010/Maintainability/Analysability/Notifications/Devices</t>
  </si>
  <si>
    <t>C5323.02.0000</t>
  </si>
  <si>
    <t>ISO-25010/Maintainability/Analysability/Notifications/Storage</t>
  </si>
  <si>
    <t>C5323.03.0000</t>
  </si>
  <si>
    <t>ISO-25010/Maintainability/Analysability/Notifications/Epirations</t>
  </si>
  <si>
    <t>C5323.04.0000</t>
  </si>
  <si>
    <t>ISO-25010/Maintainability/Analysability/Notifications/Traffic</t>
  </si>
  <si>
    <t>C5323.05.0000</t>
  </si>
  <si>
    <t>ISO-25010/Maintainability/Analysability/Notifications/Services</t>
  </si>
  <si>
    <t>C5323.06.0000</t>
  </si>
  <si>
    <t>ISO-25010/Maintainability/Analysability/Notifications/Eceptions</t>
  </si>
  <si>
    <t>C5330.00.0000</t>
  </si>
  <si>
    <t>C5331.00.0000</t>
  </si>
  <si>
    <t>ISO-25010/Functionality/Correctness/Validations</t>
  </si>
  <si>
    <t>The system MUST validate authorisation, request and data before performing an operation.</t>
  </si>
  <si>
    <t>C5331.01.0000</t>
  </si>
  <si>
    <t>ISO-25010/Functionality/Correctness/Validations/At Perimeter in Controllers</t>
  </si>
  <si>
    <t>ISO-25010/Functionality/Correctness/Validations/Rules Management</t>
  </si>
  <si>
    <t>C5331.01.1000</t>
  </si>
  <si>
    <t>ISO-25010/Functionality/Correctness/Validations/Disallow Direct Access to DataStores</t>
  </si>
  <si>
    <t>C5331.01.1100</t>
  </si>
  <si>
    <t>ISO-25010/Functionality/Correctness/Validations/Disallow Direct Access to DataStores/Migrate via APIs</t>
  </si>
  <si>
    <t>C5331.01.2000</t>
  </si>
  <si>
    <t>ISO-25010/Functionality/Correctness/Validations/Rules Management/Migration Data</t>
  </si>
  <si>
    <t>C5332.00.0000</t>
  </si>
  <si>
    <t>ISO-25010/Functionality/Correctness/Contet</t>
  </si>
  <si>
    <t>C5332.01.0000</t>
  </si>
  <si>
    <t>ISO-25010/Functionality/Correctness/Contet/Users as Individuals and/or Group Members</t>
  </si>
  <si>
    <t>C5332.02.0000</t>
  </si>
  <si>
    <t>ISO-25010/Functionality/Correctness/Contet/Users may have multiple Roles in multiple Groups</t>
  </si>
  <si>
    <t>C5332.02.1000</t>
  </si>
  <si>
    <t>ISO-25010/Functionality/Correctness/Contet/Users can belong to multiple Groups/Multiple Schools</t>
  </si>
  <si>
    <t>C5332.02.2000</t>
  </si>
  <si>
    <t>ISO-25010/Functionality/Correctness/Contet/Users can belong to multiple Groups/Schools and Community</t>
  </si>
  <si>
    <t>C5332.03.0000</t>
  </si>
  <si>
    <t>ISO-25010/Functionality/Correctness/Contet/Large Groups can be comprised of nested Groups</t>
  </si>
  <si>
    <t>C5332.03.1000</t>
  </si>
  <si>
    <t>ISO-25010/Functionality/Correctness/Contet/Large Groups can be comprised of nested child Groups/Orgs,Depts,Cohorts</t>
  </si>
  <si>
    <t>C5332.04.0000</t>
  </si>
  <si>
    <t>ISO-25010/Functionality/Correctness/Contet/A Group can be classified as an Organisation</t>
  </si>
  <si>
    <t>C5332.04.1000</t>
  </si>
  <si>
    <t>ISO-25010/Functionality/Correctness/Contet/Groups can be classified by Cohort, Course, Location, etc.</t>
  </si>
  <si>
    <t>C5332.05.0000</t>
  </si>
  <si>
    <t>ISO-25010/Functionality/Correctness/Contet/Organisations May be Grouped in parent Organisations</t>
  </si>
  <si>
    <t>ISO-25010/Functionality/Correctness/Contet/Some Organisations May be Grouped as Partners</t>
  </si>
  <si>
    <t>C5332.05.1000</t>
  </si>
  <si>
    <t>ISO-25010/Functionality/Correctness/Contet/Organisations May be Grouped as Objective Partners</t>
  </si>
  <si>
    <t>ISO-25010/Functionality/Correctness/Contet/Organisations May be Grouped as Regional Org Groups</t>
  </si>
  <si>
    <t>C5332.08.0000</t>
  </si>
  <si>
    <t>ISO-25010/Functionality/Correctness/Contet/Info is for appropriate sharing with others</t>
  </si>
  <si>
    <t>C5332.08.1000</t>
  </si>
  <si>
    <t>ISO-25010/Functionality/Correctness/Contet/Info is for appropriate sharing with others/Hence API-First</t>
  </si>
  <si>
    <t>C5332.09.0000</t>
  </si>
  <si>
    <t>ISO-25010/Functionality/Correctness/Contet/Will remain Operational for a long Time</t>
  </si>
  <si>
    <t>C5332.09.1000</t>
  </si>
  <si>
    <t>ISO-25010/Functionality/Correctness/Contet/Will remain Operational for a Long Time/Much longer than any Dev phase</t>
  </si>
  <si>
    <t>ISO-25010/Functionality/Correctness/Contet/Will remain Operational for a Long Time/Think Decade</t>
  </si>
  <si>
    <t>C5332.10.0000</t>
  </si>
  <si>
    <t>ISO-25010/Functionality/Correctness/Contet/Incremental Changing Circumstances</t>
  </si>
  <si>
    <t>C5332.10.1000</t>
  </si>
  <si>
    <t>ISO-25010/Functionality/Correctness/Contet/Incremental Changing Circumstances/Or Die</t>
  </si>
  <si>
    <t>C5332.10.2000</t>
  </si>
  <si>
    <t>ISO-25010/Functionality/Correctness/Contet/Incremental Changing Circumstances/Change Users</t>
  </si>
  <si>
    <t>C5332.10.3000</t>
  </si>
  <si>
    <t>ISO-25010/Functionality/Correctness/Contet/Incremental Changing Circumstances/Change Processes</t>
  </si>
  <si>
    <t>C5332.10.4000</t>
  </si>
  <si>
    <t>ISO-25010/Functionality/Correctness/Contet/Incremental Changing Circumstances/Change Permissions</t>
  </si>
  <si>
    <t>ISO-25010/Functionality/Correctness/Contet/Incremental Changing Circumstances/Change Product</t>
  </si>
  <si>
    <t>C5332.10.5000</t>
  </si>
  <si>
    <t>ISO-25010/Functionality/Correctness/Contet/Incremental Changing Circumstances/Change Presentation</t>
  </si>
  <si>
    <t>C5332.10.6000</t>
  </si>
  <si>
    <t>ISO-25010/Functionality/Correctness/Contet/Incremental Changing Circumstances/Changing Threats</t>
  </si>
  <si>
    <t>C5332.10.7000</t>
  </si>
  <si>
    <t>ISO-25010/Functionality/Correctness/Contet/Incremental Changing Circumstances/Changing Regulations</t>
  </si>
  <si>
    <t>C5332.11.0000</t>
  </si>
  <si>
    <t>ISO-25010/Functionality/Correctness/Contet/Government Services require 100% auditability</t>
  </si>
  <si>
    <t>C5332.11.1000</t>
  </si>
  <si>
    <t>ISO-25010/Functionality/Correctness/Contet/Government Services require 100% auditability/Including Views</t>
  </si>
  <si>
    <t>C5332.12.0000</t>
  </si>
  <si>
    <t>ISO-25010/Functionality/Correctness/Contet/Government Services require appropriate transparency</t>
  </si>
  <si>
    <t>C5332.12.1000</t>
  </si>
  <si>
    <t>ISO-25010/Functionality/Correctness/Contet/Government Services require appropriate transparency/Open Data</t>
  </si>
  <si>
    <t>C5332.13.0000</t>
  </si>
  <si>
    <t>ISO-25010/Functionality/Correctness/Contet/Government Services for All Citizens Regardless</t>
  </si>
  <si>
    <t>ISO-25010/Functionality/Correctness/Contet/Government Services for All National Cultures</t>
  </si>
  <si>
    <t>C5332.13.1000</t>
  </si>
  <si>
    <t>ISO-25010/Functionality/Correctness/Contet/Government Services for All Citizens Regardless/Ability</t>
  </si>
  <si>
    <t>ISO-25010/Functionality/Correctness/Contet/Government Services for All National Cultures/Wrong Note</t>
  </si>
  <si>
    <t>C5332.13.2000</t>
  </si>
  <si>
    <t>ISO-25010/Functionality/Correctness/Contet/Government Services for All Citizens Regardless/Resources</t>
  </si>
  <si>
    <t>ISO-25010/Functionality/Correctness/Contet/Government Services for All National Cultures/Wrong Interpretation</t>
  </si>
  <si>
    <t>C5332.13.3000</t>
  </si>
  <si>
    <t>ISO-25010/Functionality/Correctness/Contet/Government Services for All Citizens Regardless/Language</t>
  </si>
  <si>
    <t>C5332.13.4000</t>
  </si>
  <si>
    <t>ISO-25010/Functionality/Correctness/Contet/Government Services for All Citizens Regardless/Culture Design</t>
  </si>
  <si>
    <t>C5332.14.0000</t>
  </si>
  <si>
    <t>ISO-25010/Functionality/Correctness/Contet/Government Service within eisting Obligations</t>
  </si>
  <si>
    <t>C5332.14.1000</t>
  </si>
  <si>
    <t>ISO-25010/Functionality/Correctness/Contet/Government Service within eisting Obligations/Accessibility</t>
  </si>
  <si>
    <t>C5332.14.2000</t>
  </si>
  <si>
    <t>ISO-25010/Functionality/Correctness/Contet/Government Service within eisting Obligations/Equity</t>
  </si>
  <si>
    <t>C5332.14.3000</t>
  </si>
  <si>
    <t>ISO-25010/Functionality/Correctness/Contet/Government Service within eisting Obligations/Privacy</t>
  </si>
  <si>
    <t>C5332.14.4000</t>
  </si>
  <si>
    <t>ISO-25010/Functionality/Correctness/Contet/Government Service within eisting Obligations/Treaties</t>
  </si>
  <si>
    <t>C5332.14.5000</t>
  </si>
  <si>
    <t>ISO-25010/Functionality/Correctness/Contet/Government Service within eisting Obligations/Archiving</t>
  </si>
  <si>
    <t>C5332.14.6000</t>
  </si>
  <si>
    <t>C5332.14.7000</t>
  </si>
  <si>
    <t>ISO-25010/Functionality/Correctness/Contet/Government Service within eisting Obligations/Transparency</t>
  </si>
  <si>
    <t>C5332.14.8000</t>
  </si>
  <si>
    <t>ISO-25010/Functionality/Correctness/Contet/Government Service within eisting Obligations/Accountability</t>
  </si>
  <si>
    <t>C5332.14.9000</t>
  </si>
  <si>
    <t>ISO-25010/Functionality/Correctness/Contet/Government Service within eisting Obligations/Sector</t>
  </si>
  <si>
    <t>C5332.15.0000</t>
  </si>
  <si>
    <t>ISO-25010/Functionality/Correctness/Contet/All Services operate within Lawful contets</t>
  </si>
  <si>
    <t>C5332.15.1000</t>
  </si>
  <si>
    <t>ISO-25010/Functionality/Correctness/Contet/All Services operate within Lawful contets/Privacy</t>
  </si>
  <si>
    <t>C5332.15.2000</t>
  </si>
  <si>
    <t>ISO-25010/Functionality/Correctness/Contet/All Services operate within Lawful contets/Transparency</t>
  </si>
  <si>
    <t>C5332.15.3000</t>
  </si>
  <si>
    <t>ISO-25010/Functionality/Correctness/Contet/All Services operate within Lawful contets/Accountability</t>
  </si>
  <si>
    <t>C5332.15.4000</t>
  </si>
  <si>
    <t>ISO-25010/Functionality/Correctness/Contet/All Services operate within Lawful contets/Sector</t>
  </si>
  <si>
    <t>C5335.00.0000</t>
  </si>
  <si>
    <t>ISO-25010/Functionality/Correctness/Type</t>
  </si>
  <si>
    <t>C5335.01.0000</t>
  </si>
  <si>
    <t>ISO-25010/Functionality/Correctness/Type/Appropriate</t>
  </si>
  <si>
    <t>C5335.01.1000</t>
  </si>
  <si>
    <t>ISO-25010/Functionality/Correctness/Type/Appropriate/Currency</t>
  </si>
  <si>
    <t>ISO-25010/Functionality/Correctness/Type/Universal/UUID</t>
  </si>
  <si>
    <t>C5335.01.2000</t>
  </si>
  <si>
    <t>ISO-25010/Functionality/Correctness/Type/Appropriate/Signed</t>
  </si>
  <si>
    <t>ISO-25010/Functionality/Correctness/Type/Universal/Unicode</t>
  </si>
  <si>
    <t>C5335.01.3000</t>
  </si>
  <si>
    <t>ISO-25010/Functionality/Correctness/Type/Universal/MaLength</t>
  </si>
  <si>
    <t>C5335.02.0000</t>
  </si>
  <si>
    <t>ISO-25010/Functionality/Correctness/Type/Universal</t>
  </si>
  <si>
    <t>C5336.00.0000</t>
  </si>
  <si>
    <t>C5336.01.0000</t>
  </si>
  <si>
    <t>ISO-25010/Functionality/Correctness/Instructions/Interpretated Resources</t>
  </si>
  <si>
    <t>C5336.01.1000</t>
  </si>
  <si>
    <t>ISO-25010/Functionality/Correctness/Instructions/Interpretated Resources/Wrong Impression</t>
  </si>
  <si>
    <t>C5336.01.2000</t>
  </si>
  <si>
    <t>ISO-25010/Functionality/Correctness/Instructions/Interpretated Resources/Differing Meaning</t>
  </si>
  <si>
    <t>C5336.02.0000</t>
  </si>
  <si>
    <t>C5336.02.1000</t>
  </si>
  <si>
    <t>C5336.02.1100</t>
  </si>
  <si>
    <t>ISO-25010/Functionality/Correctness/Instructions/Current/Role Responsibility Required/Review Feedback</t>
  </si>
  <si>
    <t>C5336.02.1300</t>
  </si>
  <si>
    <t>ISO-25010/Functionality/Correctness/Instructions/Current/Role Responsibility Required/Regularly Simplify</t>
  </si>
  <si>
    <t>C5340.00.0000</t>
  </si>
  <si>
    <t>ISO-25010/Maintainability/Modifiability</t>
  </si>
  <si>
    <t>C5341.00.0000</t>
  </si>
  <si>
    <t>ISO-25010/Maintainability/Modifiability/Design</t>
  </si>
  <si>
    <t>Custom Developed systems MUST permit extension by design.</t>
  </si>
  <si>
    <t>C5341.01.0000</t>
  </si>
  <si>
    <t>ISO-25010/Maintainability/Modifiability/Design/Suite Member</t>
  </si>
  <si>
    <t>C5341.02.0000</t>
  </si>
  <si>
    <t>ISO-25010/Maintainability/Modifiability/Design/Branding</t>
  </si>
  <si>
    <t>C5341.03.0000</t>
  </si>
  <si>
    <t>ISO-25010/Maintainability/Modifiability/Design/Styling</t>
  </si>
  <si>
    <t>C5341.04.0000</t>
  </si>
  <si>
    <t>ISO-25010/Maintainability/Modifiability/Design/Organisation Integration</t>
  </si>
  <si>
    <t>C5341.04.1000</t>
  </si>
  <si>
    <t>ISO-25010/Maintainability/Modifiability/Design/Organisation Integration/IdP</t>
  </si>
  <si>
    <t>C5341.04.2000</t>
  </si>
  <si>
    <t>ISO-25010/Maintainability/Modifiability/Design/Organisation Integration/Directory</t>
  </si>
  <si>
    <t>C5341.04.3000</t>
  </si>
  <si>
    <t>ISO-25010/Maintainability/Modifiability/Design/Organisation Integration/SMTP</t>
  </si>
  <si>
    <t>C5341.05.0000</t>
  </si>
  <si>
    <t>ISO-25010/Maintainability/Modifiability/Design/Configurability</t>
  </si>
  <si>
    <t>C5341.06.0000</t>
  </si>
  <si>
    <t>ISO-25010/Maintainability/Modifiability/Design/NoCode</t>
  </si>
  <si>
    <t>C5341.99.0000</t>
  </si>
  <si>
    <t>ISO-25010/Maintainability/Modifiability/Design/Custom</t>
  </si>
  <si>
    <t>C5341.99.1000</t>
  </si>
  <si>
    <t>ISO-25010/Maintainability/Modifiability/Design/Custom/Patterns</t>
  </si>
  <si>
    <t>C5341.99.1200</t>
  </si>
  <si>
    <t>ISO-25010/Maintainability/Modifiability/Design/Custom/Patterns/DDD</t>
  </si>
  <si>
    <t>C5341.99.1300</t>
  </si>
  <si>
    <t>ISO-25010/Maintainability/Modifiability/Design/Custom/Patterns/Stateless</t>
  </si>
  <si>
    <t>C5341.99.1400</t>
  </si>
  <si>
    <t>ISO-25010/Maintainability/Modifiability/Design/Custom/Patterns/Centralised Logic (Out of Controllers)</t>
  </si>
  <si>
    <t>C5341.99.1500</t>
  </si>
  <si>
    <t>ISO-25010/Maintainability/Modifiability/Design/Custom/Patterns/Centralised Logic (Out of Storage)</t>
  </si>
  <si>
    <t>C5341.99.1600</t>
  </si>
  <si>
    <t>ISO-25010/Maintainability/Modifiability/Design/Custom/Patterns/API-First Client-Server Separation</t>
  </si>
  <si>
    <t>C5341.99.1700</t>
  </si>
  <si>
    <t>ISO-25010/Maintainability/Modifiability/Design/Custom/Patterns/Design for Operation versus Development</t>
  </si>
  <si>
    <t>C5342.00.0000</t>
  </si>
  <si>
    <t>ISO-25010/Maintainability/Modifiability/Development</t>
  </si>
  <si>
    <t>C5342.01.0000</t>
  </si>
  <si>
    <t>ISO-25010/Maintainability/Modifiability/Development/AsAService</t>
  </si>
  <si>
    <t>C5342.99.0000</t>
  </si>
  <si>
    <t>ISO-25010/Maintainability/Modifiability/Development/Custom</t>
  </si>
  <si>
    <t>C5342.99.1000</t>
  </si>
  <si>
    <t>ISO-25010/Maintainability/Modifiability/Development/Custom/General</t>
  </si>
  <si>
    <t>C5342.99.1100</t>
  </si>
  <si>
    <t>ISO-25010/Maintainability/Modifiability/Development/Custom/General/Patterns</t>
  </si>
  <si>
    <t>C5342.99.1110</t>
  </si>
  <si>
    <t>ISO-25010/Maintainability/Modifiability/Development/Custom/General/Patterns/Comparisons</t>
  </si>
  <si>
    <t>C5342.99.1111</t>
  </si>
  <si>
    <t>ISO-25010/Maintainability/Modifiability/Development/Custom/General/Patterns/Comparisons/MVS v MVP</t>
  </si>
  <si>
    <t>C5342.99.1112</t>
  </si>
  <si>
    <t>ISO-25010/Maintainability/Modifiability/Development/Custom/General/Patterns/Comparisions/YEGNI v YAGNI</t>
  </si>
  <si>
    <t>C5342.99.1113</t>
  </si>
  <si>
    <t>ISO-25010/Maintainability/Modifiability/Development/Custom/General/Patterns/Comparisions/CRUS v CRUD</t>
  </si>
  <si>
    <t>C5342.99.1114</t>
  </si>
  <si>
    <t>ISO-25010/Maintainability/Modifiability/Development/Custom/General/Patterns/Comparisions/ORM v SQL</t>
  </si>
  <si>
    <t>C5342.99.1115</t>
  </si>
  <si>
    <t>ISO-25010/Maintainability/Modifiability/Development/Custom/General/Patterns/Comparisions/Messages v Parameters</t>
  </si>
  <si>
    <t>C5342.99.1116</t>
  </si>
  <si>
    <t>ISO-25010/Maintainability/Modifiability/Development/Custom/General/Patterns/Comparisions/UUID v INT Keys</t>
  </si>
  <si>
    <t>C5342.99.1117</t>
  </si>
  <si>
    <t>ISO-25010/Maintainability/Modifiability/Development/Custom/General/Patterns/Comparisions/System v Natural Cluster Keys</t>
  </si>
  <si>
    <t>C5342.99.1120</t>
  </si>
  <si>
    <t>ISO-25010/Maintainability/Modifiability/Development/Custom/General/Patterns/QA</t>
  </si>
  <si>
    <t>C5342.99.1121</t>
  </si>
  <si>
    <t>ISO-25010/Maintainability/Modifiability/Development/Custom/General/Patterns/QA/TDD</t>
  </si>
  <si>
    <t>C5342.99.1122</t>
  </si>
  <si>
    <t>ISO-25010/Maintainability/Modifiability/Development/Custom/General/Patterns/QA/AAA</t>
  </si>
  <si>
    <t>C5342.99.1123</t>
  </si>
  <si>
    <t>ISO-25010/Maintainability/Modifiability/Development/Custom/General/Patterns/QA/GWT</t>
  </si>
  <si>
    <t>C5342.99.1130</t>
  </si>
  <si>
    <t>ISO-25010/Maintainability/Modifiability/Development/Custom/General/Patterns/OO</t>
  </si>
  <si>
    <t>C5342.99.1131</t>
  </si>
  <si>
    <t>ISO-25010/Maintainability/Modifiability/Development/Custom/General/Patterns/OO/SOLID</t>
  </si>
  <si>
    <t>C5342.99.1132</t>
  </si>
  <si>
    <t>ISO-25010/Maintainability/Modifiability/Development/Custom/General/Patterns/OO/GRASP</t>
  </si>
  <si>
    <t>C5342.99.2000</t>
  </si>
  <si>
    <t>ISO-25010/Maintainability/Modifiability/Development/Custom/Delivery</t>
  </si>
  <si>
    <t>C5342.99.2100</t>
  </si>
  <si>
    <t>ISO-25010/Maintainability/Modifiability/Development/Custom/Delivery/By Automation</t>
  </si>
  <si>
    <t>C5342.99.2200</t>
  </si>
  <si>
    <t>ISO-25010/Maintainability/Modifiability/Development/Custom/Delivery/IaC</t>
  </si>
  <si>
    <t>C5342.99.2300</t>
  </si>
  <si>
    <t>ISO-25010/Maintainability/Modifiability/Development/Custom/Delivery/DBaC</t>
  </si>
  <si>
    <t>C5342.99.2400</t>
  </si>
  <si>
    <t>ISO-25010/Maintainability/Modifiability/Development/Custom/Delivery/LaC</t>
  </si>
  <si>
    <t>C5342.99.3000</t>
  </si>
  <si>
    <t>ISO-25010/Maintainability/Modifiability/Development/Custom/Server</t>
  </si>
  <si>
    <t>C5342.99.3100</t>
  </si>
  <si>
    <t>ISO-25010/Maintainability/Modifiability/Development/Custom/Server/Host</t>
  </si>
  <si>
    <t>C5342.99.3110</t>
  </si>
  <si>
    <t>ISO-25010/Maintainability/Modifiability/Development/Custom/Server/Host/Thin</t>
  </si>
  <si>
    <t>C5342.99.3200</t>
  </si>
  <si>
    <t>ISO-25010/Maintainability/Modifiability/Development/Custom/Server/Controllers</t>
  </si>
  <si>
    <t>C5342.99.3210</t>
  </si>
  <si>
    <t>ISO-25010/Maintainability/Modifiability/Development/Custom/Server/Controllers/API Only</t>
  </si>
  <si>
    <t>C5342.99.3220</t>
  </si>
  <si>
    <t>ISO-25010/Maintainability/Modifiability/Development/Custom/Server/Controllers/Thin</t>
  </si>
  <si>
    <t>C5342.99.3230</t>
  </si>
  <si>
    <t>ISO-25010/Maintainability/Modifiability/Development/Custom/Server/Controllers/Entities &amp; DTOs</t>
  </si>
  <si>
    <t>C5342.99.3240</t>
  </si>
  <si>
    <t>ISO-25010/Maintainability/Modifiability/Development/Custom/Server/Controllers/Validate Messsages</t>
  </si>
  <si>
    <t>C5342.99.3250</t>
  </si>
  <si>
    <t>ISO-25010/Maintainability/Modifiability/Development/Custom/Server/Controllers/Queryability</t>
  </si>
  <si>
    <t>C5342.99.3360</t>
  </si>
  <si>
    <t>ISO-25010/Maintainability/Modifiability/Development/Custom/Server/Controllers/Errors as Messages</t>
  </si>
  <si>
    <t>C5342.99.3400</t>
  </si>
  <si>
    <t>ISO-25010/Maintainability/Modularity/Developability/Custom/Server/Domain:Infrastructure</t>
  </si>
  <si>
    <t>C5342.99.3410</t>
  </si>
  <si>
    <t>ISO-25010/Maintainability/Modularity/Developability/Custom/Server/Domain:Infrastructure/Services</t>
  </si>
  <si>
    <t>C5342.99.3420</t>
  </si>
  <si>
    <t>ISO-25010/Maintainability/Modifiability/Development/Custom/Server/Domain:Business/Services</t>
  </si>
  <si>
    <t>C5342.99.3421</t>
  </si>
  <si>
    <t>ISO-25010/Maintainability/Modifiability/Development/Custom/Server/Domain:Business/Services/Product</t>
  </si>
  <si>
    <t>C5342.99.3422</t>
  </si>
  <si>
    <t>ISO-25010/Maintainability/Modifiability/Development/Custom/Server/Domain:Business/Services/Processes</t>
  </si>
  <si>
    <t>C5342.99.3423</t>
  </si>
  <si>
    <t>ISO-25010/Maintainability/Modifiability/Development/Custom/Server/Domain:Business/Services/Feedback</t>
  </si>
  <si>
    <t>C5342.99.3500</t>
  </si>
  <si>
    <t>ISO-25010/Maintainability/Modularity/Developability/Custom/Server/Domain:Shared</t>
  </si>
  <si>
    <t>C5342.99.3510</t>
  </si>
  <si>
    <t>ISO-25010/Maintainability/Modularity/Developability/Custom/Server/Domain:Shared/Models</t>
  </si>
  <si>
    <t>C5342.99.3520</t>
  </si>
  <si>
    <t>ISO-25010/Maintainability/Modularity/Developability/Custom/Server/Domain:Shared/Messages</t>
  </si>
  <si>
    <t>C5342.99.3530</t>
  </si>
  <si>
    <t>ISO-25010/Maintainability/Modularity/Developability/Custom/Server/Domain:Shared/DTOs</t>
  </si>
  <si>
    <t>C5342.99.3540</t>
  </si>
  <si>
    <t>ISO-25010/Maintainability/Modularity/Developability/Custom/Server/Domain:Shared/Contracts</t>
  </si>
  <si>
    <t>C5342.99.3550</t>
  </si>
  <si>
    <t>ISO-25010/Maintainability/Modularity/Developability/Custom/Server/Domain:Shared/Decorators</t>
  </si>
  <si>
    <t>C5342.99.3600</t>
  </si>
  <si>
    <t>ISO-25010/Maintainability/Modifiability/Development/Custom/Server/Services</t>
  </si>
  <si>
    <t>C5342.99.3610</t>
  </si>
  <si>
    <t>ISO-25010/Maintainability/Modifiability/Development/Custom/Server/Services/Integration:Storage</t>
  </si>
  <si>
    <t>C5342.99.3611</t>
  </si>
  <si>
    <t>ISO-25010/Maintainability/Modifiability/Development/Custom/Server/Services/Integration:Storage/HostSettingsService</t>
  </si>
  <si>
    <t>C5342.99.3612</t>
  </si>
  <si>
    <t>ISO-25010/Maintainability/Modifiability/Development/Custom/Server/Services/Integration:Storage/CredentialStorageService</t>
  </si>
  <si>
    <t>C5342.99.3613</t>
  </si>
  <si>
    <t>ISO-25010/Maintainability/Modifiability/Development/Custom/Server/Services/Integration:Storage/BlobStorageService</t>
  </si>
  <si>
    <t>C5342.99.3614</t>
  </si>
  <si>
    <t>ISO-25010/Maintainability/Modifiability/Development/Custom/Server/Services/Integration:Storage/GenericRepositoryService</t>
  </si>
  <si>
    <t>C5342.99.3615</t>
  </si>
  <si>
    <t>ISO-25010/Maintainability/Modifiability/Development/Custom/Server/Services/Integration:Storage/DocumentDbService</t>
  </si>
  <si>
    <t>C5342.99.3616</t>
  </si>
  <si>
    <t>ISO-25010/Maintainability/Modifiability/Development/Custom/Server/Services/Integration:Storage/GraphDbService</t>
  </si>
  <si>
    <t>C5342.99.3620</t>
  </si>
  <si>
    <t>ISO-25010/Maintainability/Modifiability/Development/Custom/Server/Services/Integration:3rdParty</t>
  </si>
  <si>
    <t>C5342.99.3621</t>
  </si>
  <si>
    <t>ISO-25010/Maintainability/Modifiability/Development/Custom/Server/Services/Integration:3rdParty/CachingService</t>
  </si>
  <si>
    <t>C5342.99.3622</t>
  </si>
  <si>
    <t>ISO-25010/Maintainability/Modifiability/Development/Custom/Server/Services/Integration:3rdParty/IdPService</t>
  </si>
  <si>
    <t>C5342.99.3623</t>
  </si>
  <si>
    <t>ISO-25010/Maintainability/Modifiability/Development/Custom/Server/Services/Integration:3rdParty/GeoIPService</t>
  </si>
  <si>
    <t>C5342.99.3624</t>
  </si>
  <si>
    <t>ISO-25010/Maintainability/Modifiability/Development/Custom/Server/Services/Integration:3rdParty/MapService</t>
  </si>
  <si>
    <t>C5342.99.3625</t>
  </si>
  <si>
    <t>ISO-25010/Maintainability/Modifiability/Development/Custom/Server/Services/Integration:3rdParty/ValidationServices</t>
  </si>
  <si>
    <t>C5342.99.3626</t>
  </si>
  <si>
    <t>ISO-25010/Maintainability/Modifiability/Development/Custom/Server/Services/Integration:3rdParty/SearchService</t>
  </si>
  <si>
    <t>C5342.99.3627</t>
  </si>
  <si>
    <t>ISO-25010/Maintainability/Modifiability/Development/Custom/Server/Services/Integration:3rdParty/EmailSMTPService</t>
  </si>
  <si>
    <t>C5342.99.3628</t>
  </si>
  <si>
    <t>ISO-25010/Maintainability/Modifiability/Development/Custom/Server/Services/Integration:3rdParty/RulesService</t>
  </si>
  <si>
    <t>C5342.99.3629</t>
  </si>
  <si>
    <t>ISO-25010/Maintainability/Modifiability/Development/Custom/Server/Services/Integration:3rdParty/WorkflowService</t>
  </si>
  <si>
    <t>C5342.99.3630</t>
  </si>
  <si>
    <t>ISO-25010/Maintainability/Modifiability/Development/Custom/Server/Services/Status</t>
  </si>
  <si>
    <t>C5342.99.3631</t>
  </si>
  <si>
    <t>ISO-25010/Maintainability/Modifiability/Development/Custom/Server/Services/Status/ConnectionService</t>
  </si>
  <si>
    <t>C5342.99.3632</t>
  </si>
  <si>
    <t>ISO-25010/Maintainability/Modifiability/Development/Custom/Server/Services/Status/DiagnosticsService</t>
  </si>
  <si>
    <t>C5342.99.3633</t>
  </si>
  <si>
    <t>ISO-25010/Maintainability/Modifiability/Development/Custom/Server/Services/Status/ErrorsService</t>
  </si>
  <si>
    <t>C5342.99.3640</t>
  </si>
  <si>
    <t>ISO-25010/Maintainability/Modifiability/Development/Custom/Server/Services/Contet</t>
  </si>
  <si>
    <t>C5342.99.3641</t>
  </si>
  <si>
    <t>ISO-25010/Maintainability/Modifiability/Development/Custom/Server/Services/Contet/ContetService</t>
  </si>
  <si>
    <t>C5342.99.3643</t>
  </si>
  <si>
    <t>ISO-25010/Maintainability/Modifiability/Development/Custom/Server/Services/Contet/SessionService</t>
  </si>
  <si>
    <t>C5342.99.3644</t>
  </si>
  <si>
    <t>ISO-25010/Maintainability/Modifiability/Development/Custom/Server/Services/Contet/RequestService</t>
  </si>
  <si>
    <t>C5342.99.3645</t>
  </si>
  <si>
    <t>ISO-25010/Maintainability/Modifiability/Development/Custom/Server/Services/Contet/TenancyService</t>
  </si>
  <si>
    <t>C5342.99.3646</t>
  </si>
  <si>
    <t>ISO-25010/Maintainability/Modifiability/Development/Custom/Server/Services/Contet/NavigationService</t>
  </si>
  <si>
    <t>C5342.99.3650</t>
  </si>
  <si>
    <t>ISO-25010/Maintainability/Modifiability/Development/Custom/Server/Services/Authorisation</t>
  </si>
  <si>
    <t>ISO-25010/Maintainability/Modifiability/Development/Custom/Server/Services/Configuration</t>
  </si>
  <si>
    <t>ISO-25010/Maintainability/Modifiability/Development/Custom/Server/Services/Configuration/GroupProfileService</t>
  </si>
  <si>
    <t>ISO-25010/Maintainability/Modifiability/Development/Custom/Server/Services/Configuration/GroupSettingsService</t>
  </si>
  <si>
    <t>ISO-25010/Maintainability/Modifiability/Development/Custom/Server/Services/Configuration/HostSettingsService</t>
  </si>
  <si>
    <t>ISO-25010/Maintainability/Modifiability/Development/Custom/Server/Services/Configuration/OrganisationSettingsService</t>
  </si>
  <si>
    <t>ISO-25010/Maintainability/Modifiability/Development/Custom/Server/Services/Configuration/SystemSettingsService</t>
  </si>
  <si>
    <t>ISO-25010/Maintainability/Modifiability/Development/Custom/Server/Services/Configuration/TenantSettingsService</t>
  </si>
  <si>
    <t>ISO-25010/Maintainability/Modifiability/Development/Custom/Server/Services/Configuration/UserProfileService</t>
  </si>
  <si>
    <t>C5342.99.3651</t>
  </si>
  <si>
    <t>ISO-25010/Maintainability/Modifiability/Development/Custom/Server/Services/Authorisation/SessionService</t>
  </si>
  <si>
    <t>C5342.99.3652</t>
  </si>
  <si>
    <t>ISO-25010/Maintainability/Modifiability/Development/Custom/Server/Services/Authorisation/OperationsAuditingService</t>
  </si>
  <si>
    <t>C5342.99.3654</t>
  </si>
  <si>
    <t>ISO-25010/Maintainability/Modifiability/Development/Custom/Server/Services/Authorisation/UserService</t>
  </si>
  <si>
    <t>C5342.99.3655</t>
  </si>
  <si>
    <t>ISO-25010/Maintainability/Modifiability/Development/Custom/Server/Services/Authorisation/GroupService</t>
  </si>
  <si>
    <t>C5342.99.3656</t>
  </si>
  <si>
    <t>ISO-25010/Maintainability/Modifiability/Development/Custom/Server/Services/Authorisation/GroupRolesService</t>
  </si>
  <si>
    <t>C5342.99.3657</t>
  </si>
  <si>
    <t>ISO-25010/Maintainability/Modifiability/Development/Custom/Server/Services/Authorisation/ModulePermissionsService</t>
  </si>
  <si>
    <t>C5342.99.3658</t>
  </si>
  <si>
    <t>ISO-25010/Maintainability/Modifiability/Development/Custom/Server/Services/Authorisation/RolePermissionsService</t>
  </si>
  <si>
    <t>C5342.99.3659</t>
  </si>
  <si>
    <t>ISO-25010/Maintainability/Modifiability/Development/Custom/Server/Services/Authorisation/ProductRolesService</t>
  </si>
  <si>
    <t>C5342.99.3660</t>
  </si>
  <si>
    <t>ISO-25010/Maintainability/Modifiability/Development/Custom/Server/Services/Media</t>
  </si>
  <si>
    <t>C5342.99.3661</t>
  </si>
  <si>
    <t>ISO-25010/Maintainability/Modifiability/Development/Custom/Server/Services/Media/TemplateService</t>
  </si>
  <si>
    <t>C5342.99.3662</t>
  </si>
  <si>
    <t>ISO-25010/Maintainability/Modifiability/Development/Custom/Server/Services/Media/ReportingService</t>
  </si>
  <si>
    <t>C5342.99.3663</t>
  </si>
  <si>
    <t>ISO-25010/Maintainability/Modifiability/Development/Custom/Server/Services/Media/MediaService</t>
  </si>
  <si>
    <t>C5342.99.3664</t>
  </si>
  <si>
    <t>ISO-25010/Maintainability/Modifiability/Development/Custom/Server/Services/Media/MediaCollectionsService</t>
  </si>
  <si>
    <t>ISO-25010/Maintainability/Modifiability/Development/Custom/Server/Services/Media/ZipService</t>
  </si>
  <si>
    <t>C5342.99.3670</t>
  </si>
  <si>
    <t>ISO-25010/Maintainability/Modifiability/Development/Custom/Server/Services/Feedback</t>
  </si>
  <si>
    <t>C5342.99.3671</t>
  </si>
  <si>
    <t>ISO-25010/Maintainability/Modifiability/Development/Custom/Server/Services/Feedback/SocialMediaService</t>
  </si>
  <si>
    <t>C5342.99.3672</t>
  </si>
  <si>
    <t>ISO-25010/Maintainability/Modifiability/Development/Custom/Server/Services/Feedback/RatingsService</t>
  </si>
  <si>
    <t>C5342.99.3673</t>
  </si>
  <si>
    <t>ISO-25010/Maintainability/Modifiability/Development/Custom/Server/Services/Feedback/CommentsService</t>
  </si>
  <si>
    <t>C5342.99.3675</t>
  </si>
  <si>
    <t>ISO-25010/Maintainability/Modifiability/Development/Custom/Server/Services/Customisation/TaggingService</t>
  </si>
  <si>
    <t>C5342.99.3680</t>
  </si>
  <si>
    <t>ISO-25010/Maintainability/Modifiability/Development/Custom/Server/Services/Product</t>
  </si>
  <si>
    <t>C5342.99.3681</t>
  </si>
  <si>
    <t>ISO-25010/Maintainability/Modifiability/Development/Custom/Server/Services/ProductManagementService</t>
  </si>
  <si>
    <t>C5342.99.3691</t>
  </si>
  <si>
    <t>ISO-25010/Maintainability/Modifiability/Development/Custom/Server/Services/Models/ModelValidationService</t>
  </si>
  <si>
    <t>C5342.99.3692</t>
  </si>
  <si>
    <t>ISO-25010/Maintainability/Modifiability/Development/Custom/Server/Services/Models/ModelMappingService</t>
  </si>
  <si>
    <t>C5342.99.3693</t>
  </si>
  <si>
    <t>ISO-25010/Maintainability/Modifiability/Development/Custom/Server/Services/Models/AsyncQueueProcessingService</t>
  </si>
  <si>
    <t>C5342.99.3694</t>
  </si>
  <si>
    <t>ISO-25010/Maintainability/Modifiability/Development/Custom/Server/Services/Models/UUIDGenerationService</t>
  </si>
  <si>
    <t>C5342.99.3700</t>
  </si>
  <si>
    <t>ISO-25010/Maintainability/Modifiability/Development/Custom/Server/Libraries</t>
  </si>
  <si>
    <t>C5342.99.3710</t>
  </si>
  <si>
    <t>ISO-25010/Maintainability/Modifiability/Development/Custom/Server/Libraries/Prefer Open Source</t>
  </si>
  <si>
    <t>C5342.99.3720</t>
  </si>
  <si>
    <t>ISO-25010/Maintainability/Modifiability/Development/Custom/Server/Libraries/Cloud Services are the new DLLs</t>
  </si>
  <si>
    <t>C5342.99.3800</t>
  </si>
  <si>
    <t>ISO-25010/Maintainability/Modifiability/Development/Custom/Server/Dependencies</t>
  </si>
  <si>
    <t>C5342.99.3810</t>
  </si>
  <si>
    <t>ISO-25010/Maintainability/Modifiability/Development/Custom/Server/Dependencies/Contet</t>
  </si>
  <si>
    <t>C5342.99.3811</t>
  </si>
  <si>
    <t>ISO-25010/Maintainability/Modifiability/Development/Custom/Server/Dependencies/Contet/GeoIP</t>
  </si>
  <si>
    <t>C5342.99.3830</t>
  </si>
  <si>
    <t>ISO-25010/Maintainability/Modifiability/Development/Custom/Server/Dependencies/Validation</t>
  </si>
  <si>
    <t>C5342.99.3831</t>
  </si>
  <si>
    <t>ISO-25010/Maintainability/Modifiability/Development/Custom/Server/Dependencies/Validation/Malware</t>
  </si>
  <si>
    <t>C5342.99.3832</t>
  </si>
  <si>
    <t>ISO-25010/Maintainability/Modifiability/Development/Custom/Server/Dependencies/Validation/Comments</t>
  </si>
  <si>
    <t>C5342.99.3840</t>
  </si>
  <si>
    <t>ISO-25010/Maintainability/Modifiability/Development/Custom/Server/Dependencies/Storage</t>
  </si>
  <si>
    <t>C5342.99.3841</t>
  </si>
  <si>
    <t>ISO-25010/Maintainability/Modifiability/Development/Custom/Server/Dependencies/Storage/SecureStorage</t>
  </si>
  <si>
    <t>C5342.99.3842</t>
  </si>
  <si>
    <t>ISO-25010/Maintainability/Modifiability/Development/Custom/Server/Dependencies/Storage/IdP</t>
  </si>
  <si>
    <t>C5342.99.3843</t>
  </si>
  <si>
    <t>ISO-25010/Maintainability/Modifiability/Development/Custom/Server/Dependencies/Storage/DB</t>
  </si>
  <si>
    <t>C5342.99.3844</t>
  </si>
  <si>
    <t>ISO-25010/Maintainability/Modifiability/Development/Custom/Server/Dependencies/Storage/DocumentDB</t>
  </si>
  <si>
    <t>C5342.99.3845</t>
  </si>
  <si>
    <t>ISO-25010/Maintainability/Modifiability/Development/Custom/Server/Dependencies/Storage/GraphDB</t>
  </si>
  <si>
    <t>C5342.99.3850</t>
  </si>
  <si>
    <t>ISO-25010/Maintainability/Modifiability/Development/Custom/Server/Dependencies/Cache</t>
  </si>
  <si>
    <t>C5342.99.3860</t>
  </si>
  <si>
    <t>ISO-25010/Maintainability/Modifiability/Development/Custom/Server/Dependencies/Email</t>
  </si>
  <si>
    <t>C5342.99.3870</t>
  </si>
  <si>
    <t>ISO-25010/Maintainability/Modifiability/Development/Custom/Server/Dependencies/Search</t>
  </si>
  <si>
    <t>C5342.99.3880</t>
  </si>
  <si>
    <t>ISO-25010/Maintainability/Modifiability/Development/Custom/Server/Dependencies/Rules</t>
  </si>
  <si>
    <t>C5342.99.3890</t>
  </si>
  <si>
    <t>ISO-25010/Maintainability/Modifiability/Development/Custom/Server/Dependencies/Workflows</t>
  </si>
  <si>
    <t>C5342.99.3900</t>
  </si>
  <si>
    <t>ISO-25010/Maintainability/Modifiability/Development/Custom/Server/Environment</t>
  </si>
  <si>
    <t>C5342.99.3910</t>
  </si>
  <si>
    <t>ISO-25010/Maintainability/Modifiability/Development/Custom/Server/Environment/Cloud-First</t>
  </si>
  <si>
    <t>C5342.99.5000</t>
  </si>
  <si>
    <t>ISO-25010/Maintainability/Modifiability/Development/Custom/Client</t>
  </si>
  <si>
    <t>C5342.99.5110</t>
  </si>
  <si>
    <t>ISO-25010/Maintainability/Modifiability/Development/Custom/Client/Patterns/SPA</t>
  </si>
  <si>
    <t>C5342.99.5120</t>
  </si>
  <si>
    <t>ISO-25010/Maintainability/Modifiability/Development/Custom/Client/Patterns/PWA</t>
  </si>
  <si>
    <t>C5342.99.5130</t>
  </si>
  <si>
    <t>ISO-25010/Maintainability/Modifiability/Development/Custom/Client/Patterns/BREAD</t>
  </si>
  <si>
    <t>C5342.99.5140</t>
  </si>
  <si>
    <t>ISO-25010/Maintainability/Modifiability/Development/Custom/Client/Patterns/View Composition</t>
  </si>
  <si>
    <t>C5342.99.5141</t>
  </si>
  <si>
    <t>ISO-25010/Maintainability/Modifiability/Development/Custom/Client/Patterns/Views/Input, Output or Container</t>
  </si>
  <si>
    <t>C5342.99.5200</t>
  </si>
  <si>
    <t>ISO-25010/Maintainability/Modifiability/Development/Custom/Client/Views</t>
  </si>
  <si>
    <t>C5342.99.5210</t>
  </si>
  <si>
    <t>ISO-25010/Maintainability/Modifiability/Development/Custom/Client/Views/Contet</t>
  </si>
  <si>
    <t>C5342.99.5211</t>
  </si>
  <si>
    <t>ISO-25010/Maintainability/Modifiability/Development/Custom/Client/Views/Contet/System</t>
  </si>
  <si>
    <t>C5342.99.5212</t>
  </si>
  <si>
    <t>ISO-25010/Maintainability/Modifiability/Development/Custom/Client/Views/Contet/Tenancy</t>
  </si>
  <si>
    <t>C5342.99.5213</t>
  </si>
  <si>
    <t>ISO-25010/Maintainability/Modifiability/Development/Custom/Client/Views/Contet/Organisation</t>
  </si>
  <si>
    <t>C5342.99.5214</t>
  </si>
  <si>
    <t>ISO-25010/Maintainability/Modifiability/Development/Custom/Client/Views/Contet/Resource</t>
  </si>
  <si>
    <t>C5342.99.5220</t>
  </si>
  <si>
    <t>ISO-25010/Maintainability/Modifiability/Development/Custom/Client/Views/Resources</t>
  </si>
  <si>
    <t>C5342.99.5230</t>
  </si>
  <si>
    <t>ISO-25010/Maintainability/Modifiability/Development/Custom/Client/Views/Body</t>
  </si>
  <si>
    <t>ISO-25010/Maintainability/Modifiability/Development/Custom/Client/Views/Status</t>
  </si>
  <si>
    <t>C5342.99.5231</t>
  </si>
  <si>
    <t>ISO-25010/Maintainability/Modifiability/Development/Custom/Client/Views/Body/Home</t>
  </si>
  <si>
    <t>ISO-25010/Maintainability/Modifiability/Development/Custom/Client/Views/Status/Client</t>
  </si>
  <si>
    <t>C5342.99.5232</t>
  </si>
  <si>
    <t>ISO-25010/Maintainability/Modifiability/Development/Custom/Client/Views/Body/Dashboard</t>
  </si>
  <si>
    <t>ISO-25010/Maintainability/Modifiability/Development/Custom/Client/Views/Status/Network</t>
  </si>
  <si>
    <t>C5342.99.5233</t>
  </si>
  <si>
    <t>ISO-25010/Maintainability/Modifiability/Development/Custom/Client/Views/Status/Server</t>
  </si>
  <si>
    <t>C5350.00.0000</t>
  </si>
  <si>
    <t>ISO-25010/Maintainability/Modularity</t>
  </si>
  <si>
    <t>Custom Developed systems MUST package capabilities as modules that can be enabled and disabled.</t>
  </si>
  <si>
    <t>C5351.00.0000</t>
  </si>
  <si>
    <t>ISO-25010/Maintainability/Modularity/Tiers</t>
  </si>
  <si>
    <t>IF custom developed, the service MUST be developed using a Tier capable architecture, where Storage, Logic, and Presentation are hostable on different devices.</t>
  </si>
  <si>
    <t>C5352.00.0000</t>
  </si>
  <si>
    <t>ISO-25010/Maintainability/Modularity/Developability</t>
  </si>
  <si>
    <t>IF custom developed, the service MUST be developed using languages and technology approved by the organisation.</t>
  </si>
  <si>
    <t>C5352.01.0000</t>
  </si>
  <si>
    <t>ISO-25010/Maintainability/Modularity/Developability/Functionality Modules</t>
  </si>
  <si>
    <t>C5352.99.0000</t>
  </si>
  <si>
    <t>ISO-25010/Maintainability/Modularity/Developability/Custom</t>
  </si>
  <si>
    <t>C5352.99.1000</t>
  </si>
  <si>
    <t>ISO-25010/Maintainability/Modularity/Developability/Custom/Layers</t>
  </si>
  <si>
    <t>C5352.99.2000</t>
  </si>
  <si>
    <t>ISO-25010/Maintainability/Modularity/Developability/Custom/Logical Modules</t>
  </si>
  <si>
    <t>C5352.99.3000</t>
  </si>
  <si>
    <t>ISO-25010/Maintainability/Modularity/Developability/Custom/Components</t>
  </si>
  <si>
    <t>C5352.99.3100</t>
  </si>
  <si>
    <t>ISO-25010/Maintainability/Modularity/Developability/Custom/Components/Controllers</t>
  </si>
  <si>
    <t>C5352.99.3200</t>
  </si>
  <si>
    <t>ISO-25010/Maintainability/Modularity/Developability/Custom/Components/Controls</t>
  </si>
  <si>
    <t>C5352.99.3300</t>
  </si>
  <si>
    <t>ISO-25010/Maintainability/Modularity/Developability/Custom/Components/Views</t>
  </si>
  <si>
    <t>C5352.99.3600</t>
  </si>
  <si>
    <t>ISO-25010/Maintainability/Modularity/Developability/Custom/Components/Domains</t>
  </si>
  <si>
    <t>ISO-25010/Maintainability/Modularity/Developability/Custom/Components/Domains/Infrastructure</t>
  </si>
  <si>
    <t>C5352.99.3610</t>
  </si>
  <si>
    <t>ISO-25010/Maintainability/Modularity/Developability/Custom/Components/Domains/Infrastructure/Libraries</t>
  </si>
  <si>
    <t>C5352.99.3620</t>
  </si>
  <si>
    <t>ISO-25010/Maintainability/Modularity/Developability/Custom/Components/Domains/Infrastructure/Services</t>
  </si>
  <si>
    <t>C5352.99.3700</t>
  </si>
  <si>
    <t>ISO-25010/Maintainability/Modularity/Developability/Custom/Components/Domains/Business</t>
  </si>
  <si>
    <t>C5352.99.3800</t>
  </si>
  <si>
    <t>ISO-25010/Maintainability/Modularity/Developability/Custom/Components/Domains/Shared</t>
  </si>
  <si>
    <t>C5360.00.0000</t>
  </si>
  <si>
    <t>ISO-25010/Maintainability/Reusability</t>
  </si>
  <si>
    <t>C5361.01.0000</t>
  </si>
  <si>
    <t>ISO-25010/Maintainability/Reusability/APIs</t>
  </si>
  <si>
    <t>C5361.01.1000</t>
  </si>
  <si>
    <t>ISO-25010/Maintainability/Reusability/APIs/Querability</t>
  </si>
  <si>
    <t>ISO-25010/Maintainability/Reusability/APIs/SDK</t>
  </si>
  <si>
    <t>C5370.00.0000</t>
  </si>
  <si>
    <t>ISO-25010/Maintainability/Testability</t>
  </si>
  <si>
    <t>C5371.00.0000</t>
  </si>
  <si>
    <t>ISO-25010/Maintainability/Testability/100% Automated</t>
  </si>
  <si>
    <t>Logical, Functionality, Quality Testing MUST be performed by Automation.</t>
  </si>
  <si>
    <t>C5371.01.0000</t>
  </si>
  <si>
    <t>ISO-25010/Maintainability/Testability/100% Automated/Within Delivery Pipeline</t>
  </si>
  <si>
    <t>C5372.00.0000</t>
  </si>
  <si>
    <t>ISO-25010/Maintainability/Testability/API Coverage</t>
  </si>
  <si>
    <t>Custom Developed APIs MUST have 100% Test Coverage.</t>
  </si>
  <si>
    <t>C5372.01.0000</t>
  </si>
  <si>
    <t>ISO-25010/Maintainability/Testability/100% Coverage/More important than Code Coverage</t>
  </si>
  <si>
    <t>C5373.00.0000</t>
  </si>
  <si>
    <t>ISO-25010/Maintainability/Testability/Compiled Languages</t>
  </si>
  <si>
    <t>Custom Development MUST be undertaken using Compiled development languages.</t>
  </si>
  <si>
    <t>C5374.00.0000</t>
  </si>
  <si>
    <t>ISO-25010/Maintainability/Testability/Static Tests</t>
  </si>
  <si>
    <t>C5374.01.0000</t>
  </si>
  <si>
    <t>ISO-25010/Maintainability/Testability/Static Tests/AAA</t>
  </si>
  <si>
    <t>C5374.02.0000</t>
  </si>
  <si>
    <t>ISO-25010/Maintainability/Testability/Static Tests/Can Run in Parrallel</t>
  </si>
  <si>
    <t>C5374.03.0000</t>
  </si>
  <si>
    <t>ISO-25010/Maintainability/Testability/Static Tests/Do Not Change Persisted State</t>
  </si>
  <si>
    <t>C5375.00.0000</t>
  </si>
  <si>
    <t>ISO-25010/Maintainability/Testability/Dynamic Tests</t>
  </si>
  <si>
    <t>C5375.01.0000</t>
  </si>
  <si>
    <t>ISO-25010/Maintainability/Testability/Dynamic Tests/Can Run in Parrallel</t>
  </si>
  <si>
    <t>C5375.02.0000</t>
  </si>
  <si>
    <t>ISO-25010/Maintainability/Testability/Dynamic Tests/Sequence Independent</t>
  </si>
  <si>
    <t>C5375.03.0000</t>
  </si>
  <si>
    <t>ISO-25010/Maintainability/Testability/Dynamic Tests/Reset Data After Test</t>
  </si>
  <si>
    <t>C5376.00.0000</t>
  </si>
  <si>
    <t>ISO-25010/Maintainability/Testability/Connectivity Tests</t>
  </si>
  <si>
    <t>Automated Testing MUST include Testing of Connectivity between devices and Services.</t>
  </si>
  <si>
    <t>C5380.00.0000</t>
  </si>
  <si>
    <t>ISO-25010/Maintainability/Documentation</t>
  </si>
  <si>
    <t>C5380.01.0000</t>
  </si>
  <si>
    <t>ISO-25010/Maintainability/Documentation/Updatable</t>
  </si>
  <si>
    <t>C5380.02.0000</t>
  </si>
  <si>
    <t>ISO-25010/Maintainability/Documentation/Stored Separately</t>
  </si>
  <si>
    <t>C5382.00.0000</t>
  </si>
  <si>
    <t>ISO-25010/Maintainability/Documentation/Configuration Guide</t>
  </si>
  <si>
    <t>C5383.00.0000</t>
  </si>
  <si>
    <t>ISO-25010/Maintainability/Documentation/Deployment Guide</t>
  </si>
  <si>
    <t>C5384.00.0000</t>
  </si>
  <si>
    <t>ISO-25010/Maintainability/Documentation/DR Guide</t>
  </si>
  <si>
    <t>C5385.00.0000</t>
  </si>
  <si>
    <t>ISO-25010/Maintainability/Documentation/BCP</t>
  </si>
  <si>
    <t>Documentation of system processes Business Continuity Processes MUST be provided.</t>
  </si>
  <si>
    <t>C5386.00.0000</t>
  </si>
  <si>
    <t>ISO-25010/Maintainability/Documentation/Operations Guide</t>
  </si>
  <si>
    <t>Documentation of how to Operate the System MUST be provided for Support, Business Support and System Support specialists.</t>
  </si>
  <si>
    <t>C5386.01.0000</t>
  </si>
  <si>
    <t>ISO-25010/Maintainability/Documentation/Operation Guide/Decommissioning</t>
  </si>
  <si>
    <t>C5386.01.1000</t>
  </si>
  <si>
    <t>ISO-25010/Maintainability/Documentation/Operation Guide/Decommissioning/Secure Data Deletion</t>
  </si>
  <si>
    <t>C5386.01.2000</t>
  </si>
  <si>
    <t>ISO-25010/Maintainability/Documentation/Operation Guide/Decommissioning/Secure Environment Deletion</t>
  </si>
  <si>
    <t>C5387.00.0000</t>
  </si>
  <si>
    <t>ISO-25010/Maintainability/Documentation/Support Guide</t>
  </si>
  <si>
    <t>C5388.00.0000</t>
  </si>
  <si>
    <t>ISO-25010/Maintainability/Documentation/User Guide</t>
  </si>
  <si>
    <t>Documention of how Users use the system MUST be provided.</t>
  </si>
  <si>
    <t>C5389.00.0000</t>
  </si>
  <si>
    <t>ISO-25010/Maintainability/Documentation/Development Guide</t>
  </si>
  <si>
    <t>Documentation of custom development MUST be provided sufficient to inform 3rd party support specialists.</t>
  </si>
  <si>
    <t>C5389.01.0000</t>
  </si>
  <si>
    <t>ISO-25010/Maintainability/Documentation/Development Guide/Maintainability</t>
  </si>
  <si>
    <t>C5389.02.0000</t>
  </si>
  <si>
    <t>ISO-25010/Maintainability/Documentation/Development Guide/Security</t>
  </si>
  <si>
    <t>C5389.02.1000</t>
  </si>
  <si>
    <t>ISO-25010/Maintainability/Documentation/Development Guide/Security/Credentials out of Repositories</t>
  </si>
  <si>
    <t>C5389.02.2000</t>
  </si>
  <si>
    <t>ISO-25010/Maintainability/Documentation/Development Guide/Security/Credentials out of Documentation</t>
  </si>
  <si>
    <t>C5389.02.3000</t>
  </si>
  <si>
    <t>ISO-25010/Maintainability/Documentation/Development Guide/Security/Credentials out of System Configuration</t>
  </si>
  <si>
    <t>C5389.02.4000</t>
  </si>
  <si>
    <t>ISO-25010/Maintainability/Documentation/Development Guide/Security/Credentials out of Pipeline Automations</t>
  </si>
  <si>
    <t>C5390.00.0000</t>
  </si>
  <si>
    <t>ISO-25010/Maintainability/Current</t>
  </si>
  <si>
    <t>C5391.00.0000</t>
  </si>
  <si>
    <t>ISO-25010/Maintainability/Current/Supported</t>
  </si>
  <si>
    <t>C5392.00.0000</t>
  </si>
  <si>
    <t>ISO-25010/Maintainability/Current/Secure</t>
  </si>
  <si>
    <t>C5400.00.0000</t>
  </si>
  <si>
    <t>ISO-25010/Performance</t>
  </si>
  <si>
    <t>C5410.00.0000</t>
  </si>
  <si>
    <t>ISO-25010/Performance/Capacity</t>
  </si>
  <si>
    <t>C5411.00.0000</t>
  </si>
  <si>
    <t>ISO-25010/Performance/Capacity/Concurrent</t>
  </si>
  <si>
    <t>The System MUST handle concurrent requests in parrallel.</t>
  </si>
  <si>
    <t>C5412.00.0000</t>
  </si>
  <si>
    <t>ISO-25010/Performance/Capacity/MaDemand</t>
  </si>
  <si>
    <t>C5420.00.0000</t>
  </si>
  <si>
    <t>ISO-25010/Performance/Capacity/Throughput</t>
  </si>
  <si>
    <t>ISO-25010/Performance/Capacity/Throughput/Async</t>
  </si>
  <si>
    <t>IF Custom Developed, the System SHOULD enable higher throughput by handling requests asynchronously.</t>
  </si>
  <si>
    <t>C5430.00.0000</t>
  </si>
  <si>
    <t>C5431.00.0000</t>
  </si>
  <si>
    <t>ISO-25010/Performance/Resource Usage/Devices</t>
  </si>
  <si>
    <t>The System MUST be capable of running on mainstream devices that are older than 36 months.</t>
  </si>
  <si>
    <t>C5431.01.0000</t>
  </si>
  <si>
    <t>ISO-25010/Performance/Resource Usage/Devices/Ma = 2 Per Tier</t>
  </si>
  <si>
    <t>C5432.00.0000</t>
  </si>
  <si>
    <t>ISO-25010/Performance/Resource Usage/CPUs</t>
  </si>
  <si>
    <t>The System MUST not consume more than 1/3 of any device's available CPU.</t>
  </si>
  <si>
    <t>C5432.01.0000</t>
  </si>
  <si>
    <t>ISO-25010/Performance/Resource Usage/CPUs/Ma = 2  OS Min</t>
  </si>
  <si>
    <t>C5433.00.0000</t>
  </si>
  <si>
    <t>ISO-25010/Performance/Resource Usage/Memory</t>
  </si>
  <si>
    <t>The System MUST not consume more than 1/3 of a Device's available Memory.</t>
  </si>
  <si>
    <t>C5433.01.0000</t>
  </si>
  <si>
    <t>ISO-25010/Performance/Resource Usage/Threads/Ma = 2  OS Min</t>
  </si>
  <si>
    <t>C5434.00.0000</t>
  </si>
  <si>
    <t>ISO-25010/Performance/Resource Usage/Threads</t>
  </si>
  <si>
    <t>C5434.01.0000</t>
  </si>
  <si>
    <t>ISO-25010/Performance/Resource Usage/Threads/Multi</t>
  </si>
  <si>
    <t>C5434.02.0000</t>
  </si>
  <si>
    <t>ISO-25010/Performance/Resource Usage/Threads/Async</t>
  </si>
  <si>
    <t>C5434.03.0000</t>
  </si>
  <si>
    <t>ISO-25010/Performance/Resource Usage/Threads/DBConnections</t>
  </si>
  <si>
    <t>C5435.00.0000</t>
  </si>
  <si>
    <t>C5436.00.0000</t>
  </si>
  <si>
    <t>ISO-25010/Performance/Resource Usage/Storage</t>
  </si>
  <si>
    <t>C5436.01.0000</t>
  </si>
  <si>
    <t>ISO-25010/Performance/Resource Usage/Storage/Diagnostics In Blobs</t>
  </si>
  <si>
    <t>C5436.02.0000</t>
  </si>
  <si>
    <t>ISO-25010/Performance/Resource Usage/Storage/Media In Blobs</t>
  </si>
  <si>
    <t>C5436.03.0000</t>
  </si>
  <si>
    <t>ISO-25010/Performance/Resource Usage/Storage/Messages In Blobs</t>
  </si>
  <si>
    <t>C5437.00.0000</t>
  </si>
  <si>
    <t>ISO-25010/Performance/Resource Usage/Cost</t>
  </si>
  <si>
    <t>C5437.01.0000</t>
  </si>
  <si>
    <t>ISO-25010/Performance/Resource Usage/Cost/Licenses</t>
  </si>
  <si>
    <t>C5437.02.0000</t>
  </si>
  <si>
    <t>ISO-25010/Performance/Resource Usage/Cost/Subscriptions</t>
  </si>
  <si>
    <t>C5438.00.0000</t>
  </si>
  <si>
    <t>ISO-25010/Performance/Resource Usage/Effort</t>
  </si>
  <si>
    <t>C5438.01.0000</t>
  </si>
  <si>
    <t>ISO-25010/Performance/Resource Usage/Effort/Automate</t>
  </si>
  <si>
    <t>C5439.00.0000</t>
  </si>
  <si>
    <t>ISO-25010/Performance/Resource Usage/Cache</t>
  </si>
  <si>
    <t>The System MUST use multiple layers of caching to reduce cross-tier networking and associated delays.</t>
  </si>
  <si>
    <t>C5439.01.0000</t>
  </si>
  <si>
    <t>ISO-25010/Performance/Resource Usage/Cache/Client Side</t>
  </si>
  <si>
    <t>C5440.00.0000</t>
  </si>
  <si>
    <t>ISO-25010/Performance/Time Behaviour</t>
  </si>
  <si>
    <t>C5440.01.0000</t>
  </si>
  <si>
    <t>ISO-25010/Performance/Time Behaviour/Response Completed</t>
  </si>
  <si>
    <t>C5440.02.0000</t>
  </si>
  <si>
    <t>ISO-25010/Performance/Time Behaviour/Error Recovery</t>
  </si>
  <si>
    <t>C5440.03.0000</t>
  </si>
  <si>
    <t>ISO-25010/Performance/Time Behaviour/Shutdown</t>
  </si>
  <si>
    <t>C5440.04.0000</t>
  </si>
  <si>
    <t>C5500.00.0000</t>
  </si>
  <si>
    <t>ISO-25010/Portability</t>
  </si>
  <si>
    <t>C5510.00.0000</t>
  </si>
  <si>
    <t>ISO-25010/Portability/Adaptability</t>
  </si>
  <si>
    <t>C5520.00.0000</t>
  </si>
  <si>
    <t>C5521.00.0000</t>
  </si>
  <si>
    <t>ISO-25010/Portability/Installability/Packaged</t>
  </si>
  <si>
    <t>C5521.01.0000</t>
  </si>
  <si>
    <t>ISO-25010/Portability/Replaceability/Packaged/Environment Agnostic</t>
  </si>
  <si>
    <t>C5521.02.0000</t>
  </si>
  <si>
    <t>ISO-25010/Portability/Replaceability/Packaged/Deployable by Automation</t>
  </si>
  <si>
    <t>C5521.03.0000</t>
  </si>
  <si>
    <t>ISO-25010/Portability/Replaceability/Packaged/Deployable By Hand</t>
  </si>
  <si>
    <t>C5530.00.0000</t>
  </si>
  <si>
    <t>ISO-25010/Portability/Replaceability</t>
  </si>
  <si>
    <t>C5531.01.0000</t>
  </si>
  <si>
    <t>ISO-25010/Portability/Replaceability/Eportable Information</t>
  </si>
  <si>
    <t>C5531.01.1000</t>
  </si>
  <si>
    <t>ISO-25010/Portability/Replaceability/Eportable Information/By API</t>
  </si>
  <si>
    <t>C5531.01.2000</t>
  </si>
  <si>
    <t>ISO-25010/Portability/Replaceability/Eportable Information/Format (JSON or ML)</t>
  </si>
  <si>
    <t>C5531.01.3000</t>
  </si>
  <si>
    <t>ISO-25010/Portability/Replaceability/Eportable Information/Format/Standards Based Where Available</t>
  </si>
  <si>
    <t>C5700.00.0000</t>
  </si>
  <si>
    <t>ISO-25010/Reliability</t>
  </si>
  <si>
    <t>C5710.00.0000</t>
  </si>
  <si>
    <t>C5711.00.0000</t>
  </si>
  <si>
    <t>ISO-25010/Reliability/Availability/24-7</t>
  </si>
  <si>
    <t>C5712.00.0000</t>
  </si>
  <si>
    <t>ISO-25010/Reliability/Availability/Uptime %</t>
  </si>
  <si>
    <t>ISO-25010/Reliability/Availability/Uptime %/Chained</t>
  </si>
  <si>
    <t>ISO-25010/Reliability/Availability/Uptime %/Individual</t>
  </si>
  <si>
    <t>C5713.00.0000</t>
  </si>
  <si>
    <t>ISO-25010/Reliability/Availability/DoS Protection</t>
  </si>
  <si>
    <t>C5714.00.0000</t>
  </si>
  <si>
    <t>ISO-25010/Reliability/Availability/From</t>
  </si>
  <si>
    <t>C5714.01.0000</t>
  </si>
  <si>
    <t>ISO-25010/Reliability/Availability/From/Country</t>
  </si>
  <si>
    <t>C5714.02.0000</t>
  </si>
  <si>
    <t>ISO-25010/Reliability/Availability/From/LAN</t>
  </si>
  <si>
    <t>C5714.03.0000</t>
  </si>
  <si>
    <t>ISO-25010/Reliability/Availability/From/WWW</t>
  </si>
  <si>
    <t>C5714.04.0000</t>
  </si>
  <si>
    <t>ISO-25010/Reliability/Availability/From/Public Devices</t>
  </si>
  <si>
    <t>C5714.05.0000</t>
  </si>
  <si>
    <t>ISO-25010/Reliability/Availability/From/Current (-1 Year) Browsers</t>
  </si>
  <si>
    <t>C5715.00.0000</t>
  </si>
  <si>
    <t>ISO-25010/Reliability/Availability/Global</t>
  </si>
  <si>
    <t>C5716.00.0000</t>
  </si>
  <si>
    <t>ISO-25010/Reliability/Availability/Status</t>
  </si>
  <si>
    <t>C5716.01.0000</t>
  </si>
  <si>
    <t>ISO-25010/Reliability/Availability/Status/Current</t>
  </si>
  <si>
    <t>C5716.02.0000</t>
  </si>
  <si>
    <t>ISO-25010/Reliability/Availability/Status/Planned</t>
  </si>
  <si>
    <t>C5718.00.0000</t>
  </si>
  <si>
    <t>C5718.01.0000</t>
  </si>
  <si>
    <t>ISO-25010/Reliability/Availability/Scalability/Horizontal</t>
  </si>
  <si>
    <t>C5718.02.0000</t>
  </si>
  <si>
    <t>ISO-25010/Reliability/Availability/Scalability/Vertical</t>
  </si>
  <si>
    <t>C5720.00.0000</t>
  </si>
  <si>
    <t>ISO-25010/Reliability/Fault Tolerance</t>
  </si>
  <si>
    <t>C5721.00.0000</t>
  </si>
  <si>
    <t>ISO-25010/Reliability/Fault Tolerance/Eceptions</t>
  </si>
  <si>
    <t>C5721.01.0000</t>
  </si>
  <si>
    <t>ISO-25010/Reliability/Fault Tolerance/Eceptions/Handled</t>
  </si>
  <si>
    <t>C5721.02.0000</t>
  </si>
  <si>
    <t>ISO-25010/Reliability/Fault Tolerance/Eceptions/Recorded</t>
  </si>
  <si>
    <t>C5721.03.0000</t>
  </si>
  <si>
    <t>ISO-25010/Reliability/Fault Tolerance/Eceptions/Communicated UUID</t>
  </si>
  <si>
    <t>C5722.00.0000</t>
  </si>
  <si>
    <t>ISO-25010/Reliability/Fault Tolerance/Idempotency</t>
  </si>
  <si>
    <t>C5723.00.0000</t>
  </si>
  <si>
    <t>ISO-25010/Reliability/Fault Tolerance/Accept Tardy Submittals unless Conflictual</t>
  </si>
  <si>
    <t>C5730.00.0000</t>
  </si>
  <si>
    <t>ISO-25010/Reliability/Recoverability</t>
  </si>
  <si>
    <t>C5731.00.0000</t>
  </si>
  <si>
    <t>ISO-25010/Reliability/Recoverability/Backups</t>
  </si>
  <si>
    <t>C5731.01.0000</t>
  </si>
  <si>
    <t>ISO-25010/Reliability/Recoverability/Backups/Encrypted</t>
  </si>
  <si>
    <t>C5731.02.0000</t>
  </si>
  <si>
    <t>ISO-25010/Reliability/Recoverability/Backups/Over Encrypted Channels</t>
  </si>
  <si>
    <t>C5731.03.0000</t>
  </si>
  <si>
    <t>ISO-25010/Reliability/Recoverability/Backups/Automated</t>
  </si>
  <si>
    <t>C5731.04.0000</t>
  </si>
  <si>
    <t>ISO-25010/Reliability/Recoverability/Backups/Automated Access Only</t>
  </si>
  <si>
    <t>C5731.05.0000</t>
  </si>
  <si>
    <t>ISO-25010/Reliability/Recoverability/Backups/To a Separate Environment</t>
  </si>
  <si>
    <t>C5731.06.0000</t>
  </si>
  <si>
    <t>ISO-25010/Reliability/Recoverability/Backups/Full Interval</t>
  </si>
  <si>
    <t>C5731.07.0000</t>
  </si>
  <si>
    <t>C5731.08.0000</t>
  </si>
  <si>
    <t>ISO-25010/Reliability/Recoverability/Backups/Incremental Interval</t>
  </si>
  <si>
    <t>C5732.00.0000</t>
  </si>
  <si>
    <t>ISO-25010/Reliability/Recoverability/Restorations</t>
  </si>
  <si>
    <t>C5732.01.0000</t>
  </si>
  <si>
    <t>ISO-25010/Reliability/Recoverability/Restorations/Over Encrypted Channels</t>
  </si>
  <si>
    <t>C5732.02.0000</t>
  </si>
  <si>
    <t>ISO-25010/Reliability/Recoverability/Restorations/Automated</t>
  </si>
  <si>
    <t>C5732.03.0000</t>
  </si>
  <si>
    <t>ISO-25010/Reliability/Recoverability/Restorations/Regularly Demonstrated (Weekly)</t>
  </si>
  <si>
    <t>C5757.00.0000</t>
  </si>
  <si>
    <t>ISO-25010/Reliability/Availability/Epirations</t>
  </si>
  <si>
    <t>C5757.01.1000</t>
  </si>
  <si>
    <t>ISO-25010/Reliability/Availability/Epirations/Certificates</t>
  </si>
  <si>
    <t>C5800.00.0000</t>
  </si>
  <si>
    <t>C5810.00.0000</t>
  </si>
  <si>
    <t>ISO-25010/Security/Accountability</t>
  </si>
  <si>
    <t>C5811.00.0000</t>
  </si>
  <si>
    <t>ISO-25010/Security/Accountability/All Operations</t>
  </si>
  <si>
    <t>C5812.00.0000</t>
  </si>
  <si>
    <t>ISO-25010/Security/Accountability/All Notifications</t>
  </si>
  <si>
    <t>C5812.01.0000</t>
  </si>
  <si>
    <t>ISO-25010/Security/Accountability/All Notifications/Stored In Blobs</t>
  </si>
  <si>
    <t>C5813.00.0000</t>
  </si>
  <si>
    <t>ISO-25010/Security/Accountability/All Notification Metadata</t>
  </si>
  <si>
    <t>C5820.00.0000</t>
  </si>
  <si>
    <t>C5830.00.0000</t>
  </si>
  <si>
    <t>C5831.00.0000</t>
  </si>
  <si>
    <t>ISO-25010/Security/Confidentiality/At Rest</t>
  </si>
  <si>
    <t>Systems Data must be secured at rest by restricting physical and virtual access and encrypting the data.</t>
  </si>
  <si>
    <t>C5831.01.0000</t>
  </si>
  <si>
    <t>ISO-25010/Security/Confidentiality/At Rest/Insecure Devices</t>
  </si>
  <si>
    <t>C5831.02.0000</t>
  </si>
  <si>
    <t>ISO-25010/Security/Confidentiality/At Rest/Scrubbed Diagnostics Records</t>
  </si>
  <si>
    <t>C5831.03.0000</t>
  </si>
  <si>
    <t>ISO-25010/Security/Confidentiality/At Rest/Encrypted Network Connections</t>
  </si>
  <si>
    <t>C5831.04.0000</t>
  </si>
  <si>
    <t>ISO-25010/Security/Confidentiality/At Rest/Scrubbed Eception Records</t>
  </si>
  <si>
    <t>C5831.05.0000</t>
  </si>
  <si>
    <t>ISO-25010/Security/Confidentiality/At Rest/Test with Test Data</t>
  </si>
  <si>
    <t>C5831.06.0000</t>
  </si>
  <si>
    <t>ISO-25010/Security/Confidentiality/At Rest/Encrypted Storage</t>
  </si>
  <si>
    <t>C5831.07.0000</t>
  </si>
  <si>
    <t>ISO-25010/Security/Confidentiality/At Rest/Messages</t>
  </si>
  <si>
    <t>C5831.08.0000</t>
  </si>
  <si>
    <t>ISO-25010/Security/Confidentiality/At Rest/Secure Storage</t>
  </si>
  <si>
    <t>C5831.08.1000</t>
  </si>
  <si>
    <t>ISO-25010/Security/Confidentiality/At Rest/Secure Storage/Credentials</t>
  </si>
  <si>
    <t>C5832.00.0000</t>
  </si>
  <si>
    <t>ISO-25010/Security/Confidentiality/In Transit</t>
  </si>
  <si>
    <t>Data MUST only be transmitted over secure encrypted channels.</t>
  </si>
  <si>
    <t>C5832.01.0000</t>
  </si>
  <si>
    <t>ISO-25010/Security/Confidentiality/In Transit/HTTP Redirects to HTTPS</t>
  </si>
  <si>
    <t>C5832.02.0000</t>
  </si>
  <si>
    <t>ISO-25010/Security/Confidentiality/In Transit/Secured Environments (ISO-27001,2)</t>
  </si>
  <si>
    <t>C5832.03.0000</t>
  </si>
  <si>
    <t>ISO-25010/Security/Confidentiality/In Transit/Storage Primary Keys are not eposed outside system</t>
  </si>
  <si>
    <t>C5832.04.0000</t>
  </si>
  <si>
    <t>ISO-25010/Security/Confidentiality/In Transit/Messages</t>
  </si>
  <si>
    <t>C5833.00.0000</t>
  </si>
  <si>
    <t>ISO-25010/Security/Confidentiality/Privacy</t>
  </si>
  <si>
    <t>C5833.01.0000</t>
  </si>
  <si>
    <t>ISO-25010/Security/Confidentiality/Privacy/Versioned Statements</t>
  </si>
  <si>
    <t>C5833.01.1000</t>
  </si>
  <si>
    <t>ISO-25010/Security/Confidentiality/Privacy/Versioned Statements/Correctability</t>
  </si>
  <si>
    <t>C5833.01.2000</t>
  </si>
  <si>
    <t>ISO-25010/Security/Confidentiality/Privacy/Versioned Statements/Data-Use</t>
  </si>
  <si>
    <t>C5833.01.3000</t>
  </si>
  <si>
    <t>ISO-25010/Security/Confidentiality/Privacy/Versioned Statements/Opt-Out</t>
  </si>
  <si>
    <t>C5833.01.4000</t>
  </si>
  <si>
    <t>ISO-25010/Security/Confidentiality/Privacy/Versioned Statements/Tracking</t>
  </si>
  <si>
    <t>C5834.00.0000</t>
  </si>
  <si>
    <t>ISO-25010/Security/Confidentiality/Decommissioning</t>
  </si>
  <si>
    <t xml:space="preserve">Data Storage Devices MUST be physically or logically wiped before disposal. </t>
  </si>
  <si>
    <t>C5834.01.0000</t>
  </si>
  <si>
    <t>ISO-25010/Security/Confidentiality/Decommissioning/Secure Deletion</t>
  </si>
  <si>
    <t>C5840.00.0000</t>
  </si>
  <si>
    <t>C5841.00.0000</t>
  </si>
  <si>
    <t>ISO-25010/Security/Integrity/Cookies</t>
  </si>
  <si>
    <t>Confidential Cookies MUST be encypted and short lived.</t>
  </si>
  <si>
    <t>C5841.01.0000</t>
  </si>
  <si>
    <t>ISO-25010/Security/Integrity/Cookies/HTTPS</t>
  </si>
  <si>
    <t>C5841.02.0000</t>
  </si>
  <si>
    <t>ISO-25010/Security/Integrity/Cookies/Secure</t>
  </si>
  <si>
    <t>C5842.00.0000</t>
  </si>
  <si>
    <t>ISO-25010/Security/Integrity/Certificates</t>
  </si>
  <si>
    <t>DNS Certificates MUST be short lived (max 3 months).</t>
  </si>
  <si>
    <t>C5842.01.0000</t>
  </si>
  <si>
    <t>ISO-25010/Security/Integrity/Certificates/ShortLived</t>
  </si>
  <si>
    <t>C5843.00.0000</t>
  </si>
  <si>
    <t>ISO-25010/Security/Integrity/Tokens</t>
  </si>
  <si>
    <t>Auhorisation and Authentication Security Tokens MUST be short lived (max 20 minutes).</t>
  </si>
  <si>
    <t>C5843.01.0000</t>
  </si>
  <si>
    <t>ISO-25010/Security/Integrity/Tokens/Cryptographically Signed Identity Tokens</t>
  </si>
  <si>
    <t>C5843.02.0000</t>
  </si>
  <si>
    <t>ISO-25010/Security/Integrity/Tokens/Cryptographically Signed Session Tokens</t>
  </si>
  <si>
    <t>C5844.00.0000</t>
  </si>
  <si>
    <t>ISO-25010/Security/Integrity/Records</t>
  </si>
  <si>
    <t>Records MUST be signable.</t>
  </si>
  <si>
    <t>C5844.01.0000</t>
  </si>
  <si>
    <t>ISO-25010/Security/Integrity/Records/Cryptographically Signed Audit Records</t>
  </si>
  <si>
    <t>C5845.00.0000</t>
  </si>
  <si>
    <t>ISO-25010/Security/Integrity/Custom/Components</t>
  </si>
  <si>
    <t>C5846.00.0000</t>
  </si>
  <si>
    <t>ISO-25010/Security/Integrity/Framework</t>
  </si>
  <si>
    <t>System Development Frameworks MUST remain Current to within -3 minor versions.</t>
  </si>
  <si>
    <t>C5847.00.0000</t>
  </si>
  <si>
    <t>ISO-25010/Security/Integrity/OS</t>
  </si>
  <si>
    <t>The system SHOULD be OS agnostic.</t>
  </si>
  <si>
    <t>C5848.00.0000</t>
  </si>
  <si>
    <t>ISO-25010/Security/Integrity/Storage</t>
  </si>
  <si>
    <t>The sytstem SHOULD be use organisation approved supported storage technology (eg: SqlServer)</t>
  </si>
  <si>
    <t>C5848.01.0000</t>
  </si>
  <si>
    <t>ISO-25010/Security/Integrity/Storage/SQL</t>
  </si>
  <si>
    <t>C5848.01.1000</t>
  </si>
  <si>
    <t>ISO-25010/Security/Integrity/Storage/SQL/InjectionProtection</t>
  </si>
  <si>
    <t>C5848.01.2000</t>
  </si>
  <si>
    <t>ISO-25010/Security/Integrity/Storage/SQL/Avoid-UseAnORM</t>
  </si>
  <si>
    <t>C5848.02.0000</t>
  </si>
  <si>
    <t>ISO-25010/Security/Integrity/Storage/Credentials</t>
  </si>
  <si>
    <t>C5848.02.1000</t>
  </si>
  <si>
    <t>ISO-25010/Security/Integrity/Storage/Credentials/User</t>
  </si>
  <si>
    <t>C5848.02.1100</t>
  </si>
  <si>
    <t>ISO-25010/Security/Integrity/Storage/Credentials/User/In an IDP</t>
  </si>
  <si>
    <t>C5848.02.1200</t>
  </si>
  <si>
    <t>ISO-25010/Security/Integrity/Storage/Credentials/User/Not In the System</t>
  </si>
  <si>
    <t>C5848.02.2000</t>
  </si>
  <si>
    <t>ISO-25010/Security/Integrity/Storage/Credentials/Services</t>
  </si>
  <si>
    <t>C5848.02.2100</t>
  </si>
  <si>
    <t>ISO-25010/Security/Integrity/Storage/Credentials/Services/In Secure Storage</t>
  </si>
  <si>
    <t>C5849.00.0000</t>
  </si>
  <si>
    <t>ISO-25010/Security/Integrity/Environment</t>
  </si>
  <si>
    <t>C5849.01.0000</t>
  </si>
  <si>
    <t>ISO-25010/Security/Integrity/Environment/ISO-27001, Level 2+</t>
  </si>
  <si>
    <t>C5850.00.0000</t>
  </si>
  <si>
    <t>ISO-25010/Security/Non-Repudiation</t>
  </si>
  <si>
    <t>C5851.00.0000</t>
  </si>
  <si>
    <t>ISO-25010/Security/Non-Repudiation/Auditing logs never deleted</t>
  </si>
  <si>
    <t>C5852.00.0000</t>
  </si>
  <si>
    <t>ISO-25010/Security/Non-Repudiation/Operations logged against User (Authenticated or not)</t>
  </si>
  <si>
    <t>C5900.00.0000</t>
  </si>
  <si>
    <t>ISO-25010/Usability</t>
  </si>
  <si>
    <t>C5910.00.0000</t>
  </si>
  <si>
    <t>C5911.00.0000</t>
  </si>
  <si>
    <t>ISO-25010/Usability/Aesthetics/Corporate Branding</t>
  </si>
  <si>
    <t>C5912.00.0000</t>
  </si>
  <si>
    <t>ISO-25010/Usability/Aesthetics/Tenancy Branding</t>
  </si>
  <si>
    <t>C5920.00.0000</t>
  </si>
  <si>
    <t>ISO-25010/Usability/Analytics</t>
  </si>
  <si>
    <t>C5921.00.0000</t>
  </si>
  <si>
    <t>ISO-25010/Usability/Analytics/Predictive</t>
  </si>
  <si>
    <t>C5922.00.0000</t>
  </si>
  <si>
    <t>ISO-25010/Usability/Analytics/Status</t>
  </si>
  <si>
    <t>C5930.00.0000</t>
  </si>
  <si>
    <t>ISO-25010/Usability/Assistance</t>
  </si>
  <si>
    <t>C5931.00.0000</t>
  </si>
  <si>
    <t>ISO-25010/Usability/Assistance/Online Contact Email Provided</t>
  </si>
  <si>
    <t>C5940.00.0000</t>
  </si>
  <si>
    <t>C5941.00.0000</t>
  </si>
  <si>
    <t>ISO-25010/Usability/Configurability/Group</t>
  </si>
  <si>
    <t>C5941.01.0000</t>
  </si>
  <si>
    <t>ISO-25010/Usability/Configurability/Group/Profile</t>
  </si>
  <si>
    <t>C5941.02.0000</t>
  </si>
  <si>
    <t>ISO-25010/Usability/Configurability/Group/Roles</t>
  </si>
  <si>
    <t>C5941.02.1000</t>
  </si>
  <si>
    <t>ISO-25010/Usability/Configurability/Group/Roles/Permissions</t>
  </si>
  <si>
    <t>C5941.03.0000</t>
  </si>
  <si>
    <t>ISO-25010/Usability/Configurability/Group/Membership</t>
  </si>
  <si>
    <t>C5943.00.0000</t>
  </si>
  <si>
    <t>ISO-25010/Usability/Configurability/Resources</t>
  </si>
  <si>
    <t>C5943.01.0000</t>
  </si>
  <si>
    <t>ISO-25010/Usability/Configurability/Resources/Roles</t>
  </si>
  <si>
    <t>C5943.01.1000</t>
  </si>
  <si>
    <t>ISO-25010/Usability/Configurability/Resources/Roles/Permissions</t>
  </si>
  <si>
    <t>C5944.00.0000</t>
  </si>
  <si>
    <t>ISO-25010/Usability/Configurability/System Profile</t>
  </si>
  <si>
    <t>C5944.01.0000</t>
  </si>
  <si>
    <t>ISO-25010/Usability/Configurability/Resource Collection/Profile</t>
  </si>
  <si>
    <t>C5944.02.0000</t>
  </si>
  <si>
    <t>ISO-25010/Usability/Configurability/Resource Collection/Role Associations</t>
  </si>
  <si>
    <t>C5945.00.0000</t>
  </si>
  <si>
    <t>ISO-25010/Usability/Configurability/Tenancy Profile</t>
  </si>
  <si>
    <t>C5946.00.0000</t>
  </si>
  <si>
    <t>ISO-25010/Usability/Configurability/User Dashboard</t>
  </si>
  <si>
    <t>C5947.00.0000</t>
  </si>
  <si>
    <t>ISO-25010/Usability/Configurability/User Profile</t>
  </si>
  <si>
    <t>C5950.00.0000</t>
  </si>
  <si>
    <t>C5951.00.0000</t>
  </si>
  <si>
    <t>ISO-25010/Usability/Learnability/Operations</t>
  </si>
  <si>
    <t>C5951.01.0000</t>
  </si>
  <si>
    <t>ISO-25010/Usability/Learnability/Operations/Undoable</t>
  </si>
  <si>
    <t>C5951.02.0000</t>
  </si>
  <si>
    <t>ISO-25010/Usability/Learnability/Operations/Delayable</t>
  </si>
  <si>
    <t>C5952.00.0000</t>
  </si>
  <si>
    <t>ISO-25010/Usability/Learnability/Documentation</t>
  </si>
  <si>
    <t>C5952.01.0000</t>
  </si>
  <si>
    <t>ISO-25010/Usability/Learnability/Documentation/Is Available &amp; Online</t>
  </si>
  <si>
    <t>C5952.02.0000</t>
  </si>
  <si>
    <t>ISO-25010/Usability/Learnability/Documentation/Is Searchable</t>
  </si>
  <si>
    <t>C5952.03.0000</t>
  </si>
  <si>
    <t>ISO-25010/Usability/Learnability/Documentation/Dynamically Updatable</t>
  </si>
  <si>
    <t>C5953.00.0000</t>
  </si>
  <si>
    <t>ISO-25010/Usability/Learnability/Training Not Required</t>
  </si>
  <si>
    <t>C5960.00.0000</t>
  </si>
  <si>
    <t>C5961.00.0000</t>
  </si>
  <si>
    <t>ISO-25010/Usability/Operability/Reporting</t>
  </si>
  <si>
    <t>C5961.01.0000</t>
  </si>
  <si>
    <t>ISO-25010/Usability/Operability/Reporting/Free</t>
  </si>
  <si>
    <t>C5961.02.0000</t>
  </si>
  <si>
    <t>ISO-25010/Usability/Operability/Reporting/Filterable</t>
  </si>
  <si>
    <t>C5961.03.0000</t>
  </si>
  <si>
    <t>ISO-25010/Usability/Operability/Reporting/Sortable</t>
  </si>
  <si>
    <t>C5961.04.0000</t>
  </si>
  <si>
    <t>ISO-25010/Usability/Operability/Reporting/Printable</t>
  </si>
  <si>
    <t>C5961.05.0000</t>
  </si>
  <si>
    <t>ISO-25010/Usability/Operability/Reporting/Clear of UI Artefacts</t>
  </si>
  <si>
    <t>C5961.06.0000</t>
  </si>
  <si>
    <t>ISO-25010/Usability/Operability/Reporting/UI and Print layouts are distinct</t>
  </si>
  <si>
    <t>C5961.07.0000</t>
  </si>
  <si>
    <t>ISO-25010/Usability/Operability/Reporting/PDF</t>
  </si>
  <si>
    <t>C5961.08.0000</t>
  </si>
  <si>
    <t>ISO-25010/Usability/Operability/Reporting/Unalterable (Digitally Signed)</t>
  </si>
  <si>
    <t>C5963.00.0000</t>
  </si>
  <si>
    <t>ISO-25010/Usability/Accessibility/Dashboards</t>
  </si>
  <si>
    <t>C5963.01.0000</t>
  </si>
  <si>
    <t>ISO-25010/Usability/Accessibility/Dashboards/Public Users</t>
  </si>
  <si>
    <t>C5963.02.0000</t>
  </si>
  <si>
    <t>ISO-25010/Usability/Accessibility/Dashboards/Authenticated Users</t>
  </si>
  <si>
    <t>C5964.00.0000</t>
  </si>
  <si>
    <t>ISO-25010/Usability/Operability/Dependencies</t>
  </si>
  <si>
    <t>C5964.01.0000</t>
  </si>
  <si>
    <t>ISO-25010/Usability/Operability/Dependencies/Device</t>
  </si>
  <si>
    <t>C5964.02.0000</t>
  </si>
  <si>
    <t>ISO-25010/Usability/Operability/Dependencies/Permissions</t>
  </si>
  <si>
    <t>C5964.02.1000</t>
  </si>
  <si>
    <t>ISO-25010/Usability/Operability/Dependencies/Permissions/Request Least</t>
  </si>
  <si>
    <t>C5964.02.2000</t>
  </si>
  <si>
    <t>ISO-25010/Usability/Operability/Dependencies/Permissions/Request As Needed</t>
  </si>
  <si>
    <t>C5970.00.0000</t>
  </si>
  <si>
    <t>C5971.01.0000</t>
  </si>
  <si>
    <t>ISO-25010/Usability/Accessibility/WCAG</t>
  </si>
  <si>
    <t>C5971.07.1000</t>
  </si>
  <si>
    <t>ISO-25010/Usability/Accessibility/By API/Queryable</t>
  </si>
  <si>
    <t>C5972.02.0000</t>
  </si>
  <si>
    <t>ISO-25010/Usability/Accessibility/Colours</t>
  </si>
  <si>
    <t>C5972.02.1000</t>
  </si>
  <si>
    <t>ISO-25010/Usability/Accessibility/Colours/RedGreen</t>
  </si>
  <si>
    <t>C5972.02.2000</t>
  </si>
  <si>
    <t>ISO-25010/Usability/Accessibility/Colours/BlueYellow</t>
  </si>
  <si>
    <t>C5973.01.0000</t>
  </si>
  <si>
    <t>ISO-25010/Usability/Accessibility/Images</t>
  </si>
  <si>
    <t>C5973.01.1000</t>
  </si>
  <si>
    <t>ISO-25010/Usability/Accessibility/Images/AltTet</t>
  </si>
  <si>
    <t>ISO-25010/Usability/Accessibility/Images/Monochrome</t>
  </si>
  <si>
    <t>C5973.01.3000</t>
  </si>
  <si>
    <t>ISO-25010/Usability/Accessibility/Images/Scalable</t>
  </si>
  <si>
    <t>C5974.03.0000</t>
  </si>
  <si>
    <t>ISO-25010/Usability/Accessibility/Tet</t>
  </si>
  <si>
    <t>C5974.03.1000</t>
  </si>
  <si>
    <t>ISO-25010/Usability/Accessibility/Tet/Concise</t>
  </si>
  <si>
    <t>C5974.03.2000</t>
  </si>
  <si>
    <t>ISO-25010/Usability/Accessibility/Tet/Simple</t>
  </si>
  <si>
    <t>C5974.04.3000</t>
  </si>
  <si>
    <t>ISO-25010/Usability/Accessibility/Tet/CTPA</t>
  </si>
  <si>
    <t>C5974.05.4000</t>
  </si>
  <si>
    <t>ISO-25010/Usability/Accessibility/Tet/Error Messages are Understandable</t>
  </si>
  <si>
    <t>C5975.04.0000</t>
  </si>
  <si>
    <t>ISO-25010/Usability/Accessibility/Language</t>
  </si>
  <si>
    <t>C5975.04.1000</t>
  </si>
  <si>
    <t>ISO-25010/Usability/Accessibility/Language/User Selected</t>
  </si>
  <si>
    <t>C5975.04.2000</t>
  </si>
  <si>
    <t>ISO-25010/Usability/Accessibility/Language/Interpretations</t>
  </si>
  <si>
    <t>C5976.05.0000</t>
  </si>
  <si>
    <t>ISO-25010/Usability/Accessibility/Styling</t>
  </si>
  <si>
    <t>C5976.05.1000</t>
  </si>
  <si>
    <t>ISO-25010/Usability/Accessibility/Styling/Progressive</t>
  </si>
  <si>
    <t>C5976.05.2000</t>
  </si>
  <si>
    <t>ISO-25010/Usability/Accessibility/Styling/Scalable</t>
  </si>
  <si>
    <t>C5976.05.3000</t>
  </si>
  <si>
    <t>ISO-25010/Usability/Accessibility/Styling/Sufficient Space</t>
  </si>
  <si>
    <t>C5976.05.3100</t>
  </si>
  <si>
    <t>ISO-25010/Usability/Accessibility/Styling/Sufficient Space/580%</t>
  </si>
  <si>
    <t>C5976.05.4000</t>
  </si>
  <si>
    <t>ISO-25010/Usability/Accessibility/Styling/Minimal Contet Info</t>
  </si>
  <si>
    <t>C5976.05.5000</t>
  </si>
  <si>
    <t>ISO-25010/Usability/Accessibility/Styling/Smallest Screens First</t>
  </si>
  <si>
    <t>C5977.06.0000</t>
  </si>
  <si>
    <t>ISO-25010/Usability/Accessibility/Controls</t>
  </si>
  <si>
    <t>C5977.06.1000</t>
  </si>
  <si>
    <t>ISO-25010/Usability/Accessibility/Controls/Primary &amp; Secondary Actions</t>
  </si>
  <si>
    <t>C5978.07.0000</t>
  </si>
  <si>
    <t>ISO-25010/Usability/Accessibility/By API</t>
  </si>
  <si>
    <t>C5980.00.0000</t>
  </si>
  <si>
    <t>ISO-25010/Usability/Recognisability</t>
  </si>
  <si>
    <t>C5981.00.0000</t>
  </si>
  <si>
    <t>ISO-25010/Usability/Recognisability/Sponsor Organisation Domain based URL</t>
  </si>
  <si>
    <t>C5982.00.0000</t>
  </si>
  <si>
    <t>ISO-25010/Usability/Recognisability/Sponsor Organisation based HTTPS Certificate</t>
  </si>
  <si>
    <t>C5983.00.0000</t>
  </si>
  <si>
    <t>ISO-25010/Usability/Recognisability/Sponsor Organisation Branding</t>
  </si>
  <si>
    <t>ISO-25010/Usability/Recognisability/Tenant Organisation Domain based URL</t>
  </si>
  <si>
    <t>C5984.00.0000</t>
  </si>
  <si>
    <t>ISO-25010/Usability/Recognisability/Sector Endorsements</t>
  </si>
  <si>
    <t>C5990.00.0000</t>
  </si>
  <si>
    <t>ISO-25010/Usability/Supportability</t>
  </si>
  <si>
    <t>C5991.00.0000</t>
  </si>
  <si>
    <t>ISO-25010/Usability/Supportability/On-Off-Boarding</t>
  </si>
  <si>
    <t>C5992.00.0000</t>
  </si>
  <si>
    <t>ISO-25010/Usability/Supportability/ReEnabling</t>
  </si>
  <si>
    <t>C5993.00.0000</t>
  </si>
  <si>
    <t>ISO-25010/Usability/Supportability/InSystem Notifying</t>
  </si>
  <si>
    <t>C6110.00.0000</t>
  </si>
  <si>
    <t>ISO-25012/Inherent Data Qualities/Understandability</t>
  </si>
  <si>
    <t>C6120.00.0000</t>
  </si>
  <si>
    <t>ISO-25012/Inherent Data Qualities/Accuracy</t>
  </si>
  <si>
    <t>C6130.00.0000</t>
  </si>
  <si>
    <t>ISO-25012/Inherent Data Qualities/Completeness</t>
  </si>
  <si>
    <t>C6131.00.0000</t>
  </si>
  <si>
    <t>ISO-25012/Inherent Data Qualities/Completeness/Model Relationships as well as Entities</t>
  </si>
  <si>
    <t>C6132.00.1000</t>
  </si>
  <si>
    <t>ISO-25012/Inherent Data Qualities/Completeness/Prefer Junction Tables to ForeignKeys</t>
  </si>
  <si>
    <t>C6140.00.0000</t>
  </si>
  <si>
    <t>ISO-25012/Inherent Data Qualities/Consistency</t>
  </si>
  <si>
    <t>C6141.00.0000</t>
  </si>
  <si>
    <t>ISO-25012/Inherent Data Qualities/Consistency/Eventually right</t>
  </si>
  <si>
    <t>C6150.00.0000</t>
  </si>
  <si>
    <t>ISO-25012/Inherent Data Qualities/Credibility</t>
  </si>
  <si>
    <t>C6160.00.0000</t>
  </si>
  <si>
    <t>ISO-25012/Inherent Data Qualities/Currentness</t>
  </si>
  <si>
    <t>C6161.00.0000</t>
  </si>
  <si>
    <t>ISO-25012/Inherent Data Qualities/Currentness/RealTime is not an Objective</t>
  </si>
  <si>
    <t>C6162.00.0000</t>
  </si>
  <si>
    <t>ISO-25012/Inherent Data Qualities/Currentness/Enough to make informed Decisions</t>
  </si>
  <si>
    <t>C6210.00.0000</t>
  </si>
  <si>
    <t>ISO-25012/System Dependent Data Qualities/Accessibility</t>
  </si>
  <si>
    <t>C6220.00.0000</t>
  </si>
  <si>
    <t>ISO-25012/System Dependent Data Qualities/Compliance</t>
  </si>
  <si>
    <t>C6240.00.0000</t>
  </si>
  <si>
    <t>ISO-25012/System Dependent Data Qualities/Efficiency</t>
  </si>
  <si>
    <t>C6250.00.0000</t>
  </si>
  <si>
    <t>ISO-25012/System Dependent Data Qualities/Precision</t>
  </si>
  <si>
    <t>C6251.00.0000</t>
  </si>
  <si>
    <t>ISO-25012/System Dependent Data Qualities/Prefer Precision over Storage Brevity</t>
  </si>
  <si>
    <t>C6260.00.0000</t>
  </si>
  <si>
    <t>ISO-25012/System Dependent Data Qualities/Traceability</t>
  </si>
  <si>
    <t>C6261.00.0000</t>
  </si>
  <si>
    <t>ISO-25012/System Dependent Data Qualities/Data Changes only via Audited System</t>
  </si>
  <si>
    <t>C6262.00.0000</t>
  </si>
  <si>
    <t>ISO-25012/System Dependent Data Qualities/Confidentiality</t>
  </si>
  <si>
    <t>C6310.00.0000</t>
  </si>
  <si>
    <t>ISO-25012/Data Systems Qualities/Availability</t>
  </si>
  <si>
    <t>C6320.00.0000</t>
  </si>
  <si>
    <t>ISO-25012/Data Systems Qualities/Portability</t>
  </si>
  <si>
    <t>C6321.00.0000</t>
  </si>
  <si>
    <t>ISO-25012/Data Systems Qualities/Portability/Data stored in Unstyled Standard (eg: Markdown)</t>
  </si>
  <si>
    <t>C6322.00.0000</t>
  </si>
  <si>
    <t>ISO-25012/Data Systems Qualities/Portability/Etractable</t>
  </si>
  <si>
    <t>C6322.01.0000</t>
  </si>
  <si>
    <t>ISO-25012/Data Systems Qualities/Portability/Etractable/Serialised</t>
  </si>
  <si>
    <t>C6322.02.0000</t>
  </si>
  <si>
    <t>ISO-25012/Data Systems Qualities/Portability/Etractable/As batch instructions</t>
  </si>
  <si>
    <t>C6323.00.0000</t>
  </si>
  <si>
    <t>ISO-25012/Data Systems Qualities/Recoverability</t>
  </si>
  <si>
    <t>C81.01.01</t>
  </si>
  <si>
    <t>D305.Provisioning/Prod. Tools</t>
  </si>
  <si>
    <t>138300.ISO-25010/Maintainability/Documentation/Deployment Guide</t>
  </si>
  <si>
    <t>138400.ISO-25010/Maintainability/Documentation/DR Guide</t>
  </si>
  <si>
    <t>143700.ISO-25010/Performance/Resource Usage/Cost</t>
  </si>
  <si>
    <t>143200.ISO-25010/Performance/Resource Usage/CPUs</t>
  </si>
  <si>
    <t>143100.ISO-25010/Performance/Resource Usage/Devices</t>
  </si>
  <si>
    <t>143500.ISO-25010/Performance/Resource Usage/IO</t>
  </si>
  <si>
    <t>143600.ISO-25010/Performance/Resource Usage/Storage</t>
  </si>
  <si>
    <t>143800.ISO-25010/Performance/Resource Usage/Effort</t>
  </si>
  <si>
    <t>142000.ISO-25010/Performance/Throughput</t>
  </si>
  <si>
    <t>143000.ISO-25010/Performance/Time Behaviour/Error Recovery</t>
  </si>
  <si>
    <t>143000.ISO-25010/Performance/Time Behaviour/Response Completed</t>
  </si>
  <si>
    <t>143000.ISO-25010/Performance/Time Behaviour/Shutdown</t>
  </si>
  <si>
    <t>143000.ISO-25010/Performance/Time Behaviour/Startup</t>
  </si>
  <si>
    <t>143000.ISO-25010/Performance/Time Behaviour</t>
  </si>
  <si>
    <t xml:space="preserve">151000.ISO-25010/Portability/Adaptability </t>
  </si>
  <si>
    <t>112300.ISO-25010/Compatibility/Interoperability/CountryCodes</t>
  </si>
  <si>
    <t>112400.ISO-25010/Compatibility/Interoperability/ISO</t>
  </si>
  <si>
    <t>112100.ISO-25010/Compatibility/Interoperability/UTC</t>
  </si>
  <si>
    <t>112200.ISO-25010/Compatibility/Interoperability/UUID</t>
  </si>
  <si>
    <t xml:space="preserve">152000.ISO-25010/Portability/Installability </t>
  </si>
  <si>
    <t xml:space="preserve">113200.ISO-25010/Compatibility/Portability/Framework </t>
  </si>
  <si>
    <t xml:space="preserve">113300.ISO-25010/Compatibility/Portability/Language </t>
  </si>
  <si>
    <t>152100.ISO-25010/Portability/Installability/Packaged</t>
  </si>
  <si>
    <t xml:space="preserve">153000.ISO-25010/Portability/Replaceability </t>
  </si>
  <si>
    <t xml:space="preserve">171100.ISO-25010/Reliability/Availability/24/7 </t>
  </si>
  <si>
    <t>171200.ISO-25010/Reliability/Availability/Uptime</t>
  </si>
  <si>
    <t xml:space="preserve">171300.ISO-25010/Reliability/Availability/DoS Protection </t>
  </si>
  <si>
    <t xml:space="preserve">171500.ISO-25010/Reliability/Availability/Globality </t>
  </si>
  <si>
    <t>171620.ISO-25010/Reliability/Availability/Status/Planned</t>
  </si>
  <si>
    <t>171700.ISO-25010/Reliability/Availability/Scalability/Horizontal</t>
  </si>
  <si>
    <t>171700.ISO-25010/Reliability/Availability/Scalability/Vertical</t>
  </si>
  <si>
    <t>171610.ISO-25010/Reliability/Availability/Status/Current</t>
  </si>
  <si>
    <t>171420.ISO-25010/Reliability/Availability/From/WWW</t>
  </si>
  <si>
    <t>172100.ISO-25010/Reliability/Fault Tolerance/Idempotency</t>
  </si>
  <si>
    <t>196224.ISO-25010/Usability/Operability/Accessibility/Text/Error Messages are Understandable</t>
  </si>
  <si>
    <t>181100.ISO-25010/Security/Accountability/All Operations</t>
  </si>
  <si>
    <t>139000.ISO-25010/Maintainability/Current</t>
  </si>
  <si>
    <t>171430.ISO-25010/Reliability/Availability/From/Devices/Public</t>
  </si>
  <si>
    <t>183120.ISO-25010/Security/Confidentiality/At Rest/Scrubbed Diagnostics Records</t>
  </si>
  <si>
    <t>183200.ISO-25010/Security/Confidentiality/In Transit</t>
  </si>
  <si>
    <t>1831S40.ISO-25010/Security/Confidentiality/At Rest/Scrubbed Exception Records</t>
  </si>
  <si>
    <t>183210.ISO-25010/Security/Confidentiality/In Transit/HTTP Redirects to HTTPS</t>
  </si>
  <si>
    <t xml:space="preserve">183170.ISO-25010/Security/Confidentiality/At Rest/Securely Storage/Credentials </t>
  </si>
  <si>
    <t xml:space="preserve">183230.ISO-25010/Security/Confidentiality/In Transit/Storage Primary Keys are not exposed outside system </t>
  </si>
  <si>
    <t>183160.ISO-25010/Security/Confidentiality/At Rest/Encrypted Storage</t>
  </si>
  <si>
    <t xml:space="preserve">183150.ISO-25010/Security/Confidentiality/At Rest/Test with Test Data </t>
  </si>
  <si>
    <t>184120.ISO-25010/Security/Integrity/Secure Cookies/Secure</t>
  </si>
  <si>
    <t>184210.ISO-25010/Security/Integrity/Certificates/ShortLived</t>
  </si>
  <si>
    <t>184300.ISO-25010/Security/Integrity/Tokens</t>
  </si>
  <si>
    <t>184110.ISO-25010/Security/Integrity/Secure Cookies/HTTPS</t>
  </si>
  <si>
    <t>184821.ISO-25010/Security/Integrity/Storage/Credentials/In an IDP</t>
  </si>
  <si>
    <t>184822.ISO-25010/Security/Integrity/Storage/Credentials/Not In the System</t>
  </si>
  <si>
    <t xml:space="preserve">185000.ISO-25010/Security/Non-Repudiation </t>
  </si>
  <si>
    <t xml:space="preserve">185100.ISO-25010/Security/Non-Repudiation/Auditing logs never deleted </t>
  </si>
  <si>
    <t xml:space="preserve">185200.ISO-25010/Security/Non-Repudiation/Operations logged against User (Authenticated or not) </t>
  </si>
  <si>
    <t>138000.ISO-25010/Maintainability/Documentation/Updatable</t>
  </si>
  <si>
    <t xml:space="preserve">190000.ISO-25010/Usability </t>
  </si>
  <si>
    <t xml:space="preserve">192000.ISO-25010/Usability/Analytics </t>
  </si>
  <si>
    <t xml:space="preserve">192100.ISO-25010/Usability/Analytics/Predictive </t>
  </si>
  <si>
    <t xml:space="preserve">192200.ISO-25010/Usability/Analytics/Status </t>
  </si>
  <si>
    <t xml:space="preserve">193000.ISO-25010/Usability/Assistance </t>
  </si>
  <si>
    <t xml:space="preserve">193100.ISO-25010/Usability/Assistance/Online Contact Email Provided </t>
  </si>
  <si>
    <t xml:space="preserve">194000.ISO-25010/Usability/Configurability </t>
  </si>
  <si>
    <t xml:space="preserve">194100.ISO-25010/Usability/Configurability/Group/Membership </t>
  </si>
  <si>
    <t xml:space="preserve">194110.ISO-25010/Usability/Configurability/Group/Profile </t>
  </si>
  <si>
    <t xml:space="preserve">194120.ISO-25010/Usability/Configurability/Group/Roles </t>
  </si>
  <si>
    <t xml:space="preserve">194410.ISO-25010/Usability/Configurability/Resource Collection/Profile </t>
  </si>
  <si>
    <t xml:space="preserve">194420.ISO-25010/Usability/Configurability/Resource Collection/Role Associations </t>
  </si>
  <si>
    <t xml:space="preserve">194310.ISO-25010/Usability/Configurability/Role/Permissions </t>
  </si>
  <si>
    <t xml:space="preserve">194600.ISO-25010/Usability/Configurability/User Dashboard </t>
  </si>
  <si>
    <t xml:space="preserve">194500.ISO-25010/Usability/Configurability/Tenancy Profile </t>
  </si>
  <si>
    <t xml:space="preserve">194400.ISO-25010/Usability/Configurability/System Profile </t>
  </si>
  <si>
    <t xml:space="preserve">194700.ISO-25010/Usability/Configurability/User Profile </t>
  </si>
  <si>
    <t xml:space="preserve">195210.ISO-25010/Usability/Learnability/Documentation/Is Available &amp; Online </t>
  </si>
  <si>
    <t xml:space="preserve">195220.ISO-25010/Usability/Learnability/Documentation/Is Searchable </t>
  </si>
  <si>
    <t xml:space="preserve">195100.ISO-25010/Usability/Learnability/Undoable Operations </t>
  </si>
  <si>
    <t>196126.ISO-25010/Usability/Operability/Reporting/Clear of UI Artefacts</t>
  </si>
  <si>
    <t>196124.ISO-25010/Usability/Operability/Reporting/PDF</t>
  </si>
  <si>
    <t xml:space="preserve">196100.ISO-25010/Usability/Operability/Training Not Required </t>
  </si>
  <si>
    <t xml:space="preserve">197200.ISO-25010/Usability/Recognisability/HTTPS Certificate </t>
  </si>
  <si>
    <t xml:space="preserve">197300.ISO-25010/Usability/Recognisability/Sector Endorsement </t>
  </si>
  <si>
    <t xml:space="preserve">198100.ISO-25010/Usability/Supportability/On-Off-Boarding </t>
  </si>
  <si>
    <t xml:space="preserve">183312.ISO-25010/Security/Confidentiality/Privacy/Statements/Data-Use </t>
  </si>
  <si>
    <t xml:space="preserve">183311.ISO-25010/Security/Confidentiality/Privacy/Statements/Correctability </t>
  </si>
  <si>
    <t xml:space="preserve">183313.ISO-25010/Security/Confidentiality/Privacy/Statements/Opt-Out </t>
  </si>
  <si>
    <t xml:space="preserve">183314.ISO-25010/Security/Confidentiality/Privacy/Statements/Tracking </t>
  </si>
  <si>
    <t>122300.ISO-25010/Functionality/Completeness/Correctness/Validations in Controllers</t>
  </si>
  <si>
    <t xml:space="preserve">173000.ISO-25010/Reliability/Recoverability </t>
  </si>
  <si>
    <t>184410.ISO-25010/Security/Integrity/Records/Cryptographically Signed Audit Records</t>
  </si>
  <si>
    <t>402500.Functionality/Completeness/Storage Management/DocumentDB</t>
  </si>
  <si>
    <t>402100.Functionality/Completeness/Cache Management</t>
  </si>
  <si>
    <t>410710.Functionality/Completeness/Exception Management/Searchable</t>
  </si>
  <si>
    <t>411100.Functionality/Completeness/Group Management</t>
  </si>
  <si>
    <t>410000.Functionality/Completeness/Context Management/Host</t>
  </si>
  <si>
    <t>410111.Functionality/Completeness/Configuration Management/Immutable/Host</t>
  </si>
  <si>
    <t>413100.Functionality/Completeness/Search Management/Forgiving</t>
  </si>
  <si>
    <t>413220.Functionality/Completeness/Search Management/Filterable/Metadata</t>
  </si>
  <si>
    <t>413310.Functionality/Completeness/Search Management/Related/Linked</t>
  </si>
  <si>
    <t>410000.Functionality/Completeness/Message Mapping Management</t>
  </si>
  <si>
    <t>414310.Functionality/Completeness/Media Management/Blob Storage</t>
  </si>
  <si>
    <t>414320.Functionality/Completeness/Media Management/By Multiple Associations</t>
  </si>
  <si>
    <t>183170.ISO-25010/Security/Confidentiality/At Rest/Messages</t>
  </si>
  <si>
    <t>181300.ISO-25010/Security/Accountability/All Notification Metadata</t>
  </si>
  <si>
    <t>143600.ISO-25010/Performance/Resource Usage/Storage/Message In Blobs</t>
  </si>
  <si>
    <t>414410.Functionality/Completeness/Notification Management/Searchability</t>
  </si>
  <si>
    <t>411300.Functionality/Completeness/Module Management</t>
  </si>
  <si>
    <t>411310.Functionality/Completeness/Module Management/Permission Listing</t>
  </si>
  <si>
    <t>411320.Functionality/Completeness/Module Management/Blob Stored</t>
  </si>
  <si>
    <t>411600.Functionality/Completeness/Resource Route Management</t>
  </si>
  <si>
    <t>413000.Functionality/Completeness/Search Management</t>
  </si>
  <si>
    <t>411400.Functionality/Completeness/Permission Management</t>
  </si>
  <si>
    <t>414520.Functionality/Completeness/User Profile Management/Avatar</t>
  </si>
  <si>
    <t>414530.Functionality/Completeness/User Profile Management/Bio</t>
  </si>
  <si>
    <t>414510.Functionality/Completeness/User Profile Management/Name</t>
  </si>
  <si>
    <t>134261.ISO-25010/Maintainability/Modifiability/Development/Controllers/Thin</t>
  </si>
  <si>
    <t>134262.ISO-25010/Maintainability/Modifiability/Development/Controllers/Map between Entities &amp; DTOs</t>
  </si>
  <si>
    <t>410910.Functionality/Completeness/User Management/Disabled Users</t>
  </si>
  <si>
    <t>410911.Functionality/Completeness/User Management/Disabled Users/Temporarily</t>
  </si>
  <si>
    <t>410921.Functionality/Completeness/User Management/Enable Users/Temporarily</t>
  </si>
  <si>
    <t>136110.ISO-25010/Maintainability/Reusability/APIs/SDK</t>
  </si>
  <si>
    <t>143420.ISO-25010/Performance/Resource Usage/Threads/DBConnections</t>
  </si>
  <si>
    <t>D4S07.Media/Resources/Messages</t>
  </si>
  <si>
    <t>196270.ISO-25010/Usability/Operability/Accessibility/By API</t>
  </si>
  <si>
    <t xml:space="preserve">191000.ISO-25010/Usability/Aesthetics </t>
  </si>
  <si>
    <t xml:space="preserve">191100.ISO-25010/Usability/Aesthetics/Corporate Branding </t>
  </si>
  <si>
    <t xml:space="preserve">191200.ISO-25010/Usability/Aesthetics/Tenancy Branding </t>
  </si>
  <si>
    <t xml:space="preserve">197100.ISO-25010/Usability/Recognisability/Corporate Branding </t>
  </si>
  <si>
    <t>143910.ISO-25010/Performance/Resource Usage/Cache/Client Side</t>
  </si>
  <si>
    <t>19626400.ISO-25010/Usability/Operability/Accessibility/Styling/Minimal Context Info</t>
  </si>
  <si>
    <t>00100000.Guidance/System Design MUST NOT be led from Interface.</t>
  </si>
  <si>
    <t>196220.ISO-25010/Usability/Recognisability/Language/Interpretations</t>
  </si>
  <si>
    <t>12220000.ISO-25010/Functionality/Correctness/Interpretated Resources versus just Translation</t>
  </si>
  <si>
    <t>13425100.ISO-25010/Maintainability/Modifiability/Development/Client/SPA</t>
  </si>
  <si>
    <t xml:space="preserve">171700.ISO-25010/Reliability/Availability/Scalability </t>
  </si>
  <si>
    <t>136120.ISO-25010/Maintainability/Reusability/APIs/Querability</t>
  </si>
  <si>
    <t>134251.ISO-25010/Maintainability/Modifiability/Development/Views/Input,Output or Container</t>
  </si>
  <si>
    <t>134250.ISO-25010/Maintainability/Modifiability/Development/Views</t>
  </si>
  <si>
    <t>19642000.ISO-25010/Usability/Operability/Dependencies/Permissions/Least</t>
  </si>
  <si>
    <t>17144000.ISO-25010/Reliability/Availability/From/Browsers/Current</t>
  </si>
  <si>
    <t>17211100.ISO-25010/Reliability/Fault Tolerance/Exceptions/Handled</t>
  </si>
  <si>
    <t>143000.ISO-25010/Performance/Resource Usage</t>
  </si>
  <si>
    <t xml:space="preserve">180000.ISO-25010/Security </t>
  </si>
  <si>
    <t>183100.ISO-25010/Security/Confidentiality/At Rest</t>
  </si>
  <si>
    <t>134252.ISO-25010/Maintainability/Modifiability/Development/Views/Resources</t>
  </si>
  <si>
    <t>196221.ISO-25010/Usability/Operability/Accessibility/Images/Monochrome</t>
  </si>
  <si>
    <t>196223.ISO-25010/Usability/Operability/Accessibility/Images/Scalable</t>
  </si>
  <si>
    <t>196210.ISO-25010/Usability/Recognisability/Language/User Selected</t>
  </si>
  <si>
    <t>19631000.ISO-25010/Usability/Operability/Accessibility/Dashboards/Public Users (Imutable)</t>
  </si>
  <si>
    <t>196212.ISO-25010/Usability/Operability/Accessibility/Colours/BlueYellow</t>
  </si>
  <si>
    <t>196211.ISO-25010/Usability/Operability/Accessibility/Colours/RedGreen</t>
  </si>
  <si>
    <t>1962S32.ISO-25010/Usability/Operability/Accessibility/Styling/Sufficient Space</t>
  </si>
  <si>
    <t xml:space="preserve">19510000.ISO-25010/Usability/Learnability/Undoable Operations </t>
  </si>
  <si>
    <t>19612400.ISO-25010/Usability/Operability/Reporting/PDF</t>
  </si>
  <si>
    <t>19626310.ISO-25010/Usability/Operability/Accessibility/Styling/Sufficient Space/180%</t>
  </si>
  <si>
    <t>19632000.ISO-25010/Usability/Operability/Accessibility/Dashboards/Authenticated Users</t>
  </si>
  <si>
    <t>19730000.ISO-25010/Usability/Recognisability/Tenant Organisation Domain based URL</t>
  </si>
  <si>
    <t>19612700.ISO-25010/Usability/Operability/Reporting/Printable</t>
  </si>
  <si>
    <t>19626400.ISO-25010/Usability/Operability/Accessibility/Styling/Smallest Screens First</t>
  </si>
  <si>
    <t xml:space="preserve">19710000.ISO-25010/Usability/Recognisability/Corporate Branding </t>
  </si>
  <si>
    <t>19620000.ISO-25010/Usability/Operability/Accessibility/WCAG</t>
  </si>
  <si>
    <t>DESIGN/InfoService/UI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</si>
</sst>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0"/>
      <name val="Arial"/>
    </font>
    <font>
      <b/>
      <sz val="11"/>
      <color theme="0"/>
      <name val="Calibri"/>
      <family val="2"/>
      <scheme val="minor"/>
    </font>
    <font>
      <sz val="11"/>
      <color rgb="FF000000"/>
      <name val="Calibri"/>
      <family val="2"/>
      <charset val="1"/>
    </font>
    <font>
      <u/>
      <sz val="11"/>
      <color theme="1"/>
      <name val="Calibri"/>
      <family val="2"/>
      <scheme val="minor"/>
    </font>
    <font>
      <b/>
      <sz val="11"/>
      <color theme="1"/>
      <name val="Calibri"/>
      <family val="2"/>
      <scheme val="minor"/>
    </font>
    <font>
      <sz val="11"/>
      <color theme="0"/>
      <name val="Calibri"/>
      <family val="2"/>
      <scheme val="minor"/>
    </font>
    <font>
      <sz val="11"/>
      <color rgb="FF000000"/>
      <name val="Calibri"/>
      <family val="2"/>
    </font>
    <font>
      <sz val="11"/>
      <color theme="1"/>
      <name val="Calibri"/>
      <family val="2"/>
      <scheme val="minor"/>
    </font>
    <font>
      <sz val="9"/>
      <color rgb="FF0C0C0C"/>
      <name val="Inherit"/>
    </font>
    <font>
      <sz val="11"/>
      <color theme="0"/>
      <name val="Consolas"/>
      <family val="3"/>
    </font>
    <font>
      <b/>
      <sz val="11"/>
      <color theme="1"/>
      <name val="Consolas"/>
      <family val="3"/>
    </font>
    <font>
      <b/>
      <i/>
      <sz val="11"/>
      <color rgb="FFCC6600"/>
      <name val="Consolas"/>
      <family val="3"/>
    </font>
    <font>
      <i/>
      <sz val="11"/>
      <color rgb="FFCC6600"/>
      <name val="Consolas"/>
      <family val="3"/>
    </font>
    <font>
      <b/>
      <u/>
      <sz val="11"/>
      <color theme="1"/>
      <name val="Consolas"/>
      <family val="3"/>
    </font>
    <font>
      <sz val="11"/>
      <color theme="1"/>
      <name val="Consolas"/>
      <family val="3"/>
    </font>
    <font>
      <b/>
      <sz val="11"/>
      <color rgb="FF0070C0"/>
      <name val="Consolas"/>
      <family val="3"/>
    </font>
    <font>
      <sz val="11"/>
      <color rgb="FF9C0006"/>
      <name val="Calibri"/>
      <family val="2"/>
      <scheme val="minor"/>
    </font>
    <font>
      <sz val="11"/>
      <color rgb="FF000000"/>
      <name val="Calibri"/>
    </font>
    <font>
      <sz val="11"/>
      <color rgb="FF000000"/>
      <name val="Calibri"/>
      <charset val="1"/>
    </font>
    <font>
      <i/>
      <sz val="11"/>
      <color rgb="FF000000"/>
      <name val="Calibri"/>
      <charset val="1"/>
    </font>
    <font>
      <sz val="12"/>
      <color rgb="FF000118"/>
      <name val="Nunito Sans"/>
      <charset val="1"/>
    </font>
  </fonts>
  <fills count="14">
    <fill>
      <patternFill patternType="none"/>
    </fill>
    <fill>
      <patternFill patternType="gray125"/>
    </fill>
    <fill>
      <patternFill patternType="solid">
        <fgColor theme="4"/>
        <bgColor theme="4"/>
      </patternFill>
    </fill>
    <fill>
      <patternFill patternType="solid">
        <fgColor theme="4"/>
      </patternFill>
    </fill>
    <fill>
      <patternFill patternType="solid">
        <fgColor theme="6"/>
      </patternFill>
    </fill>
    <fill>
      <patternFill patternType="solid">
        <fgColor theme="7" tint="0.39997558519241921"/>
        <bgColor indexed="65"/>
      </patternFill>
    </fill>
    <fill>
      <patternFill patternType="solid">
        <fgColor theme="7" tint="0.39997558519241921"/>
        <bgColor indexed="64"/>
      </patternFill>
    </fill>
    <fill>
      <patternFill patternType="solid">
        <fgColor theme="5"/>
      </patternFill>
    </fill>
    <fill>
      <patternFill patternType="solid">
        <fgColor theme="4" tint="0.79998168889431442"/>
        <bgColor theme="4" tint="0.79998168889431442"/>
      </patternFill>
    </fill>
    <fill>
      <patternFill patternType="solid">
        <fgColor rgb="FFFFC7CE"/>
      </patternFill>
    </fill>
    <fill>
      <patternFill patternType="solid">
        <fgColor theme="4" tint="0.79998168889431442"/>
        <bgColor indexed="65"/>
      </patternFill>
    </fill>
    <fill>
      <patternFill patternType="solid">
        <fgColor theme="8" tint="0.39997558519241921"/>
        <bgColor indexed="65"/>
      </patternFill>
    </fill>
    <fill>
      <patternFill patternType="solid">
        <fgColor theme="7" tint="0.79998168889431442"/>
        <bgColor indexed="64"/>
      </patternFill>
    </fill>
    <fill>
      <patternFill patternType="solid">
        <fgColor rgb="FFFFFFFF"/>
        <bgColor indexed="64"/>
      </patternFill>
    </fill>
  </fills>
  <borders count="4">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7F7F7F"/>
      </left>
      <right style="thin">
        <color rgb="FF7F7F7F"/>
      </right>
      <top style="thin">
        <color rgb="FF7F7F7F"/>
      </top>
      <bottom style="thin">
        <color rgb="FF7F7F7F"/>
      </bottom>
      <diagonal/>
    </border>
  </borders>
  <cellStyleXfs count="8">
    <xf numFmtId="0" fontId="0" fillId="0" borderId="0"/>
    <xf numFmtId="0" fontId="6" fillId="3" borderId="0" applyNumberFormat="0" applyBorder="0" applyAlignment="0" applyProtection="0"/>
    <xf numFmtId="0" fontId="6" fillId="4" borderId="0" applyNumberFormat="0" applyBorder="0" applyAlignment="0" applyProtection="0"/>
    <xf numFmtId="0" fontId="8" fillId="5" borderId="0" applyNumberFormat="0" applyBorder="0" applyAlignment="0" applyProtection="0"/>
    <xf numFmtId="0" fontId="6" fillId="7" borderId="0" applyNumberFormat="0" applyBorder="0" applyAlignment="0" applyProtection="0"/>
    <xf numFmtId="0" fontId="17"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cellStyleXfs>
  <cellXfs count="56">
    <xf numFmtId="0" fontId="0" fillId="0" borderId="0" xfId="0"/>
    <xf numFmtId="0" fontId="1" fillId="0" borderId="0" xfId="0" applyFont="1"/>
    <xf numFmtId="14" fontId="1" fillId="0" borderId="0" xfId="0" applyNumberFormat="1" applyFont="1"/>
    <xf numFmtId="0" fontId="1" fillId="0" borderId="0" xfId="0" applyFont="1" applyAlignment="1">
      <alignment wrapText="1"/>
    </xf>
    <xf numFmtId="0" fontId="2" fillId="2" borderId="0" xfId="0" applyFont="1" applyFill="1"/>
    <xf numFmtId="0" fontId="3" fillId="0" borderId="0" xfId="0" applyFont="1"/>
    <xf numFmtId="49" fontId="2" fillId="2" borderId="0" xfId="0" applyNumberFormat="1" applyFont="1" applyFill="1"/>
    <xf numFmtId="49" fontId="0" fillId="0" borderId="0" xfId="0" applyNumberFormat="1"/>
    <xf numFmtId="2" fontId="2" fillId="2" borderId="0" xfId="0" applyNumberFormat="1" applyFont="1" applyFill="1"/>
    <xf numFmtId="2" fontId="0" fillId="0" borderId="0" xfId="0" applyNumberFormat="1"/>
    <xf numFmtId="1" fontId="0" fillId="0" borderId="0" xfId="0" applyNumberFormat="1"/>
    <xf numFmtId="0" fontId="4" fillId="0" borderId="0" xfId="0" applyFont="1"/>
    <xf numFmtId="0" fontId="2" fillId="2" borderId="0" xfId="0" applyFont="1" applyFill="1" applyAlignment="1">
      <alignment horizontal="left"/>
    </xf>
    <xf numFmtId="0" fontId="0" fillId="0" borderId="0" xfId="0" applyAlignment="1">
      <alignment horizontal="left"/>
    </xf>
    <xf numFmtId="0" fontId="5" fillId="0" borderId="0" xfId="0" applyFont="1"/>
    <xf numFmtId="0" fontId="7" fillId="0" borderId="0" xfId="0" applyFont="1"/>
    <xf numFmtId="0" fontId="6" fillId="3" borderId="0" xfId="1"/>
    <xf numFmtId="0" fontId="0" fillId="0" borderId="3" xfId="0" applyBorder="1"/>
    <xf numFmtId="0" fontId="5" fillId="0" borderId="0" xfId="0" applyFont="1" applyAlignment="1">
      <alignment horizontal="left"/>
    </xf>
    <xf numFmtId="0" fontId="8" fillId="5" borderId="0" xfId="3"/>
    <xf numFmtId="0" fontId="0" fillId="5" borderId="0" xfId="3" applyFont="1"/>
    <xf numFmtId="0" fontId="8" fillId="6" borderId="0" xfId="2" applyNumberFormat="1" applyFont="1" applyFill="1" applyBorder="1" applyAlignment="1" applyProtection="1"/>
    <xf numFmtId="0" fontId="0" fillId="6" borderId="0" xfId="2" applyNumberFormat="1" applyFont="1" applyFill="1" applyBorder="1" applyAlignment="1" applyProtection="1"/>
    <xf numFmtId="0" fontId="9" fillId="0" borderId="0" xfId="0" applyFont="1" applyAlignment="1">
      <alignment horizontal="left" vertical="center" indent="1"/>
    </xf>
    <xf numFmtId="0" fontId="15" fillId="0" borderId="0" xfId="0" applyFont="1"/>
    <xf numFmtId="0" fontId="6" fillId="7" borderId="0" xfId="4"/>
    <xf numFmtId="0" fontId="0" fillId="8" borderId="2" xfId="0" applyFill="1" applyBorder="1"/>
    <xf numFmtId="0" fontId="0" fillId="0" borderId="2" xfId="0" applyBorder="1"/>
    <xf numFmtId="0" fontId="10" fillId="3" borderId="1" xfId="1" applyFont="1" applyBorder="1"/>
    <xf numFmtId="0" fontId="11" fillId="0" borderId="1" xfId="0" applyFont="1" applyBorder="1"/>
    <xf numFmtId="0" fontId="11" fillId="8" borderId="1" xfId="0" applyFont="1" applyFill="1" applyBorder="1"/>
    <xf numFmtId="0" fontId="16" fillId="8" borderId="1" xfId="0" applyFont="1" applyFill="1" applyBorder="1"/>
    <xf numFmtId="0" fontId="16" fillId="0" borderId="1" xfId="0" applyFont="1" applyBorder="1"/>
    <xf numFmtId="0" fontId="12" fillId="0" borderId="1" xfId="0" applyFont="1" applyBorder="1"/>
    <xf numFmtId="0" fontId="13" fillId="8" borderId="1" xfId="0" applyFont="1" applyFill="1" applyBorder="1"/>
    <xf numFmtId="0" fontId="13" fillId="0" borderId="1" xfId="0" applyFont="1" applyBorder="1"/>
    <xf numFmtId="0" fontId="12" fillId="8" borderId="1" xfId="0" applyFont="1" applyFill="1" applyBorder="1"/>
    <xf numFmtId="0" fontId="14" fillId="0" borderId="1" xfId="0" applyFont="1" applyBorder="1"/>
    <xf numFmtId="0" fontId="17" fillId="9" borderId="0" xfId="5"/>
    <xf numFmtId="0" fontId="8" fillId="11" borderId="0" xfId="7" applyNumberFormat="1" applyBorder="1" applyAlignment="1" applyProtection="1"/>
    <xf numFmtId="0" fontId="8" fillId="11" borderId="0" xfId="7"/>
    <xf numFmtId="0" fontId="8" fillId="11" borderId="0" xfId="7" applyNumberFormat="1" applyAlignment="1">
      <alignment horizontal="left"/>
    </xf>
    <xf numFmtId="2" fontId="8" fillId="11" borderId="0" xfId="7" applyNumberFormat="1"/>
    <xf numFmtId="1" fontId="8" fillId="11" borderId="0" xfId="7" applyNumberFormat="1"/>
    <xf numFmtId="0" fontId="8" fillId="11" borderId="0" xfId="7" applyNumberFormat="1"/>
    <xf numFmtId="0" fontId="0" fillId="8" borderId="0" xfId="0" applyFill="1"/>
    <xf numFmtId="0" fontId="8" fillId="10" borderId="0" xfId="6"/>
    <xf numFmtId="1" fontId="8" fillId="10" borderId="0" xfId="6" applyNumberFormat="1"/>
    <xf numFmtId="0" fontId="8" fillId="10" borderId="0" xfId="6" applyNumberFormat="1" applyAlignment="1">
      <alignment horizontal="left"/>
    </xf>
    <xf numFmtId="0" fontId="8" fillId="10" borderId="0" xfId="6" applyNumberFormat="1"/>
    <xf numFmtId="0" fontId="8" fillId="10" borderId="0" xfId="6" applyBorder="1"/>
    <xf numFmtId="0" fontId="0" fillId="12" borderId="0" xfId="0" applyFill="1"/>
    <xf numFmtId="0" fontId="18" fillId="0" borderId="0" xfId="0" applyFont="1" applyAlignment="1">
      <alignment wrapText="1"/>
    </xf>
    <xf numFmtId="0" fontId="19" fillId="13" borderId="0" xfId="0" applyFont="1" applyFill="1"/>
    <xf numFmtId="0" fontId="19" fillId="13" borderId="0" xfId="0" quotePrefix="1" applyFont="1" applyFill="1"/>
    <xf numFmtId="0" fontId="21" fillId="0" borderId="0" xfId="0" applyFont="1"/>
  </cellXfs>
  <cellStyles count="8">
    <cellStyle name="20% - Accent1" xfId="6" builtinId="30"/>
    <cellStyle name="60% - Accent4" xfId="3" builtinId="44"/>
    <cellStyle name="60% - Accent5" xfId="7" builtinId="48"/>
    <cellStyle name="Accent1" xfId="1" builtinId="29"/>
    <cellStyle name="Accent2" xfId="4" builtinId="33"/>
    <cellStyle name="Accent3" xfId="2" builtinId="37"/>
    <cellStyle name="Bad" xfId="5" builtinId="27"/>
    <cellStyle name="Normal" xfId="0" builtinId="0"/>
  </cellStyles>
  <dxfs count="42">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2" formatCode="0.00"/>
    </dxf>
    <dxf>
      <numFmt numFmtId="0" formatCode="General"/>
    </dxf>
    <dxf>
      <numFmt numFmtId="0" formatCode="General"/>
    </dxf>
    <dxf>
      <numFmt numFmtId="0" formatCode="General"/>
    </dxf>
    <dxf>
      <numFmt numFmtId="0" formatCode="General"/>
      <fill>
        <patternFill patternType="solid">
          <fgColor indexed="64"/>
          <bgColor theme="7" tint="0.79998168889431442"/>
        </patternFill>
      </fill>
    </dxf>
    <dxf>
      <numFmt numFmtId="2" formatCode="0.00"/>
    </dxf>
    <dxf>
      <numFmt numFmtId="0" formatCode="General"/>
    </dxf>
    <dxf>
      <numFmt numFmtId="0" formatCode="General"/>
    </dxf>
    <dxf>
      <numFmt numFmtId="0" formatCode="General"/>
    </dxf>
    <dxf>
      <border diagonalUp="0" diagonalDown="0">
        <left/>
        <right/>
        <top style="thin">
          <color theme="4"/>
        </top>
        <bottom/>
        <vertical/>
        <horizontal/>
      </border>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30" formatCode="@"/>
    </dxf>
    <dxf>
      <numFmt numFmtId="30" formatCode="@"/>
    </dxf>
    <dxf>
      <numFmt numFmtId="0" formatCode="General"/>
    </dxf>
    <dxf>
      <numFmt numFmtId="0" formatCode="General"/>
    </dxf>
    <dxf>
      <numFmt numFmtId="0" formatCode="General"/>
      <alignment horizontal="left" vertical="bottom" textRotation="0" wrapText="0" indent="0" justifyLastLine="0" shrinkToFit="0" readingOrder="0"/>
    </dxf>
    <dxf>
      <font>
        <b/>
      </font>
      <numFmt numFmtId="0" formatCode="General"/>
      <alignment horizontal="left" vertical="bottom" textRotation="0" wrapText="0" indent="0" justifyLastLine="0" shrinkToFit="0" readingOrder="0"/>
    </dxf>
    <dxf>
      <numFmt numFmtId="1" formatCode="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strike val="0"/>
        <outline val="0"/>
        <shadow val="0"/>
        <vertAlign val="baseline"/>
        <sz val="11"/>
        <name val="Consolas"/>
        <family val="3"/>
        <scheme val="none"/>
      </font>
    </dxf>
    <dxf>
      <font>
        <strike val="0"/>
        <outline val="0"/>
        <shadow val="0"/>
        <vertAlign val="baseline"/>
        <sz val="11"/>
        <name val="Consolas"/>
        <family val="3"/>
        <scheme val="none"/>
      </font>
    </dxf>
    <dxf>
      <border outline="0">
        <bottom style="thin">
          <color theme="4" tint="0.39997558519241921"/>
        </bottom>
      </border>
    </dxf>
    <dxf>
      <font>
        <strike val="0"/>
        <outline val="0"/>
        <shadow val="0"/>
        <vertAlign val="baseline"/>
        <sz val="11"/>
        <name val="Consolas"/>
        <family val="3"/>
        <scheme val="none"/>
      </font>
    </dxf>
  </dxfs>
  <tableStyles count="0" defaultTableStyle="TableStyleMedium2" defaultPivotStyle="PivotStyleMedium9"/>
  <colors>
    <mruColors>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stView" id="{832600DA-C1DE-4DC9-870E-4083E486B98A}">
    <nsvFilter filterId="{7CCCECA5-75CC-4CDA-8A68-F8A5CF4F0B3B}" ref="A1:A539" tableId="7">
      <sortRules>
        <sortRule colId="0" id="{A895ABA2-FD36-466A-BF4A-71DB6B0A0B7D}">
          <sortCondition ref="A1:A539"/>
        </sortRule>
      </sortRules>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CCCECA5-75CC-4CDA-8A68-F8A5CF4F0B3B}" name="DATA_Concern" displayName="DATA_Concern" ref="A1:A539" totalsRowShown="0" headerRowCellStyle="Bad">
  <autoFilter ref="A1:A539" xr:uid="{7CCCECA5-75CC-4CDA-8A68-F8A5CF4F0B3B}"/>
  <sortState xmlns:xlrd2="http://schemas.microsoft.com/office/spreadsheetml/2017/richdata2" ref="A2:A538">
    <sortCondition ref="A1:A539"/>
  </sortState>
  <tableColumns count="1">
    <tableColumn id="1" xr3:uid="{A895ABA2-FD36-466A-BF4A-71DB6B0A0B7D}" name="Concer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8D15DC1-E591-49E7-9A36-C804F4A96675}" name="Table9" displayName="Table9" ref="E1:E234" totalsRowShown="0" headerRowCellStyle="Accent1">
  <autoFilter ref="E1:E234" xr:uid="{63D15E1E-8C37-4228-B2CC-0CFFDC901E33}"/>
  <sortState xmlns:xlrd2="http://schemas.microsoft.com/office/spreadsheetml/2017/richdata2" ref="E2:E233">
    <sortCondition ref="E1:E233"/>
  </sortState>
  <tableColumns count="1">
    <tableColumn id="1" xr3:uid="{84B61792-E9C7-4F2A-8905-038B067E36A5}" name="MINOR(DELIVERAB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1300F36-B955-441B-8EA4-4718773FC475}" name="Table10" displayName="Table10" ref="D1:D20" totalsRowShown="0" headerRowCellStyle="Accent1">
  <autoFilter ref="D1:D20" xr:uid="{DA54EFB1-918E-4C09-90C5-ECB1003A8534}"/>
  <sortState xmlns:xlrd2="http://schemas.microsoft.com/office/spreadsheetml/2017/richdata2" ref="D2:D20">
    <sortCondition ref="D1:D20"/>
  </sortState>
  <tableColumns count="1">
    <tableColumn id="1" xr3:uid="{9F408294-6838-46D8-999A-E2902F0949B2}" name="MAJOR (PHAS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C493ABC-93F7-4DB0-807E-0090BC1A5C98}" name="Table11" displayName="Table11" ref="F1:F84" totalsRowShown="0" headerRowCellStyle="Accent1">
  <autoFilter ref="F1:F84" xr:uid="{14AEAD04-3583-4244-A1BD-7CBEEF5EC733}"/>
  <sortState xmlns:xlrd2="http://schemas.microsoft.com/office/spreadsheetml/2017/richdata2" ref="F2:F84">
    <sortCondition ref="F1:F84"/>
  </sortState>
  <tableColumns count="1">
    <tableColumn id="1" xr3:uid="{00D06C48-8331-498A-933F-00D50605EF22}" name="STAKEHOLDER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BC2D87-C812-491D-967B-3F8B7747A53D}" name="Table12" displayName="Table12" ref="G1:G11" totalsRowShown="0" headerRowCellStyle="Accent1">
  <autoFilter ref="G1:G11" xr:uid="{27FEE92F-D190-429D-83C3-8F984A715B49}"/>
  <sortState xmlns:xlrd2="http://schemas.microsoft.com/office/spreadsheetml/2017/richdata2" ref="G2:G11">
    <sortCondition ref="G1:G11"/>
  </sortState>
  <tableColumns count="1">
    <tableColumn id="1" xr3:uid="{3885C817-B6D5-422D-8889-432ADD693B79}" name="TYP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F4F40D6-9431-4758-A95F-A6B8019AE0F6}" name="Table13" displayName="Table13" ref="H1:I843" totalsRowShown="0" dataDxfId="41" tableBorderDxfId="40" headerRowCellStyle="Accent1">
  <autoFilter ref="H1:I843" xr:uid="{51A50862-AF46-4107-9D1D-C60E9C9C3DC4}"/>
  <sortState xmlns:xlrd2="http://schemas.microsoft.com/office/spreadsheetml/2017/richdata2" ref="H2:I843">
    <sortCondition ref="H1:H843"/>
  </sortState>
  <tableColumns count="2">
    <tableColumn id="1" xr3:uid="{5793C7DF-0D3F-47CB-845B-339D5E882DAC}" name="Column1" dataDxfId="39"/>
    <tableColumn id="4" xr3:uid="{CAD74E65-19A6-47C8-9A86-02E6846D6D5B}" name="REQUIREMENT" dataDxfId="3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85B78-5DBD-40F3-A20F-DB3F0E3508BA}" name="DATA_State" displayName="DATA_State" ref="A1:A8" totalsRowShown="0">
  <autoFilter ref="A1:A8" xr:uid="{2B385B78-5DBD-40F3-A20F-DB3F0E3508BA}"/>
  <tableColumns count="1">
    <tableColumn id="1" xr3:uid="{97FF9D39-FD37-4756-B630-4D0A3CED33E1}" name="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214BB7-CCD2-40B7-8AEB-67F376DDA727}" name="DATA_Environment" displayName="DATA_Environment" ref="B1:B8" totalsRowShown="0">
  <autoFilter ref="B1:B8" xr:uid="{9E214BB7-CCD2-40B7-8AEB-67F376DDA727}"/>
  <tableColumns count="1">
    <tableColumn id="1" xr3:uid="{1D1AF3DE-646D-49DB-B42C-2F80C8DD3628}" name="Environme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AB4134-37DC-4294-98C2-456BE42BA7FD}" name="DATA_Type" displayName="DATA_Type" ref="C1:C7" totalsRowShown="0">
  <autoFilter ref="C1:C7" xr:uid="{AFAB4134-37DC-4294-98C2-456BE42BA7FD}"/>
  <tableColumns count="1">
    <tableColumn id="1" xr3:uid="{1973FA30-BF2E-4AD4-BFB9-D20CA8CB52C2}" name="Typ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9DEEC0-645B-48E5-A161-56552137AFBA}" name="DATA_Requirements" displayName="DATA_Requirements" ref="A1:O803" totalsRowShown="0" headerRowDxfId="37" tableBorderDxfId="36">
  <autoFilter ref="A1:O803" xr:uid="{683FD0CC-6093-48A7-93B9-33402270A9EC}"/>
  <sortState xmlns:xlrd2="http://schemas.microsoft.com/office/spreadsheetml/2017/richdata2" ref="A2:O803">
    <sortCondition ref="A1:A803"/>
  </sortState>
  <tableColumns count="15">
    <tableColumn id="4" xr3:uid="{373CAFA8-1E99-48C7-920F-08FBFBB8A32E}" name="Phase"/>
    <tableColumn id="11" xr3:uid="{FC1ADB77-DD82-44BF-B1EE-3152E449B840}" name="Deliverables"/>
    <tableColumn id="16" xr3:uid="{33B4E104-33B2-40A4-878B-8EAD8875C840}" name="CONCERN" dataDxfId="35"/>
    <tableColumn id="17" xr3:uid="{6AF65A67-F3F5-49FA-BF7E-5C0D67E060A3}" name="STATEMENT"/>
    <tableColumn id="12" xr3:uid="{20EF90EE-6B47-4D4C-B4BA-0013235CA961}" name="Responsible"/>
    <tableColumn id="5" xr3:uid="{3D442409-E64E-456A-912D-8CC2838B2829}" name="Sponsor"/>
    <tableColumn id="6" xr3:uid="{06DB1872-25F4-4F74-A2D2-32228AF1F4EB}" name="Type"/>
    <tableColumn id="14" xr3:uid="{CBEAD2C8-A917-476E-9DB6-32D0875D018B}" name="Order" dataDxfId="34"/>
    <tableColumn id="13" xr3:uid="{05ACFA8C-36A8-4212-A803-D7DD37AEFC92}" name="ID" dataDxfId="33">
      <calculatedColumnFormula array="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calculatedColumnFormula>
    </tableColumn>
    <tableColumn id="1" xr3:uid="{ECCDB088-B847-4704-8650-E387707DB0C8}" name="Path"/>
    <tableColumn id="3" xr3:uid="{7E059B7F-A812-4270-955E-7D9AB976C575}" name="ID4" dataDxfId="32">
      <calculatedColumnFormula>TRIM(SUBSTITUTE( LEFT(DATA_Requirements[[#This Row],[Path]], FIND("/", SUBSTITUTE( DATA_Requirements[[#This Row],[Path]]," ","/"),1)-1), ".",""))</calculatedColumnFormula>
    </tableColumn>
    <tableColumn id="7" xr3:uid="{75C95633-CE12-495E-B015-1ADCC7F64090}" name="DiagramTitle" dataDxfId="31">
      <calculatedColumnFormula>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calculatedColumnFormula>
    </tableColumn>
    <tableColumn id="8" xr3:uid="{02866CF3-2AEC-4053-B1D1-205BEBAF3DDB}" name="Statement2" dataDxfId="30">
      <calculatedColumnFormula>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calculatedColumnFormula>
    </tableColumn>
    <tableColumn id="9" xr3:uid="{A08AA264-26C6-4632-AA17-F07247E19255}" name="Rationale" dataDxfId="29"/>
    <tableColumn id="10" xr3:uid="{9D6D895A-AFD9-46F5-94F2-839352B46A74}" name="Notes" dataDxfId="28"/>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E351546-C1AE-43FD-918A-FEF8627258F6}" name="Table1518" displayName="Table1518" ref="A2:L3" totalsRowShown="0">
  <autoFilter ref="A2:L3" xr:uid="{88B10613-DE75-48D8-9E9B-7EC4537393E7}"/>
  <tableColumns count="12">
    <tableColumn id="1" xr3:uid="{AB4B1A5F-B07F-4E88-A699-5F780F859760}" name="PHASE"/>
    <tableColumn id="2" xr3:uid="{DF6857E1-5A3C-48B0-B445-30EFF823C7B7}" name="DELIVERABLE"/>
    <tableColumn id="3" xr3:uid="{1BBA8660-0F92-4BE0-AA5B-93BC38C10A9F}" name="CONCERN.ID" dataDxfId="27"/>
    <tableColumn id="10" xr3:uid="{88295528-3DF9-45B2-B5A2-43F1CE92736C}" name="UID" dataDxfId="26"/>
    <tableColumn id="9" xr3:uid="{C1583DC7-68F6-42DD-83B7-0A1B24920D7B}" name="CONCERN.UNIQUEPATH"/>
    <tableColumn id="8" xr3:uid="{C4D4DC85-3091-47A3-B229-B4D49B9E875E}" name="TITLE">
      <calculatedColumnFormula>TRIM(MID(Table1518[[#This Row],[CONCERN.UNIQUEPATH]], IF( ISNUMBER( SEARCH("/",Table1518[[#This Row],[CONCERN.UNIQUEPATH]])),SEARCH("/",Table1518[[#This Row],[CONCERN.UNIQUEPATH]])+1,1),255))</calculatedColumnFormula>
    </tableColumn>
    <tableColumn id="4" xr3:uid="{8D2E43BB-2D04-4031-95A1-2DCE37184E50}" name="STATEMENT"/>
    <tableColumn id="11" xr3:uid="{F7C5A0C5-C244-42C3-9859-E1135B2B9B64}" name="RATIONALE"/>
    <tableColumn id="12" xr3:uid="{0335185C-A1BB-475D-A2D6-D489E890ECEB}" name="NOTES"/>
    <tableColumn id="5" xr3:uid="{D423BA1C-CED4-4159-B1B3-A225D9FFCB5F}" name="RESPONSIBLE"/>
    <tableColumn id="6" xr3:uid="{E146E1B8-D840-4D85-8B03-385DA26AAF6A}" name="BENEFITING"/>
    <tableColumn id="7" xr3:uid="{3A359D65-D179-4322-866E-2E28D648F5F9}" name="TYP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8C92093-69D7-4B32-AA0E-B165C0FB0489}" name="Table151828" displayName="Table151828" ref="A2:L6" totalsRowShown="0">
  <autoFilter ref="A2:L6" xr:uid="{88B10613-DE75-48D8-9E9B-7EC4537393E7}"/>
  <tableColumns count="12">
    <tableColumn id="1" xr3:uid="{BF8CA5DC-FBE8-421A-B50E-1934069A7252}" name="PHASE"/>
    <tableColumn id="2" xr3:uid="{5A734ED5-13F7-4FE9-A06E-43130E91EEFA}" name="DELIVERABLE"/>
    <tableColumn id="3" xr3:uid="{B8D781F1-A5AA-49A7-AAA7-8AECC660B003}" name="CONCERN.ID"/>
    <tableColumn id="9" xr3:uid="{AB58549B-21CB-4F2A-81D5-2764EA8F7E65}" name="CONCERN.UNIQUEPATH" dataDxfId="25" dataCellStyle="60% - Accent4"/>
    <tableColumn id="10" xr3:uid="{EDAC7503-1D7C-4B6C-8C0F-63D140893EF0}" name="UID" dataDxfId="24">
      <calculatedColumnFormula xml:space="preserve"> CONCATENATE( MID(Table151828[[#This Row],[PHASE]],2,3), MID(Table151828[[#This Row],[DELIVERABLE]],2,4), $B$1,TRIM(SUBSTITUTE(MID(Table151828[[#This Row],[CONCERN.ID]],2,20),"X","") )  )</calculatedColumnFormula>
    </tableColumn>
    <tableColumn id="8" xr3:uid="{BBE7FB1C-9C9C-4852-BCD5-CE43CFD45810}" name="TITLE" dataDxfId="23">
      <calculatedColumnFormula>TRIM(MID(Table151828[[#This Row],[CONCERN.UNIQUEPATH]], IF( ISNUMBER( SEARCH("/",Table151828[[#This Row],[CONCERN.UNIQUEPATH]])),SEARCH("/",Table151828[[#This Row],[CONCERN.UNIQUEPATH]])+1,1),255))</calculatedColumnFormula>
    </tableColumn>
    <tableColumn id="4" xr3:uid="{FDC078C7-6E8E-41BF-8661-C6203D7C1226}" name="STATEMENT"/>
    <tableColumn id="12" xr3:uid="{3A5D8910-6B69-4044-90A2-B614A46B692E}" name="RATIONALE"/>
    <tableColumn id="11" xr3:uid="{76629F43-9F4C-460D-9015-F6A23F0D199B}" name="NOTES"/>
    <tableColumn id="5" xr3:uid="{4990EA04-78DA-4E88-A585-4D209BF61873}" name="RESPONSIBLE"/>
    <tableColumn id="6" xr3:uid="{F06110E0-ACC0-4B91-95E0-FC90C7675CB6}" name="BENEFITING"/>
    <tableColumn id="7" xr3:uid="{CC1B016C-073A-4967-BB50-622F171D40EF}" name="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86B38D2-786E-4964-9F8C-F4CB2FB4F26B}" name="Table151821" displayName="Table151821" ref="A1:L2" totalsRowShown="0">
  <autoFilter ref="A1:L2" xr:uid="{88B10613-DE75-48D8-9E9B-7EC4537393E7}"/>
  <tableColumns count="12">
    <tableColumn id="1" xr3:uid="{141B6411-95A9-4870-8887-4DFE05784EEB}" name="PHASE"/>
    <tableColumn id="2" xr3:uid="{D2ECB376-E5AF-4499-9DED-432FA564BB80}" name="DELIVERABLE"/>
    <tableColumn id="3" xr3:uid="{2FD2855D-AC5F-4C95-8BA5-42948D98FCA0}" name="CONCERN.ID"/>
    <tableColumn id="9" xr3:uid="{A09AC2E6-DC97-48AD-9264-088A18487BB7}" name="CONCERN.UNIQUEPATH"/>
    <tableColumn id="10" xr3:uid="{8322BAC1-3C84-41B4-9D93-68E7D1190EBE}" name="UID">
      <calculatedColumnFormula xml:space="preserve"> CONCATENATE( MID(Table151821[[#This Row],[PHASE]],2,3), MID(Table151821[[#This Row],[DELIVERABLE]],2,4), TRIM(SUBSTITUTE(MID(Table151821[[#This Row],[CONCERN.ID]],2,20),"X","") )  )</calculatedColumnFormula>
    </tableColumn>
    <tableColumn id="8" xr3:uid="{4159C031-8FAF-4294-B006-54CB48671FBC}" name="TITLE">
      <calculatedColumnFormula>TRIM(MID(Table151821[[#This Row],[CONCERN.UNIQUEPATH]], IF( ISNUMBER( SEARCH("/",Table151821[[#This Row],[CONCERN.UNIQUEPATH]])),SEARCH("/",Table151821[[#This Row],[CONCERN.UNIQUEPATH]])+1,1),255))</calculatedColumnFormula>
    </tableColumn>
    <tableColumn id="4" xr3:uid="{B2F0E335-F44C-407A-BA1D-051926F0F650}" name="STATEMENT"/>
    <tableColumn id="12" xr3:uid="{A4B7A160-499E-47A4-82E0-2FDA609DB2E3}" name="RATIONALE"/>
    <tableColumn id="11" xr3:uid="{F9284583-FD5D-4981-9FA0-E600D6A1277C}" name="NOTES"/>
    <tableColumn id="5" xr3:uid="{FE9A92B6-FF98-45B3-B20F-739A3F31F46E}" name="RESPONSIBLE"/>
    <tableColumn id="6" xr3:uid="{958640D5-4443-4869-810C-9738D684D156}" name="BENEFITING"/>
    <tableColumn id="7" xr3:uid="{C3247800-1A76-4BDF-AAD0-0DB5D115B306}" name="TYP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6E0B3-80AB-4B12-BDFD-00B91DDF9F29}" name="Table151827" displayName="Table151827" ref="A1:L25" totalsRowShown="0">
  <autoFilter ref="A1:L25" xr:uid="{88B10613-DE75-48D8-9E9B-7EC4537393E7}"/>
  <sortState xmlns:xlrd2="http://schemas.microsoft.com/office/spreadsheetml/2017/richdata2" ref="A2:L25">
    <sortCondition ref="E1:E25"/>
  </sortState>
  <tableColumns count="12">
    <tableColumn id="1" xr3:uid="{D760355F-79AD-48C8-8D78-CD32F4C225B6}" name="PHASE"/>
    <tableColumn id="2" xr3:uid="{FDFBFE91-C23B-4E2A-AE6D-A17580C7FD9A}" name="DELIVERABLE"/>
    <tableColumn id="3" xr3:uid="{5BD3906C-9E5B-4175-8309-4980C1725EEF}" name="CONCERN.ID"/>
    <tableColumn id="9" xr3:uid="{CC28B113-7144-417D-A582-78D0C22246AE}" name="CONCERN.UNIQUEPATH" dataDxfId="22" dataCellStyle="Bad"/>
    <tableColumn id="10" xr3:uid="{B016B002-834B-4A79-A602-739F8A8FBA85}" name="UID">
      <calculatedColumnFormula xml:space="preserve"> CONCATENATE( MID(Table151827[[#This Row],[PHASE]],2,3), MID(Table151827[[#This Row],[DELIVERABLE]],2,4), TRIM(SUBSTITUTE(MID(Table151827[[#This Row],[CONCERN.ID]],2,20),"X","") )  )</calculatedColumnFormula>
    </tableColumn>
    <tableColumn id="8" xr3:uid="{8953B7F1-B3A0-48B0-BEDA-A174A3227C2C}" name="TITLE" dataDxfId="21">
      <calculatedColumnFormula>TRIM(MID(Table151827[[#This Row],[CONCERN.UNIQUEPATH]], IF( ISNUMBER( SEARCH("/",Table151827[[#This Row],[CONCERN.UNIQUEPATH]])),SEARCH("/",Table151827[[#This Row],[CONCERN.UNIQUEPATH]])+1,1),255))</calculatedColumnFormula>
    </tableColumn>
    <tableColumn id="4" xr3:uid="{8DF3594E-B31A-41D4-9E5A-5B18BAD37B0E}" name="STATEMENT"/>
    <tableColumn id="12" xr3:uid="{0A7E58D3-7991-4846-8281-5C3E81D50864}" name="RATIONALE"/>
    <tableColumn id="11" xr3:uid="{4C0DB39C-3458-483D-9713-58FD38F5B53B}" name="NOTES"/>
    <tableColumn id="5" xr3:uid="{D722D9CC-93FB-46AC-9F30-A4E732AA45D6}" name="RESPONSIBLE"/>
    <tableColumn id="6" xr3:uid="{E9D4DCE3-663C-4537-8F4E-C5C1B68BA3CE}" name="BENEFITING"/>
    <tableColumn id="7" xr3:uid="{F3C35068-947B-45FF-B423-5B55EA283C0D}" name="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A6A5AF5-6FF0-4562-BFAA-461C78799485}" name="Table151820" displayName="Table151820" ref="A1:L26" totalsRowShown="0">
  <autoFilter ref="A1:L26" xr:uid="{88B10613-DE75-48D8-9E9B-7EC4537393E7}"/>
  <tableColumns count="12">
    <tableColumn id="1" xr3:uid="{FFA600CA-99BA-47AB-91E9-65EBD55D5724}" name="PHASE"/>
    <tableColumn id="2" xr3:uid="{6FBDD507-817F-47D2-8199-7C4D3482FEDC}" name="DELIVERABLE"/>
    <tableColumn id="3" xr3:uid="{30A46E47-4207-4198-9A7E-8ECFFCD27D5B}" name="CONCERN.ID"/>
    <tableColumn id="9" xr3:uid="{9FDD5078-A239-45AF-A017-83297DE10A9E}" name="CONCERN.UNIQUEPATH"/>
    <tableColumn id="10" xr3:uid="{0CB2DB72-9B10-4793-B674-86AED94E62C0}" name="UID" dataDxfId="20">
      <calculatedColumnFormula xml:space="preserve"> CONCATENATE( MID(Table151820[[#This Row],[PHASE]],2,3), MID(Table151820[[#This Row],[DELIVERABLE]],2,4), TRIM(SUBSTITUTE(MID(Table151820[[#This Row],[CONCERN.ID]],2,20),"X","") )  )</calculatedColumnFormula>
    </tableColumn>
    <tableColumn id="8" xr3:uid="{4DA321AB-E437-488F-81C5-1938B4F310BB}" name="TITLE" dataDxfId="19">
      <calculatedColumnFormula>TRIM(MID(Table151820[[#This Row],[CONCERN.UNIQUEPATH]], IF( ISNUMBER( SEARCH("/",Table151820[[#This Row],[CONCERN.UNIQUEPATH]])),SEARCH("/",Table151820[[#This Row],[CONCERN.UNIQUEPATH]])+1,1),255))</calculatedColumnFormula>
    </tableColumn>
    <tableColumn id="4" xr3:uid="{A9CF2E13-E3E5-445D-9C4D-38E5F2067EB3}" name="STATEMENT"/>
    <tableColumn id="11" xr3:uid="{B21D0743-4394-4272-BAC6-D2A210353F09}" name="RATIONALE"/>
    <tableColumn id="12" xr3:uid="{1AEC784D-39C2-4D62-B7AA-7591370417DD}" name="NOTES"/>
    <tableColumn id="5" xr3:uid="{23FDC89A-0160-41C2-9AE8-FBE7BBCE6AB1}" name="RESPONSIBLE"/>
    <tableColumn id="6" xr3:uid="{F563DE0E-2876-4368-938C-1E9C0B8CEE23}" name="BENEFITING" dataDxfId="18"/>
    <tableColumn id="7" xr3:uid="{CE21382D-789F-4E98-BC90-BEDA03C64F1F}" name="TYP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1B5A106-4A63-4009-B613-D443C17071C1}" name="Table151829" displayName="Table151829" ref="A1:L35" totalsRowShown="0">
  <autoFilter ref="A1:L35" xr:uid="{88B10613-DE75-48D8-9E9B-7EC4537393E7}"/>
  <sortState xmlns:xlrd2="http://schemas.microsoft.com/office/spreadsheetml/2017/richdata2" ref="A2:L35">
    <sortCondition ref="E1:E35"/>
  </sortState>
  <tableColumns count="12">
    <tableColumn id="1" xr3:uid="{72B42B18-E766-403B-8B51-E890CC9F1489}" name="PHASE"/>
    <tableColumn id="2" xr3:uid="{2B8639E4-8890-47E8-91AE-B2C6F42812FE}" name="DELIVERABLE"/>
    <tableColumn id="3" xr3:uid="{7E9582A2-CF47-4D63-95C5-76C3DD0BBA9A}" name="CONCERN.ID"/>
    <tableColumn id="9" xr3:uid="{FC631317-2C81-4E72-863A-FB5AC0D1EDD8}" name="CONCERN.UNIQUEPATH"/>
    <tableColumn id="10" xr3:uid="{045BD00E-6BFB-4CD4-9373-455DB11E4FBF}" name="UID">
      <calculatedColumnFormula xml:space="preserve"> CONCATENATE( MID(Table151829[[#This Row],[PHASE]],2,3), MID(Table151829[[#This Row],[DELIVERABLE]],2,4), TRIM(SUBSTITUTE(MID(Table151829[[#This Row],[CONCERN.ID]],2,20),"X","") )  )</calculatedColumnFormula>
    </tableColumn>
    <tableColumn id="8" xr3:uid="{4517A27E-57B9-4DC8-9C2E-A828365577AE}" name="TITLE" dataDxfId="17">
      <calculatedColumnFormula>TRIM(MID(Table151829[[#This Row],[CONCERN.UNIQUEPATH]], IF( ISNUMBER( SEARCH("/",Table151829[[#This Row],[CONCERN.UNIQUEPATH]])),SEARCH("/",Table151829[[#This Row],[CONCERN.UNIQUEPATH]])+1,1),255))</calculatedColumnFormula>
    </tableColumn>
    <tableColumn id="4" xr3:uid="{D83A316A-61C7-4AFB-A59F-883F1084B58A}" name="STATEMENT"/>
    <tableColumn id="11" xr3:uid="{9A33DF04-924E-4B58-BC7E-F6C16AB4B923}" name="RATIONALE"/>
    <tableColumn id="12" xr3:uid="{23D4863A-E3BC-4354-92BD-EA4D69A9FCE8}" name="NOTES"/>
    <tableColumn id="5" xr3:uid="{D5562D21-0144-451A-BEE7-26BFB4D76B17}" name="RESPONSIBLE"/>
    <tableColumn id="6" xr3:uid="{8D0B47E0-804F-4BAB-8F08-94A2FAF6514B}" name="BENEFITING"/>
    <tableColumn id="7" xr3:uid="{45A6CEC2-C76C-4F21-BF70-4B97C3DB2876}" name="TYP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4BB9DFF-73AE-4C21-92A3-CFC33FA212A2}" name="Table151831" displayName="Table151831" ref="A2:L13" totalsRowShown="0">
  <autoFilter ref="A2:L13" xr:uid="{88B10613-DE75-48D8-9E9B-7EC4537393E7}"/>
  <sortState xmlns:xlrd2="http://schemas.microsoft.com/office/spreadsheetml/2017/richdata2" ref="A3:L13">
    <sortCondition ref="E2:E13"/>
  </sortState>
  <tableColumns count="12">
    <tableColumn id="1" xr3:uid="{59F0C62A-9C03-43AC-81D9-4A652E261ACF}" name="PHASE"/>
    <tableColumn id="2" xr3:uid="{017A3E60-F93D-4286-8261-BCE6C04F2347}" name="DELIVERABLE"/>
    <tableColumn id="3" xr3:uid="{BB21951F-D66D-442A-A9CF-63557E6C2585}" name="CONCERN.ID"/>
    <tableColumn id="9" xr3:uid="{1222A4EE-AF3A-4F2C-9B1D-056DE35E0E35}" name="CONCERN.UNIQUEPATH"/>
    <tableColumn id="10" xr3:uid="{CA1E4357-02EA-42EB-97C6-30ECCAE2F13B}" name="UID">
      <calculatedColumnFormula xml:space="preserve"> CONCATENATE( MID(Table151831[[#This Row],[PHASE]],2,3), MID(Table151831[[#This Row],[DELIVERABLE]],2,4), TRIM(SUBSTITUTE(MID(Table151831[[#This Row],[CONCERN.ID]],2,20),"X","") )  )</calculatedColumnFormula>
    </tableColumn>
    <tableColumn id="8" xr3:uid="{EEFAC0EF-C2E3-417A-A3EB-F4E5A7E65E2F}" name="TITLE" dataDxfId="16">
      <calculatedColumnFormula>TRIM(MID(Table151831[[#This Row],[CONCERN.UNIQUEPATH]], IF( ISNUMBER( SEARCH("/",Table151831[[#This Row],[CONCERN.UNIQUEPATH]])),SEARCH("/",Table151831[[#This Row],[CONCERN.UNIQUEPATH]])+1,1),255))</calculatedColumnFormula>
    </tableColumn>
    <tableColumn id="4" xr3:uid="{729DAF6B-62B6-41F9-AB07-194A3466A94E}" name="STATEMENT"/>
    <tableColumn id="11" xr3:uid="{F052DA1E-A3C5-42F5-8DEB-D7E2E8BE931E}" name="RATIONALE"/>
    <tableColumn id="12" xr3:uid="{7ED00BDD-B501-4BEA-A9D4-39CA861B52CA}" name="NOTES"/>
    <tableColumn id="5" xr3:uid="{E29D2EEF-1B63-42C7-B667-2C6D24C209C8}" name="RESPONSIBLE"/>
    <tableColumn id="6" xr3:uid="{F656C525-B921-48C7-B17C-48112D426C80}" name="BENEFITING"/>
    <tableColumn id="7" xr3:uid="{8B553872-3A11-49A9-A332-F1F4605A5739}" name="TYP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A5C813B-3710-4F92-A58D-1D85E7F5493C}" name="Table151822" displayName="Table151822" ref="A2:L12" totalsRowShown="0">
  <autoFilter ref="A2:L12" xr:uid="{88B10613-DE75-48D8-9E9B-7EC4537393E7}"/>
  <tableColumns count="12">
    <tableColumn id="1" xr3:uid="{ECDBBB61-E911-4A85-8C1C-2779B21A882F}" name="PHASE"/>
    <tableColumn id="2" xr3:uid="{D615BF39-C440-4223-A10B-9A810A0C16AD}" name="DELIVERABLE"/>
    <tableColumn id="3" xr3:uid="{F4097C5C-E5CE-45F8-AEE5-2DDB0130BACB}" name="CONCERN.ID"/>
    <tableColumn id="9" xr3:uid="{6F91DB87-7DF4-4BD6-B3D7-408BC144721F}" name="CONCERN.UNIQUEPATH"/>
    <tableColumn id="10" xr3:uid="{789823D5-A531-4D12-B812-88D75F26961B}" name="UID" dataDxfId="15">
      <calculatedColumnFormula xml:space="preserve"> CONCATENATE( MID(Table151822[[#This Row],[PHASE]],2,3), MID(Table151822[[#This Row],[DELIVERABLE]],2,4), TRIM(SUBSTITUTE(MID(Table151822[[#This Row],[CONCERN.ID]],2,20),"X","") )  )</calculatedColumnFormula>
    </tableColumn>
    <tableColumn id="8" xr3:uid="{479D771F-C24D-412B-9F81-A5D23B6CEAB9}" name="TITLE" dataDxfId="14">
      <calculatedColumnFormula>TRIM(MID(Table151822[[#This Row],[CONCERN.UNIQUEPATH]], IF( ISNUMBER( SEARCH("/",Table151822[[#This Row],[CONCERN.UNIQUEPATH]])),SEARCH("/",Table151822[[#This Row],[CONCERN.UNIQUEPATH]])+1,1),255))</calculatedColumnFormula>
    </tableColumn>
    <tableColumn id="4" xr3:uid="{4991A90F-F2FA-4B02-9CAD-1016BC3AFC03}" name="STATEMENT"/>
    <tableColumn id="11" xr3:uid="{AF681D74-1FF8-4066-AF12-1E4BE985CE87}" name="RATIONALE"/>
    <tableColumn id="12" xr3:uid="{8384EAA1-EE03-4E11-818A-08AAAB682211}" name="NOTES"/>
    <tableColumn id="5" xr3:uid="{1C159735-439C-45A1-BFC9-23DCD444DBDA}" name="RESPONSIBLE"/>
    <tableColumn id="6" xr3:uid="{BFDC5556-D240-40C8-A91F-2C510030A75D}" name="BENEFITING" dataDxfId="13"/>
    <tableColumn id="7" xr3:uid="{6468CE7A-2E96-45FE-9740-CFE0D11CDC97}" name="TYP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0A12C0B-07DB-4072-BA3B-3F4DE42D955B}" name="Table151824" displayName="Table151824" ref="A1:L11" totalsRowShown="0">
  <autoFilter ref="A1:L11" xr:uid="{88B10613-DE75-48D8-9E9B-7EC4537393E7}"/>
  <sortState xmlns:xlrd2="http://schemas.microsoft.com/office/spreadsheetml/2017/richdata2" ref="A2:L11">
    <sortCondition ref="C1:C11"/>
  </sortState>
  <tableColumns count="12">
    <tableColumn id="1" xr3:uid="{28AB412A-B95B-44A9-97D0-8BFFE2CB9FCF}" name="PHASE"/>
    <tableColumn id="2" xr3:uid="{DF239A2B-EF9F-4608-ADA6-C615D1BB7174}" name="DELIVERABLE"/>
    <tableColumn id="3" xr3:uid="{D52BCCA0-99E1-4306-89BF-073C489FD33C}" name="CONCERN.ID"/>
    <tableColumn id="9" xr3:uid="{4E3AFFE7-1E1A-42F0-B1C4-733475FAFDDF}" name="CONCERN.UNIQUEPATH"/>
    <tableColumn id="10" xr3:uid="{54796E52-ACA8-427C-9AF1-9F229591FF2D}" name="UID">
      <calculatedColumnFormula xml:space="preserve"> CONCATENATE( MID(Table151824[[#This Row],[PHASE]],2,3), MID(Table151824[[#This Row],[DELIVERABLE]],2,4), TRIM(SUBSTITUTE(MID(Table151824[[#This Row],[CONCERN.ID]],2,20),"X","") )  )</calculatedColumnFormula>
    </tableColumn>
    <tableColumn id="8" xr3:uid="{550B2F5A-81D4-464D-8C8F-4E945A00D26F}" name="TITLE" dataDxfId="12">
      <calculatedColumnFormula>TRIM(MID(Table151824[[#This Row],[CONCERN.UNIQUEPATH]], IF( ISNUMBER( SEARCH("/",Table151824[[#This Row],[CONCERN.UNIQUEPATH]])),SEARCH("/",Table151824[[#This Row],[CONCERN.UNIQUEPATH]])+1,1),255))</calculatedColumnFormula>
    </tableColumn>
    <tableColumn id="4" xr3:uid="{9663DECE-9824-431F-9059-533DBD39B887}" name="STATEMENT"/>
    <tableColumn id="12" xr3:uid="{9B7B09CF-86D1-4D0E-87FE-0585672DB987}" name="RATIONALE"/>
    <tableColumn id="11" xr3:uid="{B4914E88-18E5-4363-B7D0-906DB2AA5430}" name="NOTES"/>
    <tableColumn id="5" xr3:uid="{2F7AAAE3-4110-41F2-9646-5418B8E041DB}" name="RESPONSIBLE"/>
    <tableColumn id="6" xr3:uid="{10EFBFA6-7D90-47D2-B995-F8888DF563E3}" name="BENEFITING"/>
    <tableColumn id="7" xr3:uid="{FC5A7290-98CB-4C43-B449-E92B15D332AE}" name="TYP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E01C07C-FF4F-4418-9FB1-4E8FCD526658}" name="Table151825" displayName="Table151825" ref="A2:M3" totalsRowShown="0">
  <autoFilter ref="A2:M3" xr:uid="{88B10613-DE75-48D8-9E9B-7EC4537393E7}"/>
  <tableColumns count="13">
    <tableColumn id="1" xr3:uid="{680B7CCE-5DC1-4382-B2AA-499FACBA48E0}" name="PHASE"/>
    <tableColumn id="2" xr3:uid="{9D9CE63A-73A8-4AE2-808E-90C070EE4E43}" name="DELIVERABLE"/>
    <tableColumn id="13" xr3:uid="{45799047-B2A8-4909-8D4F-7EAB3964D896}" name="Column1"/>
    <tableColumn id="3" xr3:uid="{10718BAF-D19B-4136-BD5B-71D76D2FCA08}" name="CONCERN.ID"/>
    <tableColumn id="9" xr3:uid="{794F4447-D747-49F4-ADE9-620F7079B5EA}" name="CONCERN.UNIQUEPATH"/>
    <tableColumn id="10" xr3:uid="{D0B78947-F133-43AC-9D65-0C9CA72E4377}" name="UID">
      <calculatedColumnFormula xml:space="preserve"> CONCATENATE( MID(Table151825[[#This Row],[PHASE]],2,3), MID(Table151825[[#This Row],[DELIVERABLE]],2,4), TRIM(SUBSTITUTE(MID(Table151825[[#This Row],[CONCERN.ID]],2,20),"X","") )  )</calculatedColumnFormula>
    </tableColumn>
    <tableColumn id="8" xr3:uid="{B784D728-5A9E-4BDB-829F-623308035C81}" name="TITLE">
      <calculatedColumnFormula>TRIM(MID(Table151825[[#This Row],[CONCERN.UNIQUEPATH]], IF( ISNUMBER( SEARCH("/",Table151825[[#This Row],[CONCERN.UNIQUEPATH]])),SEARCH("/",Table151825[[#This Row],[CONCERN.UNIQUEPATH]])+1,1),255))</calculatedColumnFormula>
    </tableColumn>
    <tableColumn id="4" xr3:uid="{665E6652-0A6C-478C-995A-6AF3815B3646}" name="STATEMENT"/>
    <tableColumn id="12" xr3:uid="{A0364BC9-A8DC-4E95-B02B-3DD29E7D0DFF}" name="RATIONALE"/>
    <tableColumn id="11" xr3:uid="{4D9FE531-443B-47FF-993B-7F129D3D400D}" name="NOTES"/>
    <tableColumn id="5" xr3:uid="{3AF9B3FB-648A-4DA8-BA37-4EB42DD3DB64}" name="RESPONSIBLE"/>
    <tableColumn id="6" xr3:uid="{B37B40C3-C298-4FDB-AF06-21D32A6BBE58}" name="BENEFITING"/>
    <tableColumn id="7" xr3:uid="{A0E7BC61-5B82-40AE-82D5-1D961325F521}" name="TYP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ED66CF0-C3E3-4C81-B9D3-4649911E337E}" name="Table151815" displayName="Table151815" ref="A1:M21" totalsRowShown="0">
  <autoFilter ref="A1:M21" xr:uid="{88B10613-DE75-48D8-9E9B-7EC4537393E7}"/>
  <tableColumns count="13">
    <tableColumn id="1" xr3:uid="{06345963-993B-4F07-B3EC-D8E4A2C95686}" name="PHASE" dataCellStyle="Accent1"/>
    <tableColumn id="2" xr3:uid="{E6A0490A-D942-4202-86C1-2F1A57A1462D}" name="DELIVERABLE" dataDxfId="11"/>
    <tableColumn id="3" xr3:uid="{1BF66BF9-5B8C-4A03-84F0-93459236C088}" name="CONCERN.ID"/>
    <tableColumn id="9" xr3:uid="{DB08475F-4D42-4727-8E47-ABCA158EF846}" name="CONCERN.UNIQUEPATH"/>
    <tableColumn id="11" xr3:uid="{0B1F0EE7-EC7E-4A8C-BE09-7EF72FC07EB4}" name="UID" dataDxfId="10">
      <calculatedColumnFormula xml:space="preserve"> CONCATENATE( MID(Table151815[[#This Row],[PHASE]],2,3), MID(Table151815[[#This Row],[DELIVERABLE]],2,4), TRIM(SUBSTITUTE(MID(Table151815[[#This Row],[CONCERN.ID]],2,20),"X","") )  )</calculatedColumnFormula>
    </tableColumn>
    <tableColumn id="8" xr3:uid="{2FAD59E3-CD77-46EC-95ED-D8BC0A50C858}" name="TITLE" dataDxfId="9">
      <calculatedColumnFormula>TRIM(MID(Table151815[[#This Row],[CONCERN.UNIQUEPATH]], IF( ISNUMBER( SEARCH("/",Table151815[[#This Row],[CONCERN.UNIQUEPATH]])),SEARCH("/",Table151815[[#This Row],[CONCERN.UNIQUEPATH]])+1,1),255))</calculatedColumnFormula>
    </tableColumn>
    <tableColumn id="4" xr3:uid="{3E3746F0-6193-4A9A-9DA6-9D724538CF64}" name="STATEMENT"/>
    <tableColumn id="13" xr3:uid="{9C6657FE-3ACC-4668-AC02-479F0F03CAD8}" name="RATIONALE"/>
    <tableColumn id="12" xr3:uid="{5716BD31-78E0-4795-8D79-1F0D0EDEBA34}" name="NOTES"/>
    <tableColumn id="5" xr3:uid="{4D8CD65C-570E-46F1-9647-A4F5EC0C3350}" name="RESPONSIBLE"/>
    <tableColumn id="6" xr3:uid="{5FCA059E-B36E-4C8E-AA0F-73A0D9C3313E}" name="BENEFITING"/>
    <tableColumn id="7" xr3:uid="{72476F27-3B53-4467-8733-E4566F210FB1}" name="TYPE"/>
    <tableColumn id="10" xr3:uid="{8AE38EA0-9065-4132-8A94-954BABA601A4}" name="Column1" dataCellStyle="Bad"/>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DE097AE-DEC6-4A93-A9EA-91FFEF887008}" name="Table15" displayName="Table15" ref="A2:L844" totalsRowShown="0">
  <autoFilter ref="A2:L844" xr:uid="{88B10613-DE75-48D8-9E9B-7EC4537393E7}"/>
  <tableColumns count="12">
    <tableColumn id="1" xr3:uid="{526C9B8D-A29F-42C3-8963-D4F433C3D588}" name="PHASE"/>
    <tableColumn id="2" xr3:uid="{C23EEBFB-40D9-417A-90B0-F65688F962B8}" name="DELIVERABLE"/>
    <tableColumn id="3" xr3:uid="{1B79D9FB-167F-42DC-B0C8-52F5BFEFB620}" name="CONCERN.ID" dataDxfId="8"/>
    <tableColumn id="9" xr3:uid="{A0F16453-F8E0-4AD0-B7CD-233FA1A9660E}" name="CONCERN.UNIQUEPATH" dataDxfId="7"/>
    <tableColumn id="10" xr3:uid="{03BE9BA4-7786-4109-89BF-32B2C57BB2C2}" name="UID" dataDxfId="6">
      <calculatedColumnFormula xml:space="preserve"> CONCATENATE( MID(Table15[[#This Row],[PHASE]],2,3), MID(Table15[[#This Row],[DELIVERABLE]],2,4), TRIM(SUBSTITUTE(MID(Table15[[#This Row],[CONCERN.ID]],2,20),"","") )  )</calculatedColumnFormula>
    </tableColumn>
    <tableColumn id="8" xr3:uid="{1F4919FE-9390-4FCE-BCF3-4B7CE86B21C2}" name="TITLE" dataDxfId="5">
      <calculatedColumnFormula>TRIM(MID(Table15[[#This Row],[CONCERN.UNIQUEPATH]], IF( ISNUMBER( SEARCH("/",Table15[[#This Row],[CONCERN.UNIQUEPATH]])),SEARCH("/",Table15[[#This Row],[CONCERN.UNIQUEPATH]])+1,1),255))</calculatedColumnFormula>
    </tableColumn>
    <tableColumn id="4" xr3:uid="{F9868157-7A73-416C-95D0-4C69B62DBC9D}" name="STATEMENT"/>
    <tableColumn id="12" xr3:uid="{7E39752D-1E4E-4458-A499-EE6A0E0FAE28}" name="RATIONALE"/>
    <tableColumn id="11" xr3:uid="{2CE41826-DF47-48AA-89C8-7C26753EED97}" name="NOTES"/>
    <tableColumn id="5" xr3:uid="{F79D299B-71B9-45E7-BFFC-A228C6E87DD4}" name="RESPONSIBLE"/>
    <tableColumn id="6" xr3:uid="{C5613427-F272-429D-9538-4181A0CC8317}" name="BENEFITING"/>
    <tableColumn id="7" xr3:uid="{EDEFB40A-45DD-47B9-BEBF-6BAFB25558E5}" name="TYP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076A66-B3FF-4573-8F6E-14D46DB4F5F8}" name="Table15184" displayName="Table15184" ref="A1:L2" totalsRowShown="0">
  <autoFilter ref="A1:L2" xr:uid="{88B10613-DE75-48D8-9E9B-7EC4537393E7}"/>
  <tableColumns count="12">
    <tableColumn id="1" xr3:uid="{BC50B79F-FD61-4452-9553-FEA55757300E}" name="PHASE"/>
    <tableColumn id="2" xr3:uid="{C663028E-58E7-48B1-A1E8-A163E98A8460}" name="DELIVERABLE"/>
    <tableColumn id="3" xr3:uid="{904068F1-DABE-4CFD-9F48-FACBFBCFEF39}" name="CONCERN.ID"/>
    <tableColumn id="9" xr3:uid="{7CB8A798-891C-4BB8-9F8A-3C0B5A23B989}" name="CONCERN.UNIQUEPATH"/>
    <tableColumn id="10" xr3:uid="{666D5C7D-A086-4D1A-8606-3EB74AE3A80C}" name="UID">
      <calculatedColumnFormula xml:space="preserve"> CONCATENATE( MID(Table15184[[#This Row],[PHASE]],2,3), MID(Table15184[[#This Row],[DELIVERABLE]],2,4), TRIM(SUBSTITUTE(MID(Table15184[[#This Row],[CONCERN.ID]],2,20),"X","") )  )</calculatedColumnFormula>
    </tableColumn>
    <tableColumn id="8" xr3:uid="{6E91C96D-8EB6-48E3-8AEF-B7E558C52C6C}" name="TITLE">
      <calculatedColumnFormula>TRIM(MID(Table15184[[#This Row],[CONCERN.UNIQUEPATH]], IF( ISNUMBER( SEARCH("/",Table15184[[#This Row],[CONCERN.UNIQUEPATH]])),SEARCH("/",Table15184[[#This Row],[CONCERN.UNIQUEPATH]])+1,1),255))</calculatedColumnFormula>
    </tableColumn>
    <tableColumn id="4" xr3:uid="{214DD79F-0ED1-482A-A8E7-D1EDA8026CDA}" name="STATEMENT"/>
    <tableColumn id="11" xr3:uid="{1745F9DD-5196-4A20-A435-F28262281A37}" name="RATIONALE"/>
    <tableColumn id="12" xr3:uid="{EA2E9939-47C5-4109-9EB0-DF15855761E4}" name="NOTES"/>
    <tableColumn id="5" xr3:uid="{2DB92ABD-7466-4F81-9DBF-42C028376285}" name="RESPONSIBLE"/>
    <tableColumn id="6" xr3:uid="{2C078B75-B535-4A01-9FB7-FD385767DE3E}" name="BENEFITING"/>
    <tableColumn id="7" xr3:uid="{F141139F-9CE0-486A-9672-DE22982C92F6}" name="TYPE"/>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D73863B-280A-4297-8D74-99A6734C1D1E}" name="Table151823" displayName="Table151823" ref="A1:M381" totalsRowShown="0">
  <autoFilter ref="A1:M381" xr:uid="{88B10613-DE75-48D8-9E9B-7EC4537393E7}"/>
  <tableColumns count="13">
    <tableColumn id="1" xr3:uid="{08B07C85-E5C9-4766-84B1-169ABF10C869}" name="PHASE" dataDxfId="4"/>
    <tableColumn id="2" xr3:uid="{637CD940-BE82-41B1-B815-1758232324EE}" name="DELIVERABLE" dataDxfId="3"/>
    <tableColumn id="3" xr3:uid="{BF68B149-4523-4FAC-B8D4-F4F0AF9AD3DB}" name="CONCERN.ID"/>
    <tableColumn id="9" xr3:uid="{9954344D-1399-4CCE-AF70-DECB8A65743A}" name="CONCERN.UNIQUEPATH"/>
    <tableColumn id="11" xr3:uid="{922D020E-C4F2-49F8-AF4C-FB41A93E7A3C}" name="UID" dataDxfId="2">
      <calculatedColumnFormula xml:space="preserve"> CONCATENATE( MID(Table151823[[#This Row],[PHASE]],2,3), MID(Table151823[[#This Row],[DELIVERABLE]],2,4), TRIM(SUBSTITUTE(MID(Table151823[[#This Row],[CONCERN.ID]],2,20),"X","") )  )</calculatedColumnFormula>
    </tableColumn>
    <tableColumn id="8" xr3:uid="{80EFB6E6-7DD2-486E-A21B-E61ADC8B7FEE}" name="TITLE" dataDxfId="1">
      <calculatedColumnFormula>TRIM(MID(Table151823[[#This Row],[CONCERN.UNIQUEPATH]], IF( ISNUMBER( SEARCH("/",Table151823[[#This Row],[CONCERN.UNIQUEPATH]])),SEARCH("/",Table151823[[#This Row],[CONCERN.UNIQUEPATH]])+1,1),255))</calculatedColumnFormula>
    </tableColumn>
    <tableColumn id="4" xr3:uid="{9E335036-B2AB-4415-861B-1B5BB8E0B78E}" name="STATEMENT"/>
    <tableColumn id="12" xr3:uid="{513B542F-4378-4437-9085-8A7E156301EE}" name="RATIONALE"/>
    <tableColumn id="13" xr3:uid="{51F14D61-CF3B-4347-A218-412E8EDE671A}" name="NOTES"/>
    <tableColumn id="5" xr3:uid="{E25C6117-3554-4067-8583-99FCA903AE2F}" name="RESPONSIBLE"/>
    <tableColumn id="6" xr3:uid="{5508E511-4A8B-4E78-AA67-FB3CF8383782}" name="BENEFITING" dataDxfId="0"/>
    <tableColumn id="7" xr3:uid="{E926648F-3598-43EC-86F9-29CB4F5B3821}" name="TYPE"/>
    <tableColumn id="10" xr3:uid="{BA838020-87DA-4EE5-A922-40E47F0218B7}" name="Column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hyperlink" Target="mailto:D308.Endorsement/ITC-Training@CAB" TargetMode="External"/><Relationship Id="rId13" Type="http://schemas.openxmlformats.org/officeDocument/2006/relationships/table" Target="../tables/table3.xml"/><Relationship Id="rId18" Type="http://schemas.openxmlformats.org/officeDocument/2006/relationships/table" Target="../tables/table8.xml"/><Relationship Id="rId3" Type="http://schemas.openxmlformats.org/officeDocument/2006/relationships/hyperlink" Target="mailto:052.Endorsement/ITC-Operations@CAB" TargetMode="External"/><Relationship Id="rId7" Type="http://schemas.openxmlformats.org/officeDocument/2006/relationships/hyperlink" Target="mailto:D307.Endorsement/ITC-Support@CAB" TargetMode="External"/><Relationship Id="rId12" Type="http://schemas.openxmlformats.org/officeDocument/2006/relationships/table" Target="../tables/table2.xml"/><Relationship Id="rId17" Type="http://schemas.openxmlformats.org/officeDocument/2006/relationships/table" Target="../tables/table7.xml"/><Relationship Id="rId2" Type="http://schemas.openxmlformats.org/officeDocument/2006/relationships/hyperlink" Target="mailto:051.Endorsement/ITC-Maintenance@CAB" TargetMode="External"/><Relationship Id="rId16" Type="http://schemas.openxmlformats.org/officeDocument/2006/relationships/table" Target="../tables/table6.xml"/><Relationship Id="rId1" Type="http://schemas.openxmlformats.org/officeDocument/2006/relationships/hyperlink" Target="mailto:D050.Endorsement/ITC-Infrastructure@CAB" TargetMode="External"/><Relationship Id="rId6" Type="http://schemas.openxmlformats.org/officeDocument/2006/relationships/hyperlink" Target="mailto:D306.Endorsement/ITC-Deployment@CAB" TargetMode="External"/><Relationship Id="rId11" Type="http://schemas.openxmlformats.org/officeDocument/2006/relationships/printerSettings" Target="../printerSettings/printerSettings1.bin"/><Relationship Id="rId5" Type="http://schemas.openxmlformats.org/officeDocument/2006/relationships/hyperlink" Target="mailto:051.Endorsement/ITC-Maintenance@CAB" TargetMode="External"/><Relationship Id="rId15" Type="http://schemas.openxmlformats.org/officeDocument/2006/relationships/table" Target="../tables/table5.xml"/><Relationship Id="rId10" Type="http://schemas.openxmlformats.org/officeDocument/2006/relationships/hyperlink" Target="mailto:D050.Endorsement/ITC-Infrastructure@CAB" TargetMode="External"/><Relationship Id="rId19" Type="http://schemas.openxmlformats.org/officeDocument/2006/relationships/table" Target="../tables/table9.xml"/><Relationship Id="rId4" Type="http://schemas.openxmlformats.org/officeDocument/2006/relationships/hyperlink" Target="mailto:057.Endorsement/ITC-Legal@CAB" TargetMode="External"/><Relationship Id="rId9" Type="http://schemas.openxmlformats.org/officeDocument/2006/relationships/hyperlink" Target="mailto:056.Endorsement/ITC-Identity@CAB" TargetMode="External"/><Relationship Id="rId1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79D9-3F99-41E1-8330-EF6CA96883FF}">
  <sheetPr codeName="Sheet2"/>
  <dimension ref="A1:V277"/>
  <sheetViews>
    <sheetView workbookViewId="0">
      <selection activeCell="M9" sqref="M9"/>
    </sheetView>
  </sheetViews>
  <sheetFormatPr defaultRowHeight="14.5"/>
  <cols>
    <col min="4" max="4" width="9.26953125" bestFit="1" customWidth="1"/>
    <col min="5" max="5" width="18.54296875" bestFit="1" customWidth="1"/>
    <col min="8" max="8" width="255.7265625" bestFit="1" customWidth="1"/>
    <col min="9" max="9" width="251" bestFit="1" customWidth="1"/>
    <col min="10" max="10" width="95.453125" bestFit="1" customWidth="1"/>
    <col min="12" max="13" width="255.726562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1" t="s">
        <v>22</v>
      </c>
      <c r="B2" s="1" t="s">
        <v>23</v>
      </c>
      <c r="C2" s="2">
        <v>43557</v>
      </c>
      <c r="D2" s="1" t="s">
        <v>24</v>
      </c>
      <c r="E2" s="1" t="s">
        <v>25</v>
      </c>
      <c r="F2" s="1" t="s">
        <v>26</v>
      </c>
      <c r="G2" s="1" t="s">
        <v>26</v>
      </c>
      <c r="H2" s="1" t="s">
        <v>27</v>
      </c>
      <c r="I2" s="1" t="s">
        <v>28</v>
      </c>
      <c r="J2" s="1" t="s">
        <v>29</v>
      </c>
      <c r="K2" s="1" t="s">
        <v>30</v>
      </c>
      <c r="L2" s="1" t="s">
        <v>31</v>
      </c>
      <c r="M2" s="1" t="s">
        <v>32</v>
      </c>
      <c r="N2" s="1" t="s">
        <v>33</v>
      </c>
      <c r="O2" s="1" t="s">
        <v>34</v>
      </c>
      <c r="P2" s="1" t="s">
        <v>35</v>
      </c>
      <c r="Q2" s="1" t="s">
        <v>36</v>
      </c>
      <c r="R2" s="1" t="s">
        <v>37</v>
      </c>
      <c r="S2" s="1">
        <v>0</v>
      </c>
    </row>
    <row r="3" spans="1:22">
      <c r="A3" s="1" t="s">
        <v>22</v>
      </c>
      <c r="B3" s="1" t="s">
        <v>38</v>
      </c>
      <c r="C3" s="1" t="s">
        <v>39</v>
      </c>
      <c r="D3" s="1" t="s">
        <v>24</v>
      </c>
      <c r="E3" s="1" t="s">
        <v>40</v>
      </c>
      <c r="F3" s="1" t="s">
        <v>26</v>
      </c>
      <c r="G3" s="1" t="s">
        <v>41</v>
      </c>
      <c r="H3" s="1" t="s">
        <v>27</v>
      </c>
      <c r="I3" s="1" t="s">
        <v>42</v>
      </c>
      <c r="J3" s="1" t="s">
        <v>29</v>
      </c>
      <c r="K3" s="1" t="s">
        <v>30</v>
      </c>
      <c r="L3" s="1" t="s">
        <v>43</v>
      </c>
      <c r="M3" s="1" t="s">
        <v>44</v>
      </c>
      <c r="N3" s="1" t="s">
        <v>45</v>
      </c>
      <c r="O3" s="1" t="s">
        <v>46</v>
      </c>
      <c r="P3" s="1" t="s">
        <v>35</v>
      </c>
      <c r="Q3" s="1" t="s">
        <v>36</v>
      </c>
      <c r="R3" s="1" t="s">
        <v>47</v>
      </c>
      <c r="S3" s="1">
        <v>0</v>
      </c>
    </row>
    <row r="4" spans="1:22">
      <c r="A4" s="1" t="s">
        <v>48</v>
      </c>
      <c r="B4" s="1" t="s">
        <v>23</v>
      </c>
      <c r="C4" s="2">
        <v>43557</v>
      </c>
      <c r="D4" s="1" t="s">
        <v>24</v>
      </c>
      <c r="E4" s="1" t="s">
        <v>49</v>
      </c>
      <c r="F4" s="1" t="s">
        <v>26</v>
      </c>
      <c r="G4" s="1" t="s">
        <v>26</v>
      </c>
      <c r="H4" s="1" t="s">
        <v>50</v>
      </c>
      <c r="I4" s="1" t="s">
        <v>51</v>
      </c>
      <c r="J4" s="1" t="s">
        <v>29</v>
      </c>
      <c r="K4" s="1" t="s">
        <v>30</v>
      </c>
      <c r="L4" s="1" t="s">
        <v>52</v>
      </c>
      <c r="M4" s="1" t="s">
        <v>53</v>
      </c>
      <c r="N4" s="1" t="s">
        <v>54</v>
      </c>
      <c r="O4" s="1" t="s">
        <v>55</v>
      </c>
      <c r="P4" s="1" t="s">
        <v>35</v>
      </c>
      <c r="Q4" s="1" t="s">
        <v>36</v>
      </c>
      <c r="R4" s="1" t="s">
        <v>56</v>
      </c>
      <c r="S4" s="1">
        <v>0</v>
      </c>
    </row>
    <row r="5" spans="1:22">
      <c r="A5" s="1" t="s">
        <v>57</v>
      </c>
      <c r="B5" s="1" t="s">
        <v>38</v>
      </c>
      <c r="C5" s="1" t="s">
        <v>39</v>
      </c>
      <c r="D5" s="1" t="s">
        <v>58</v>
      </c>
      <c r="E5" s="1" t="s">
        <v>59</v>
      </c>
      <c r="F5" s="1" t="s">
        <v>26</v>
      </c>
      <c r="G5" s="1" t="s">
        <v>26</v>
      </c>
      <c r="H5" s="1" t="s">
        <v>60</v>
      </c>
      <c r="I5" s="1" t="s">
        <v>61</v>
      </c>
      <c r="J5" s="1" t="s">
        <v>29</v>
      </c>
      <c r="K5" s="1" t="s">
        <v>30</v>
      </c>
      <c r="L5" s="1" t="s">
        <v>62</v>
      </c>
      <c r="M5" s="1" t="s">
        <v>63</v>
      </c>
      <c r="N5" s="1" t="s">
        <v>64</v>
      </c>
      <c r="O5" s="1" t="s">
        <v>65</v>
      </c>
      <c r="P5" s="1" t="s">
        <v>66</v>
      </c>
      <c r="Q5" s="1" t="s">
        <v>35</v>
      </c>
      <c r="R5" s="1" t="s">
        <v>36</v>
      </c>
      <c r="S5" s="1" t="s">
        <v>67</v>
      </c>
      <c r="T5" s="1">
        <v>0</v>
      </c>
    </row>
    <row r="6" spans="1:22">
      <c r="A6" s="1" t="s">
        <v>68</v>
      </c>
      <c r="B6" s="1" t="s">
        <v>38</v>
      </c>
      <c r="C6" s="1" t="s">
        <v>39</v>
      </c>
      <c r="D6" s="1" t="s">
        <v>24</v>
      </c>
      <c r="E6" s="1" t="s">
        <v>69</v>
      </c>
      <c r="F6" s="1" t="s">
        <v>26</v>
      </c>
      <c r="G6" s="1" t="s">
        <v>26</v>
      </c>
      <c r="H6" s="1" t="s">
        <v>60</v>
      </c>
      <c r="I6" s="1" t="s">
        <v>51</v>
      </c>
      <c r="J6" s="1" t="s">
        <v>29</v>
      </c>
      <c r="K6" s="1" t="s">
        <v>30</v>
      </c>
      <c r="L6" s="1" t="s">
        <v>70</v>
      </c>
      <c r="M6" s="1" t="s">
        <v>71</v>
      </c>
      <c r="N6" s="1" t="s">
        <v>72</v>
      </c>
      <c r="O6" s="1"/>
      <c r="P6" s="1"/>
      <c r="Q6" s="1"/>
      <c r="R6" s="1"/>
      <c r="S6" s="1" t="s">
        <v>35</v>
      </c>
      <c r="T6" s="1" t="s">
        <v>36</v>
      </c>
      <c r="U6" s="1" t="s">
        <v>73</v>
      </c>
      <c r="V6" s="1">
        <v>0</v>
      </c>
    </row>
    <row r="7" spans="1:22" ht="409.6">
      <c r="A7" s="1" t="s">
        <v>74</v>
      </c>
      <c r="B7" s="1" t="s">
        <v>38</v>
      </c>
      <c r="C7" s="1" t="s">
        <v>39</v>
      </c>
      <c r="D7" s="1" t="s">
        <v>24</v>
      </c>
      <c r="E7" s="1" t="s">
        <v>75</v>
      </c>
      <c r="F7" s="1" t="s">
        <v>26</v>
      </c>
      <c r="G7" s="1" t="s">
        <v>26</v>
      </c>
      <c r="H7" s="1" t="s">
        <v>60</v>
      </c>
      <c r="I7" s="1" t="s">
        <v>76</v>
      </c>
      <c r="J7" s="1" t="s">
        <v>29</v>
      </c>
      <c r="K7" s="1" t="s">
        <v>30</v>
      </c>
      <c r="L7" s="1" t="s">
        <v>77</v>
      </c>
      <c r="M7" s="1" t="s">
        <v>78</v>
      </c>
      <c r="N7" s="1" t="s">
        <v>79</v>
      </c>
      <c r="O7" s="1" t="s">
        <v>80</v>
      </c>
      <c r="P7" s="1" t="s">
        <v>35</v>
      </c>
      <c r="Q7" s="1" t="s">
        <v>36</v>
      </c>
      <c r="R7" s="3" t="s">
        <v>81</v>
      </c>
      <c r="S7" s="1">
        <v>0</v>
      </c>
    </row>
    <row r="8" spans="1:22">
      <c r="A8" s="1" t="s">
        <v>82</v>
      </c>
      <c r="B8" s="1" t="s">
        <v>38</v>
      </c>
      <c r="C8" s="1" t="s">
        <v>39</v>
      </c>
      <c r="D8" s="1" t="s">
        <v>24</v>
      </c>
      <c r="E8" s="1" t="s">
        <v>83</v>
      </c>
      <c r="F8" s="1" t="s">
        <v>26</v>
      </c>
      <c r="G8" s="1" t="s">
        <v>26</v>
      </c>
      <c r="H8" s="1" t="s">
        <v>60</v>
      </c>
      <c r="I8" s="1" t="s">
        <v>84</v>
      </c>
      <c r="J8" s="1" t="s">
        <v>29</v>
      </c>
      <c r="K8" s="1" t="s">
        <v>30</v>
      </c>
      <c r="L8" s="1" t="s">
        <v>85</v>
      </c>
      <c r="M8" s="1" t="s">
        <v>86</v>
      </c>
      <c r="N8" s="1" t="s">
        <v>72</v>
      </c>
      <c r="O8" s="1"/>
      <c r="P8" s="1"/>
      <c r="Q8" s="1"/>
      <c r="R8" s="1"/>
      <c r="S8" s="1" t="s">
        <v>35</v>
      </c>
      <c r="T8" s="1" t="s">
        <v>36</v>
      </c>
      <c r="U8" s="1" t="s">
        <v>87</v>
      </c>
      <c r="V8" s="1">
        <v>0</v>
      </c>
    </row>
    <row r="9" spans="1:22">
      <c r="A9" s="1" t="s">
        <v>22</v>
      </c>
      <c r="B9" s="1" t="s">
        <v>38</v>
      </c>
      <c r="C9" s="1" t="s">
        <v>39</v>
      </c>
      <c r="D9" s="1" t="s">
        <v>24</v>
      </c>
      <c r="E9" s="1" t="s">
        <v>88</v>
      </c>
      <c r="F9" s="1" t="s">
        <v>26</v>
      </c>
      <c r="G9" s="1" t="s">
        <v>26</v>
      </c>
      <c r="H9" s="1" t="s">
        <v>60</v>
      </c>
      <c r="I9" s="1" t="s">
        <v>84</v>
      </c>
      <c r="J9" s="1" t="s">
        <v>29</v>
      </c>
      <c r="K9" s="1" t="s">
        <v>30</v>
      </c>
      <c r="L9" s="1" t="s">
        <v>89</v>
      </c>
      <c r="M9" s="1" t="s">
        <v>90</v>
      </c>
      <c r="N9" s="1" t="s">
        <v>91</v>
      </c>
      <c r="O9" s="1"/>
      <c r="P9" s="1"/>
      <c r="Q9" s="1"/>
      <c r="R9" s="1"/>
      <c r="S9" s="1" t="s">
        <v>35</v>
      </c>
      <c r="T9" s="1" t="s">
        <v>36</v>
      </c>
      <c r="U9" s="1" t="s">
        <v>92</v>
      </c>
      <c r="V9" s="1">
        <v>0</v>
      </c>
    </row>
    <row r="10" spans="1:22">
      <c r="A10" s="1" t="s">
        <v>93</v>
      </c>
      <c r="B10" s="1" t="s">
        <v>38</v>
      </c>
      <c r="C10" s="1" t="s">
        <v>39</v>
      </c>
      <c r="D10" s="1" t="s">
        <v>24</v>
      </c>
      <c r="E10" s="1" t="s">
        <v>94</v>
      </c>
      <c r="F10" s="1" t="s">
        <v>26</v>
      </c>
      <c r="G10" s="1" t="s">
        <v>26</v>
      </c>
      <c r="H10" s="1" t="s">
        <v>95</v>
      </c>
      <c r="I10" s="1" t="s">
        <v>96</v>
      </c>
      <c r="J10" s="1" t="s">
        <v>29</v>
      </c>
      <c r="K10" s="1" t="s">
        <v>30</v>
      </c>
      <c r="L10" s="1" t="s">
        <v>97</v>
      </c>
      <c r="M10" s="1" t="s">
        <v>98</v>
      </c>
      <c r="N10" s="1" t="s">
        <v>99</v>
      </c>
      <c r="O10" s="1" t="s">
        <v>100</v>
      </c>
      <c r="P10" s="1" t="s">
        <v>35</v>
      </c>
      <c r="Q10" s="1" t="s">
        <v>36</v>
      </c>
      <c r="R10" s="1" t="s">
        <v>101</v>
      </c>
      <c r="S10" s="1">
        <v>0</v>
      </c>
    </row>
    <row r="11" spans="1:22">
      <c r="A11" s="1" t="s">
        <v>102</v>
      </c>
      <c r="B11" s="1" t="s">
        <v>38</v>
      </c>
      <c r="C11" s="1" t="s">
        <v>39</v>
      </c>
      <c r="D11" s="1" t="s">
        <v>24</v>
      </c>
      <c r="E11" s="1" t="s">
        <v>103</v>
      </c>
      <c r="F11" s="1" t="s">
        <v>26</v>
      </c>
      <c r="G11" s="1" t="s">
        <v>26</v>
      </c>
      <c r="H11" s="1" t="s">
        <v>104</v>
      </c>
      <c r="I11" s="1" t="s">
        <v>76</v>
      </c>
      <c r="J11" s="1" t="s">
        <v>29</v>
      </c>
      <c r="K11" s="1" t="s">
        <v>30</v>
      </c>
      <c r="L11" s="1" t="s">
        <v>105</v>
      </c>
      <c r="M11" s="1" t="s">
        <v>106</v>
      </c>
      <c r="N11" s="1" t="s">
        <v>107</v>
      </c>
      <c r="O11" s="1" t="s">
        <v>108</v>
      </c>
      <c r="P11" s="1" t="s">
        <v>66</v>
      </c>
      <c r="Q11" s="1" t="s">
        <v>35</v>
      </c>
      <c r="R11" s="1" t="s">
        <v>36</v>
      </c>
      <c r="S11" s="1" t="s">
        <v>109</v>
      </c>
      <c r="T11" s="1">
        <v>0</v>
      </c>
    </row>
    <row r="12" spans="1:22" ht="409.6">
      <c r="A12" s="1" t="s">
        <v>110</v>
      </c>
      <c r="B12" s="1" t="s">
        <v>111</v>
      </c>
      <c r="C12" s="1" t="s">
        <v>39</v>
      </c>
      <c r="D12" s="1" t="s">
        <v>24</v>
      </c>
      <c r="E12" s="1" t="s">
        <v>112</v>
      </c>
      <c r="F12" s="1" t="s">
        <v>26</v>
      </c>
      <c r="G12" s="1" t="s">
        <v>26</v>
      </c>
      <c r="H12" s="1" t="s">
        <v>113</v>
      </c>
      <c r="I12" s="1" t="s">
        <v>114</v>
      </c>
      <c r="J12" s="1" t="s">
        <v>115</v>
      </c>
      <c r="K12" s="1" t="s">
        <v>116</v>
      </c>
      <c r="L12" s="1" t="s">
        <v>117</v>
      </c>
      <c r="M12" s="1" t="s">
        <v>118</v>
      </c>
      <c r="N12" s="1" t="s">
        <v>119</v>
      </c>
      <c r="O12" s="1"/>
      <c r="P12" s="1"/>
      <c r="Q12" s="1"/>
      <c r="R12" s="1"/>
      <c r="S12" s="1" t="s">
        <v>35</v>
      </c>
      <c r="T12" s="1" t="s">
        <v>120</v>
      </c>
      <c r="U12" s="3" t="s">
        <v>121</v>
      </c>
      <c r="V12" s="1">
        <v>0</v>
      </c>
    </row>
    <row r="13" spans="1:22">
      <c r="A13" s="1" t="s">
        <v>122</v>
      </c>
      <c r="B13" s="1" t="s">
        <v>38</v>
      </c>
      <c r="C13" s="1" t="s">
        <v>39</v>
      </c>
      <c r="D13" s="1" t="s">
        <v>24</v>
      </c>
      <c r="E13" s="1" t="s">
        <v>123</v>
      </c>
      <c r="F13" s="1" t="s">
        <v>26</v>
      </c>
      <c r="G13" s="1" t="s">
        <v>26</v>
      </c>
      <c r="H13" s="1" t="s">
        <v>124</v>
      </c>
      <c r="I13" s="1" t="s">
        <v>125</v>
      </c>
      <c r="J13" s="1" t="s">
        <v>29</v>
      </c>
      <c r="K13" s="1" t="s">
        <v>116</v>
      </c>
      <c r="L13" s="1" t="s">
        <v>126</v>
      </c>
      <c r="M13" s="1" t="s">
        <v>127</v>
      </c>
      <c r="N13" s="1" t="s">
        <v>128</v>
      </c>
      <c r="O13" s="1" t="s">
        <v>129</v>
      </c>
      <c r="P13" s="1" t="s">
        <v>35</v>
      </c>
      <c r="Q13" s="1" t="s">
        <v>36</v>
      </c>
      <c r="R13" s="1" t="s">
        <v>130</v>
      </c>
      <c r="S13" s="1">
        <v>0</v>
      </c>
    </row>
    <row r="14" spans="1:22">
      <c r="A14" s="1" t="s">
        <v>131</v>
      </c>
      <c r="B14" s="1" t="s">
        <v>38</v>
      </c>
      <c r="C14" s="1" t="s">
        <v>39</v>
      </c>
      <c r="D14" s="1" t="s">
        <v>24</v>
      </c>
      <c r="E14" s="1" t="s">
        <v>132</v>
      </c>
      <c r="F14" s="1" t="s">
        <v>133</v>
      </c>
      <c r="G14" s="1" t="s">
        <v>26</v>
      </c>
      <c r="H14" s="1" t="s">
        <v>104</v>
      </c>
      <c r="I14" s="1" t="s">
        <v>134</v>
      </c>
      <c r="J14" s="1" t="s">
        <v>135</v>
      </c>
      <c r="K14" s="1" t="s">
        <v>30</v>
      </c>
      <c r="L14" s="1" t="s">
        <v>136</v>
      </c>
      <c r="M14" s="1" t="s">
        <v>137</v>
      </c>
      <c r="N14" s="1" t="s">
        <v>138</v>
      </c>
      <c r="O14" s="1" t="s">
        <v>139</v>
      </c>
      <c r="P14" s="1" t="s">
        <v>35</v>
      </c>
      <c r="Q14" s="1" t="s">
        <v>36</v>
      </c>
      <c r="R14" s="1" t="s">
        <v>140</v>
      </c>
      <c r="S14" s="1">
        <v>0</v>
      </c>
    </row>
    <row r="15" spans="1:22" ht="409.6">
      <c r="A15" s="1" t="s">
        <v>141</v>
      </c>
      <c r="B15" s="1" t="s">
        <v>38</v>
      </c>
      <c r="C15" s="1" t="s">
        <v>39</v>
      </c>
      <c r="D15" s="1" t="s">
        <v>24</v>
      </c>
      <c r="E15" s="1" t="s">
        <v>142</v>
      </c>
      <c r="F15" s="1" t="s">
        <v>26</v>
      </c>
      <c r="G15" s="1" t="s">
        <v>26</v>
      </c>
      <c r="H15" s="1" t="s">
        <v>93</v>
      </c>
      <c r="I15" s="1" t="s">
        <v>143</v>
      </c>
      <c r="J15" s="1" t="s">
        <v>115</v>
      </c>
      <c r="K15" s="1" t="s">
        <v>116</v>
      </c>
      <c r="L15" s="1" t="s">
        <v>144</v>
      </c>
      <c r="M15" s="1" t="s">
        <v>145</v>
      </c>
      <c r="N15" s="1" t="s">
        <v>146</v>
      </c>
      <c r="O15" s="1" t="s">
        <v>147</v>
      </c>
      <c r="P15" s="1" t="s">
        <v>35</v>
      </c>
      <c r="Q15" s="1" t="s">
        <v>36</v>
      </c>
      <c r="R15" s="3" t="s">
        <v>121</v>
      </c>
      <c r="S15" s="1">
        <v>0</v>
      </c>
    </row>
    <row r="16" spans="1:22">
      <c r="A16" s="1" t="s">
        <v>148</v>
      </c>
      <c r="B16" s="1" t="s">
        <v>38</v>
      </c>
      <c r="C16" s="1" t="s">
        <v>39</v>
      </c>
      <c r="D16" s="1" t="s">
        <v>24</v>
      </c>
      <c r="E16" s="1" t="s">
        <v>149</v>
      </c>
      <c r="F16" s="1" t="s">
        <v>26</v>
      </c>
      <c r="G16" s="1" t="s">
        <v>26</v>
      </c>
      <c r="H16" s="1" t="s">
        <v>150</v>
      </c>
      <c r="I16" s="1" t="s">
        <v>151</v>
      </c>
      <c r="J16" s="1" t="s">
        <v>29</v>
      </c>
      <c r="K16" s="1" t="s">
        <v>30</v>
      </c>
      <c r="L16" s="1" t="s">
        <v>152</v>
      </c>
      <c r="M16" s="1" t="s">
        <v>153</v>
      </c>
      <c r="N16" s="1" t="s">
        <v>154</v>
      </c>
      <c r="O16" s="1" t="s">
        <v>155</v>
      </c>
      <c r="P16" s="1"/>
      <c r="Q16" s="1" t="s">
        <v>35</v>
      </c>
      <c r="R16" s="1" t="s">
        <v>36</v>
      </c>
      <c r="S16" s="1" t="s">
        <v>156</v>
      </c>
      <c r="T16" s="1">
        <v>0</v>
      </c>
    </row>
    <row r="17" spans="1:22" ht="409.6">
      <c r="A17" s="1" t="s">
        <v>157</v>
      </c>
      <c r="B17" s="1" t="s">
        <v>38</v>
      </c>
      <c r="C17" s="1" t="s">
        <v>39</v>
      </c>
      <c r="D17" s="1" t="s">
        <v>24</v>
      </c>
      <c r="E17" s="1" t="s">
        <v>158</v>
      </c>
      <c r="F17" s="1" t="s">
        <v>26</v>
      </c>
      <c r="G17" s="1" t="s">
        <v>26</v>
      </c>
      <c r="H17" s="1" t="s">
        <v>157</v>
      </c>
      <c r="I17" s="1" t="s">
        <v>159</v>
      </c>
      <c r="J17" s="1" t="s">
        <v>29</v>
      </c>
      <c r="K17" s="1" t="s">
        <v>30</v>
      </c>
      <c r="L17" s="1" t="s">
        <v>160</v>
      </c>
      <c r="M17" s="1" t="s">
        <v>161</v>
      </c>
      <c r="N17" s="1" t="s">
        <v>162</v>
      </c>
      <c r="O17" s="1"/>
      <c r="P17" s="1"/>
      <c r="Q17" s="1"/>
      <c r="R17" s="1"/>
      <c r="S17" s="1" t="s">
        <v>35</v>
      </c>
      <c r="T17" s="1" t="s">
        <v>36</v>
      </c>
      <c r="U17" s="3" t="s">
        <v>163</v>
      </c>
      <c r="V17" s="1">
        <v>0</v>
      </c>
    </row>
    <row r="18" spans="1:22" ht="409.6">
      <c r="A18" s="1" t="s">
        <v>164</v>
      </c>
      <c r="B18" s="1" t="s">
        <v>165</v>
      </c>
      <c r="C18" s="1" t="s">
        <v>39</v>
      </c>
      <c r="D18" s="1" t="s">
        <v>24</v>
      </c>
      <c r="E18" s="1" t="s">
        <v>166</v>
      </c>
      <c r="F18" s="1" t="s">
        <v>26</v>
      </c>
      <c r="G18" s="1" t="s">
        <v>26</v>
      </c>
      <c r="H18" s="1" t="s">
        <v>167</v>
      </c>
      <c r="I18" s="1" t="s">
        <v>168</v>
      </c>
      <c r="J18" s="1" t="s">
        <v>29</v>
      </c>
      <c r="K18" s="1" t="s">
        <v>30</v>
      </c>
      <c r="L18" s="1" t="s">
        <v>169</v>
      </c>
      <c r="M18" s="1" t="s">
        <v>170</v>
      </c>
      <c r="N18" s="1" t="s">
        <v>171</v>
      </c>
      <c r="O18" s="1"/>
      <c r="P18" s="1"/>
      <c r="Q18" s="1"/>
      <c r="R18" s="1"/>
      <c r="S18" s="1" t="s">
        <v>35</v>
      </c>
      <c r="T18" s="1" t="s">
        <v>36</v>
      </c>
      <c r="U18" s="3" t="s">
        <v>172</v>
      </c>
      <c r="V18" s="1">
        <v>0</v>
      </c>
    </row>
    <row r="19" spans="1:22" ht="409.6">
      <c r="A19" s="1" t="s">
        <v>173</v>
      </c>
      <c r="B19" s="1" t="s">
        <v>38</v>
      </c>
      <c r="C19" s="1" t="s">
        <v>39</v>
      </c>
      <c r="D19" s="1" t="s">
        <v>24</v>
      </c>
      <c r="E19" s="1" t="s">
        <v>174</v>
      </c>
      <c r="F19" s="1" t="s">
        <v>26</v>
      </c>
      <c r="G19" s="1" t="s">
        <v>26</v>
      </c>
      <c r="H19" s="1" t="s">
        <v>167</v>
      </c>
      <c r="I19" s="1" t="s">
        <v>175</v>
      </c>
      <c r="J19" s="1" t="s">
        <v>115</v>
      </c>
      <c r="K19" s="1" t="s">
        <v>116</v>
      </c>
      <c r="L19" s="1" t="s">
        <v>176</v>
      </c>
      <c r="M19" s="1" t="s">
        <v>177</v>
      </c>
      <c r="N19" s="3" t="s">
        <v>178</v>
      </c>
      <c r="O19" s="1"/>
      <c r="P19" s="1"/>
      <c r="Q19" s="1"/>
      <c r="R19" s="1"/>
      <c r="S19" s="1" t="s">
        <v>66</v>
      </c>
      <c r="T19" s="1" t="s">
        <v>179</v>
      </c>
      <c r="U19" s="3" t="s">
        <v>172</v>
      </c>
      <c r="V19" s="1">
        <v>0</v>
      </c>
    </row>
    <row r="20" spans="1:22" ht="409.6">
      <c r="A20" s="1" t="s">
        <v>180</v>
      </c>
      <c r="B20" s="1" t="s">
        <v>111</v>
      </c>
      <c r="C20" s="1" t="s">
        <v>39</v>
      </c>
      <c r="D20" s="1" t="s">
        <v>24</v>
      </c>
      <c r="E20" s="1" t="s">
        <v>181</v>
      </c>
      <c r="F20" s="1" t="s">
        <v>26</v>
      </c>
      <c r="G20" s="1" t="s">
        <v>26</v>
      </c>
      <c r="H20" s="1" t="s">
        <v>182</v>
      </c>
      <c r="I20" s="1" t="s">
        <v>134</v>
      </c>
      <c r="J20" s="1" t="s">
        <v>29</v>
      </c>
      <c r="K20" s="1" t="s">
        <v>183</v>
      </c>
      <c r="L20" s="1" t="s">
        <v>184</v>
      </c>
      <c r="M20" s="1" t="s">
        <v>185</v>
      </c>
      <c r="N20" s="1" t="s">
        <v>186</v>
      </c>
      <c r="O20" s="1" t="s">
        <v>187</v>
      </c>
      <c r="P20" s="1" t="s">
        <v>35</v>
      </c>
      <c r="Q20" s="1" t="s">
        <v>36</v>
      </c>
      <c r="R20" s="3" t="s">
        <v>121</v>
      </c>
      <c r="S20" s="1">
        <v>0</v>
      </c>
    </row>
    <row r="21" spans="1:22" ht="409.6">
      <c r="A21" s="1" t="s">
        <v>188</v>
      </c>
      <c r="B21" s="1" t="s">
        <v>38</v>
      </c>
      <c r="C21" s="1" t="s">
        <v>39</v>
      </c>
      <c r="D21" s="1" t="s">
        <v>24</v>
      </c>
      <c r="E21" s="1" t="s">
        <v>189</v>
      </c>
      <c r="F21" s="1" t="s">
        <v>26</v>
      </c>
      <c r="G21" s="1" t="s">
        <v>26</v>
      </c>
      <c r="H21" s="1" t="s">
        <v>60</v>
      </c>
      <c r="I21" s="1" t="s">
        <v>190</v>
      </c>
      <c r="J21" s="1" t="s">
        <v>29</v>
      </c>
      <c r="K21" s="1" t="s">
        <v>30</v>
      </c>
      <c r="L21" s="1" t="s">
        <v>191</v>
      </c>
      <c r="M21" s="1" t="s">
        <v>192</v>
      </c>
      <c r="N21" s="1" t="s">
        <v>193</v>
      </c>
      <c r="O21" s="1" t="s">
        <v>194</v>
      </c>
      <c r="P21" s="1"/>
      <c r="Q21" s="1" t="s">
        <v>35</v>
      </c>
      <c r="R21" s="1" t="s">
        <v>36</v>
      </c>
      <c r="S21" s="3" t="s">
        <v>195</v>
      </c>
      <c r="T21" s="1">
        <v>0</v>
      </c>
    </row>
    <row r="22" spans="1:22">
      <c r="A22" s="1" t="s">
        <v>180</v>
      </c>
      <c r="B22" s="1" t="s">
        <v>111</v>
      </c>
      <c r="C22" s="1" t="s">
        <v>39</v>
      </c>
      <c r="D22" s="1" t="s">
        <v>24</v>
      </c>
      <c r="E22" s="1" t="s">
        <v>196</v>
      </c>
      <c r="F22" s="1" t="s">
        <v>26</v>
      </c>
      <c r="G22" s="1" t="s">
        <v>26</v>
      </c>
      <c r="H22" s="1" t="s">
        <v>197</v>
      </c>
      <c r="I22" s="1" t="s">
        <v>84</v>
      </c>
      <c r="J22" s="1" t="s">
        <v>29</v>
      </c>
      <c r="K22" s="1" t="s">
        <v>183</v>
      </c>
      <c r="L22" s="1" t="s">
        <v>198</v>
      </c>
      <c r="M22" s="1" t="s">
        <v>199</v>
      </c>
      <c r="N22" s="1" t="s">
        <v>200</v>
      </c>
      <c r="O22" s="1" t="s">
        <v>201</v>
      </c>
      <c r="P22" s="1"/>
      <c r="Q22" s="1" t="s">
        <v>35</v>
      </c>
      <c r="R22" s="1" t="s">
        <v>36</v>
      </c>
      <c r="S22" s="1" t="s">
        <v>202</v>
      </c>
      <c r="T22" s="1">
        <v>0</v>
      </c>
    </row>
    <row r="23" spans="1:22" ht="409.6">
      <c r="A23" s="1" t="s">
        <v>203</v>
      </c>
      <c r="B23" s="1" t="s">
        <v>38</v>
      </c>
      <c r="C23" s="1" t="s">
        <v>39</v>
      </c>
      <c r="D23" s="1" t="s">
        <v>24</v>
      </c>
      <c r="E23" s="1" t="s">
        <v>204</v>
      </c>
      <c r="F23" s="1" t="s">
        <v>26</v>
      </c>
      <c r="G23" s="1" t="s">
        <v>205</v>
      </c>
      <c r="H23" s="1" t="s">
        <v>206</v>
      </c>
      <c r="I23" s="1" t="s">
        <v>168</v>
      </c>
      <c r="J23" s="1" t="s">
        <v>29</v>
      </c>
      <c r="K23" s="1" t="s">
        <v>30</v>
      </c>
      <c r="L23" s="1" t="s">
        <v>207</v>
      </c>
      <c r="M23" s="1" t="s">
        <v>208</v>
      </c>
      <c r="N23" s="1" t="s">
        <v>209</v>
      </c>
      <c r="O23" s="1" t="s">
        <v>210</v>
      </c>
      <c r="P23" s="1"/>
      <c r="Q23" s="1" t="s">
        <v>35</v>
      </c>
      <c r="R23" s="1" t="s">
        <v>36</v>
      </c>
      <c r="S23" s="3" t="s">
        <v>172</v>
      </c>
      <c r="T23" s="1">
        <v>0</v>
      </c>
    </row>
    <row r="24" spans="1:22" ht="409.6">
      <c r="A24" s="1" t="s">
        <v>211</v>
      </c>
      <c r="B24" s="1" t="s">
        <v>38</v>
      </c>
      <c r="C24" s="1" t="s">
        <v>39</v>
      </c>
      <c r="D24" s="1" t="s">
        <v>212</v>
      </c>
      <c r="E24" s="1" t="s">
        <v>213</v>
      </c>
      <c r="F24" s="1" t="s">
        <v>26</v>
      </c>
      <c r="G24" s="1" t="s">
        <v>26</v>
      </c>
      <c r="H24" s="1"/>
      <c r="I24" s="1"/>
      <c r="J24" s="1" t="s">
        <v>115</v>
      </c>
      <c r="K24" s="1" t="s">
        <v>116</v>
      </c>
      <c r="L24" s="1" t="s">
        <v>214</v>
      </c>
      <c r="M24" s="1" t="s">
        <v>215</v>
      </c>
      <c r="N24" s="1" t="s">
        <v>216</v>
      </c>
      <c r="O24" s="1"/>
      <c r="P24" s="1"/>
      <c r="Q24" s="1"/>
      <c r="R24" s="1"/>
      <c r="S24" s="1" t="s">
        <v>35</v>
      </c>
      <c r="T24" s="1" t="s">
        <v>36</v>
      </c>
      <c r="U24" s="3" t="s">
        <v>172</v>
      </c>
      <c r="V24" s="1">
        <v>0</v>
      </c>
    </row>
    <row r="25" spans="1:22" ht="409.6">
      <c r="A25" s="1" t="s">
        <v>217</v>
      </c>
      <c r="B25" s="1" t="s">
        <v>111</v>
      </c>
      <c r="C25" s="1" t="s">
        <v>39</v>
      </c>
      <c r="D25" s="1" t="s">
        <v>212</v>
      </c>
      <c r="E25" s="1" t="s">
        <v>218</v>
      </c>
      <c r="F25" s="1" t="s">
        <v>26</v>
      </c>
      <c r="G25" s="1" t="s">
        <v>26</v>
      </c>
      <c r="H25" s="1" t="s">
        <v>219</v>
      </c>
      <c r="I25" s="1" t="s">
        <v>220</v>
      </c>
      <c r="J25" s="1" t="s">
        <v>60</v>
      </c>
      <c r="K25" s="1" t="s">
        <v>116</v>
      </c>
      <c r="L25" s="1" t="s">
        <v>221</v>
      </c>
      <c r="M25" s="1" t="s">
        <v>222</v>
      </c>
      <c r="N25" s="1" t="s">
        <v>223</v>
      </c>
      <c r="O25" s="1"/>
      <c r="P25" s="1"/>
      <c r="Q25" s="1"/>
      <c r="R25" s="1"/>
      <c r="S25" s="1" t="s">
        <v>35</v>
      </c>
      <c r="T25" s="1" t="s">
        <v>36</v>
      </c>
      <c r="U25" s="3" t="s">
        <v>224</v>
      </c>
      <c r="V25" s="1">
        <v>0</v>
      </c>
    </row>
    <row r="26" spans="1:22" ht="409.6">
      <c r="A26" s="1" t="s">
        <v>225</v>
      </c>
      <c r="B26" s="1" t="s">
        <v>38</v>
      </c>
      <c r="C26" s="1" t="s">
        <v>39</v>
      </c>
      <c r="D26" s="1" t="s">
        <v>212</v>
      </c>
      <c r="E26" s="1" t="s">
        <v>226</v>
      </c>
      <c r="F26" s="1" t="s">
        <v>26</v>
      </c>
      <c r="G26" s="1" t="s">
        <v>26</v>
      </c>
      <c r="H26" s="1" t="s">
        <v>227</v>
      </c>
      <c r="I26" s="1" t="s">
        <v>76</v>
      </c>
      <c r="J26" s="1" t="s">
        <v>115</v>
      </c>
      <c r="K26" s="1" t="s">
        <v>116</v>
      </c>
      <c r="L26" s="1" t="s">
        <v>225</v>
      </c>
      <c r="M26" s="1" t="s">
        <v>228</v>
      </c>
      <c r="N26" s="1" t="s">
        <v>229</v>
      </c>
      <c r="O26" s="1" t="s">
        <v>230</v>
      </c>
      <c r="P26" s="1" t="s">
        <v>35</v>
      </c>
      <c r="Q26" s="1" t="s">
        <v>36</v>
      </c>
      <c r="R26" s="3" t="s">
        <v>121</v>
      </c>
      <c r="S26" s="1">
        <v>0</v>
      </c>
    </row>
    <row r="27" spans="1:22" ht="409.6">
      <c r="A27" s="1" t="s">
        <v>231</v>
      </c>
      <c r="B27" s="1" t="s">
        <v>38</v>
      </c>
      <c r="C27" s="1" t="s">
        <v>39</v>
      </c>
      <c r="D27" s="1"/>
      <c r="E27" s="1" t="s">
        <v>232</v>
      </c>
      <c r="F27" s="1" t="s">
        <v>26</v>
      </c>
      <c r="G27" s="1" t="s">
        <v>26</v>
      </c>
      <c r="H27" s="1" t="s">
        <v>82</v>
      </c>
      <c r="I27" s="1" t="s">
        <v>84</v>
      </c>
      <c r="J27" s="1" t="s">
        <v>115</v>
      </c>
      <c r="K27" s="1" t="s">
        <v>116</v>
      </c>
      <c r="L27" s="1" t="s">
        <v>233</v>
      </c>
      <c r="M27" s="1" t="s">
        <v>234</v>
      </c>
      <c r="N27" s="1" t="s">
        <v>235</v>
      </c>
      <c r="O27" s="1"/>
      <c r="P27" s="1"/>
      <c r="Q27" s="1"/>
      <c r="R27" s="1"/>
      <c r="S27" s="1" t="s">
        <v>35</v>
      </c>
      <c r="T27" s="1" t="s">
        <v>179</v>
      </c>
      <c r="U27" s="3" t="s">
        <v>195</v>
      </c>
      <c r="V27" s="1">
        <v>0</v>
      </c>
    </row>
    <row r="28" spans="1:22" ht="409.6">
      <c r="A28" s="1" t="s">
        <v>231</v>
      </c>
      <c r="B28" s="1" t="s">
        <v>38</v>
      </c>
      <c r="C28" s="1" t="s">
        <v>39</v>
      </c>
      <c r="D28" s="1"/>
      <c r="E28" s="1" t="s">
        <v>236</v>
      </c>
      <c r="F28" s="1" t="s">
        <v>26</v>
      </c>
      <c r="G28" s="1" t="s">
        <v>26</v>
      </c>
      <c r="H28" s="1" t="s">
        <v>82</v>
      </c>
      <c r="I28" s="1" t="s">
        <v>84</v>
      </c>
      <c r="J28" s="1" t="s">
        <v>115</v>
      </c>
      <c r="K28" s="1" t="s">
        <v>116</v>
      </c>
      <c r="L28" s="1" t="s">
        <v>237</v>
      </c>
      <c r="M28" s="1" t="s">
        <v>238</v>
      </c>
      <c r="N28" s="1" t="s">
        <v>239</v>
      </c>
      <c r="O28" s="1"/>
      <c r="P28" s="1"/>
      <c r="Q28" s="1"/>
      <c r="R28" s="1"/>
      <c r="S28" s="1" t="s">
        <v>35</v>
      </c>
      <c r="T28" s="1" t="s">
        <v>179</v>
      </c>
      <c r="U28" s="3" t="s">
        <v>240</v>
      </c>
      <c r="V28" s="1">
        <v>0</v>
      </c>
    </row>
    <row r="29" spans="1:22" ht="409.6">
      <c r="A29" s="1"/>
      <c r="B29" s="1" t="s">
        <v>38</v>
      </c>
      <c r="C29" s="1" t="s">
        <v>39</v>
      </c>
      <c r="D29" s="1" t="s">
        <v>212</v>
      </c>
      <c r="E29" s="1" t="s">
        <v>241</v>
      </c>
      <c r="F29" s="1" t="s">
        <v>26</v>
      </c>
      <c r="G29" s="1" t="s">
        <v>26</v>
      </c>
      <c r="H29" s="1"/>
      <c r="I29" s="1"/>
      <c r="J29" s="1" t="s">
        <v>115</v>
      </c>
      <c r="K29" s="1" t="s">
        <v>116</v>
      </c>
      <c r="L29" s="1" t="s">
        <v>242</v>
      </c>
      <c r="M29" s="1" t="s">
        <v>243</v>
      </c>
      <c r="N29" s="1" t="s">
        <v>244</v>
      </c>
      <c r="O29" s="1"/>
      <c r="P29" s="1"/>
      <c r="Q29" s="1"/>
      <c r="R29" s="1"/>
      <c r="S29" s="1" t="s">
        <v>35</v>
      </c>
      <c r="T29" s="1"/>
      <c r="U29" s="3" t="s">
        <v>172</v>
      </c>
      <c r="V29" s="1">
        <v>0</v>
      </c>
    </row>
    <row r="30" spans="1:22" ht="409.6">
      <c r="A30" s="1"/>
      <c r="B30" s="1" t="s">
        <v>38</v>
      </c>
      <c r="C30" s="1" t="s">
        <v>39</v>
      </c>
      <c r="D30" s="1" t="s">
        <v>212</v>
      </c>
      <c r="E30" s="1" t="s">
        <v>245</v>
      </c>
      <c r="F30" s="1" t="s">
        <v>26</v>
      </c>
      <c r="G30" s="1" t="s">
        <v>26</v>
      </c>
      <c r="H30" s="1"/>
      <c r="I30" s="1"/>
      <c r="J30" s="1" t="s">
        <v>115</v>
      </c>
      <c r="K30" s="1" t="s">
        <v>116</v>
      </c>
      <c r="L30" s="1" t="s">
        <v>246</v>
      </c>
      <c r="M30" s="1" t="s">
        <v>247</v>
      </c>
      <c r="N30" s="1" t="s">
        <v>248</v>
      </c>
      <c r="O30" s="1"/>
      <c r="P30" s="1"/>
      <c r="Q30" s="1"/>
      <c r="R30" s="1"/>
      <c r="S30" s="1" t="s">
        <v>35</v>
      </c>
      <c r="T30" s="1"/>
      <c r="U30" s="3" t="s">
        <v>249</v>
      </c>
      <c r="V30" s="1">
        <v>0</v>
      </c>
    </row>
    <row r="31" spans="1:22" ht="409.6">
      <c r="A31" s="1"/>
      <c r="B31" s="1" t="s">
        <v>38</v>
      </c>
      <c r="C31" s="1" t="s">
        <v>39</v>
      </c>
      <c r="D31" s="1" t="s">
        <v>212</v>
      </c>
      <c r="E31" s="1" t="s">
        <v>250</v>
      </c>
      <c r="F31" s="1" t="s">
        <v>26</v>
      </c>
      <c r="G31" s="1" t="s">
        <v>26</v>
      </c>
      <c r="H31" s="1"/>
      <c r="I31" s="1"/>
      <c r="J31" s="1" t="s">
        <v>115</v>
      </c>
      <c r="K31" s="1" t="s">
        <v>116</v>
      </c>
      <c r="L31" s="1" t="s">
        <v>251</v>
      </c>
      <c r="M31" s="1" t="s">
        <v>252</v>
      </c>
      <c r="N31" s="1" t="s">
        <v>253</v>
      </c>
      <c r="O31" s="1"/>
      <c r="P31" s="1"/>
      <c r="Q31" s="1"/>
      <c r="R31" s="1"/>
      <c r="S31" s="1" t="s">
        <v>35</v>
      </c>
      <c r="T31" s="1"/>
      <c r="U31" s="3" t="s">
        <v>249</v>
      </c>
      <c r="V31" s="1">
        <v>0</v>
      </c>
    </row>
    <row r="32" spans="1:22" ht="409.6">
      <c r="A32" s="1" t="s">
        <v>231</v>
      </c>
      <c r="B32" s="1" t="s">
        <v>38</v>
      </c>
      <c r="C32" s="1" t="s">
        <v>39</v>
      </c>
      <c r="D32" s="1" t="s">
        <v>212</v>
      </c>
      <c r="E32" s="1" t="s">
        <v>254</v>
      </c>
      <c r="F32" s="1" t="s">
        <v>26</v>
      </c>
      <c r="G32" s="1" t="s">
        <v>26</v>
      </c>
      <c r="H32" s="1" t="s">
        <v>150</v>
      </c>
      <c r="I32" s="1" t="s">
        <v>255</v>
      </c>
      <c r="J32" s="1" t="s">
        <v>115</v>
      </c>
      <c r="K32" s="1" t="s">
        <v>116</v>
      </c>
      <c r="L32" s="1" t="s">
        <v>256</v>
      </c>
      <c r="M32" s="1" t="s">
        <v>257</v>
      </c>
      <c r="N32" s="1" t="s">
        <v>258</v>
      </c>
      <c r="O32" s="1" t="s">
        <v>259</v>
      </c>
      <c r="P32" s="1" t="s">
        <v>35</v>
      </c>
      <c r="Q32" s="1" t="s">
        <v>179</v>
      </c>
      <c r="R32" s="3" t="s">
        <v>249</v>
      </c>
      <c r="S32" s="1">
        <v>0</v>
      </c>
    </row>
    <row r="33" spans="1:22" ht="409.6">
      <c r="A33" s="1" t="s">
        <v>231</v>
      </c>
      <c r="B33" s="1" t="s">
        <v>38</v>
      </c>
      <c r="C33" s="1" t="s">
        <v>39</v>
      </c>
      <c r="D33" s="1" t="s">
        <v>212</v>
      </c>
      <c r="E33" s="1" t="s">
        <v>260</v>
      </c>
      <c r="F33" s="1" t="s">
        <v>26</v>
      </c>
      <c r="G33" s="1" t="s">
        <v>26</v>
      </c>
      <c r="H33" s="1" t="s">
        <v>150</v>
      </c>
      <c r="I33" s="1" t="s">
        <v>255</v>
      </c>
      <c r="J33" s="1" t="s">
        <v>115</v>
      </c>
      <c r="K33" s="1" t="s">
        <v>116</v>
      </c>
      <c r="L33" s="1" t="s">
        <v>261</v>
      </c>
      <c r="M33" s="1" t="s">
        <v>262</v>
      </c>
      <c r="N33" s="3" t="s">
        <v>263</v>
      </c>
      <c r="O33" s="1"/>
      <c r="P33" s="1"/>
      <c r="Q33" s="1"/>
      <c r="R33" s="1"/>
      <c r="S33" s="1" t="s">
        <v>35</v>
      </c>
      <c r="T33" s="1" t="s">
        <v>179</v>
      </c>
      <c r="U33" s="3" t="s">
        <v>195</v>
      </c>
      <c r="V33" s="1">
        <v>0</v>
      </c>
    </row>
    <row r="34" spans="1:22" ht="409.6">
      <c r="A34" s="1" t="s">
        <v>231</v>
      </c>
      <c r="B34" s="1" t="s">
        <v>38</v>
      </c>
      <c r="C34" s="1" t="s">
        <v>39</v>
      </c>
      <c r="D34" s="1" t="s">
        <v>212</v>
      </c>
      <c r="E34" s="1" t="s">
        <v>264</v>
      </c>
      <c r="F34" s="1" t="s">
        <v>133</v>
      </c>
      <c r="G34" s="1" t="s">
        <v>26</v>
      </c>
      <c r="H34" s="1"/>
      <c r="I34" s="1"/>
      <c r="J34" s="1" t="s">
        <v>115</v>
      </c>
      <c r="K34" s="1" t="s">
        <v>116</v>
      </c>
      <c r="L34" s="1" t="s">
        <v>265</v>
      </c>
      <c r="M34" s="1" t="s">
        <v>266</v>
      </c>
      <c r="N34" s="3" t="s">
        <v>267</v>
      </c>
      <c r="O34" s="1"/>
      <c r="P34" s="1"/>
      <c r="Q34" s="1"/>
      <c r="R34" s="1"/>
      <c r="S34" s="1" t="s">
        <v>35</v>
      </c>
      <c r="T34" s="1" t="s">
        <v>179</v>
      </c>
      <c r="U34" s="3" t="s">
        <v>268</v>
      </c>
      <c r="V34" s="1">
        <v>0</v>
      </c>
    </row>
    <row r="35" spans="1:22" ht="409.6">
      <c r="A35" s="1" t="s">
        <v>231</v>
      </c>
      <c r="B35" s="1" t="s">
        <v>38</v>
      </c>
      <c r="C35" s="1" t="s">
        <v>39</v>
      </c>
      <c r="D35" s="1" t="s">
        <v>212</v>
      </c>
      <c r="E35" s="1" t="s">
        <v>269</v>
      </c>
      <c r="F35" s="1" t="s">
        <v>26</v>
      </c>
      <c r="G35" s="1" t="s">
        <v>26</v>
      </c>
      <c r="H35" s="1"/>
      <c r="I35" s="1"/>
      <c r="J35" s="1" t="s">
        <v>115</v>
      </c>
      <c r="K35" s="1" t="s">
        <v>116</v>
      </c>
      <c r="L35" s="1" t="s">
        <v>270</v>
      </c>
      <c r="M35" s="1" t="s">
        <v>271</v>
      </c>
      <c r="N35" s="1" t="s">
        <v>272</v>
      </c>
      <c r="O35" s="1"/>
      <c r="P35" s="1"/>
      <c r="Q35" s="1"/>
      <c r="R35" s="1"/>
      <c r="S35" s="1" t="s">
        <v>35</v>
      </c>
      <c r="T35" s="1" t="s">
        <v>273</v>
      </c>
      <c r="U35" s="3" t="s">
        <v>268</v>
      </c>
      <c r="V35" s="1">
        <v>0</v>
      </c>
    </row>
    <row r="36" spans="1:22" ht="409.6">
      <c r="A36" s="1" t="s">
        <v>231</v>
      </c>
      <c r="B36" s="1" t="s">
        <v>38</v>
      </c>
      <c r="C36" s="1" t="s">
        <v>39</v>
      </c>
      <c r="D36" s="1" t="s">
        <v>212</v>
      </c>
      <c r="E36" s="1" t="s">
        <v>274</v>
      </c>
      <c r="F36" s="1" t="s">
        <v>26</v>
      </c>
      <c r="G36" s="1" t="s">
        <v>26</v>
      </c>
      <c r="H36" s="1"/>
      <c r="I36" s="1"/>
      <c r="J36" s="1" t="s">
        <v>115</v>
      </c>
      <c r="K36" s="1" t="s">
        <v>116</v>
      </c>
      <c r="L36" s="1" t="s">
        <v>275</v>
      </c>
      <c r="M36" s="1" t="s">
        <v>276</v>
      </c>
      <c r="N36" s="1" t="s">
        <v>277</v>
      </c>
      <c r="O36" s="1"/>
      <c r="P36" s="1"/>
      <c r="Q36" s="1"/>
      <c r="R36" s="1"/>
      <c r="S36" s="1" t="s">
        <v>35</v>
      </c>
      <c r="T36" s="1" t="s">
        <v>179</v>
      </c>
      <c r="U36" s="3" t="s">
        <v>172</v>
      </c>
      <c r="V36" s="1">
        <v>0</v>
      </c>
    </row>
    <row r="37" spans="1:22" ht="409.6">
      <c r="A37" s="1" t="s">
        <v>231</v>
      </c>
      <c r="B37" s="1" t="s">
        <v>38</v>
      </c>
      <c r="C37" s="1" t="s">
        <v>39</v>
      </c>
      <c r="D37" s="1" t="s">
        <v>212</v>
      </c>
      <c r="E37" s="1" t="s">
        <v>278</v>
      </c>
      <c r="F37" s="1" t="s">
        <v>26</v>
      </c>
      <c r="G37" s="1" t="s">
        <v>205</v>
      </c>
      <c r="H37" s="1"/>
      <c r="I37" s="1"/>
      <c r="J37" s="1" t="s">
        <v>115</v>
      </c>
      <c r="K37" s="1" t="s">
        <v>116</v>
      </c>
      <c r="L37" s="1" t="s">
        <v>279</v>
      </c>
      <c r="M37" s="1" t="s">
        <v>280</v>
      </c>
      <c r="N37" s="1" t="s">
        <v>281</v>
      </c>
      <c r="O37" s="1"/>
      <c r="P37" s="1"/>
      <c r="Q37" s="1"/>
      <c r="R37" s="1"/>
      <c r="S37" s="1" t="s">
        <v>35</v>
      </c>
      <c r="T37" s="1" t="s">
        <v>179</v>
      </c>
      <c r="U37" s="3" t="s">
        <v>282</v>
      </c>
      <c r="V37" s="1">
        <v>0</v>
      </c>
    </row>
    <row r="38" spans="1:22" ht="409.6">
      <c r="A38" s="1"/>
      <c r="B38" s="1" t="s">
        <v>38</v>
      </c>
      <c r="C38" s="1" t="s">
        <v>39</v>
      </c>
      <c r="D38" s="1" t="s">
        <v>212</v>
      </c>
      <c r="E38" s="1" t="s">
        <v>283</v>
      </c>
      <c r="F38" s="1" t="s">
        <v>26</v>
      </c>
      <c r="G38" s="1" t="s">
        <v>26</v>
      </c>
      <c r="H38" s="1"/>
      <c r="I38" s="1"/>
      <c r="J38" s="1" t="s">
        <v>115</v>
      </c>
      <c r="K38" s="1" t="s">
        <v>284</v>
      </c>
      <c r="L38" s="1" t="s">
        <v>285</v>
      </c>
      <c r="M38" s="1" t="s">
        <v>286</v>
      </c>
      <c r="N38" s="1" t="s">
        <v>287</v>
      </c>
      <c r="O38" s="1"/>
      <c r="P38" s="1"/>
      <c r="Q38" s="1"/>
      <c r="R38" s="1"/>
      <c r="S38" s="1" t="s">
        <v>35</v>
      </c>
      <c r="T38" s="1"/>
      <c r="U38" s="3" t="s">
        <v>282</v>
      </c>
      <c r="V38" s="1">
        <v>0</v>
      </c>
    </row>
    <row r="39" spans="1:22">
      <c r="A39" s="1"/>
      <c r="B39" s="1" t="s">
        <v>38</v>
      </c>
      <c r="C39" s="1" t="s">
        <v>39</v>
      </c>
      <c r="D39" s="1" t="s">
        <v>212</v>
      </c>
      <c r="E39" s="1" t="s">
        <v>288</v>
      </c>
      <c r="F39" s="1" t="s">
        <v>26</v>
      </c>
      <c r="G39" s="1" t="s">
        <v>26</v>
      </c>
      <c r="H39" s="1"/>
      <c r="I39" s="1"/>
      <c r="J39" s="1" t="s">
        <v>115</v>
      </c>
      <c r="K39" s="1" t="s">
        <v>284</v>
      </c>
      <c r="L39" s="1" t="s">
        <v>289</v>
      </c>
      <c r="M39" s="1" t="s">
        <v>290</v>
      </c>
      <c r="N39" s="1" t="s">
        <v>291</v>
      </c>
      <c r="O39" s="1" t="s">
        <v>292</v>
      </c>
      <c r="P39" s="1" t="s">
        <v>35</v>
      </c>
      <c r="Q39" s="1"/>
      <c r="R39" s="1" t="s">
        <v>293</v>
      </c>
      <c r="S39" s="1">
        <v>0</v>
      </c>
    </row>
    <row r="40" spans="1:22" ht="409.6">
      <c r="A40" s="1"/>
      <c r="B40" s="1" t="s">
        <v>38</v>
      </c>
      <c r="C40" s="1" t="s">
        <v>39</v>
      </c>
      <c r="D40" s="1" t="s">
        <v>212</v>
      </c>
      <c r="E40" s="1" t="s">
        <v>294</v>
      </c>
      <c r="F40" s="1" t="s">
        <v>26</v>
      </c>
      <c r="G40" s="1" t="s">
        <v>26</v>
      </c>
      <c r="H40" s="1"/>
      <c r="I40" s="1"/>
      <c r="J40" s="1" t="s">
        <v>115</v>
      </c>
      <c r="K40" s="1" t="s">
        <v>116</v>
      </c>
      <c r="L40" s="1" t="s">
        <v>295</v>
      </c>
      <c r="M40" s="1" t="s">
        <v>296</v>
      </c>
      <c r="N40" s="1" t="s">
        <v>297</v>
      </c>
      <c r="O40" s="1"/>
      <c r="P40" s="1"/>
      <c r="Q40" s="1"/>
      <c r="R40" s="1"/>
      <c r="S40" s="1" t="s">
        <v>35</v>
      </c>
      <c r="T40" s="1"/>
      <c r="U40" s="3" t="s">
        <v>282</v>
      </c>
      <c r="V40" s="1">
        <v>0</v>
      </c>
    </row>
    <row r="41" spans="1:22" ht="409.6">
      <c r="A41" s="1"/>
      <c r="B41" s="1" t="s">
        <v>38</v>
      </c>
      <c r="C41" s="1" t="s">
        <v>39</v>
      </c>
      <c r="D41" s="1" t="s">
        <v>212</v>
      </c>
      <c r="E41" s="1" t="s">
        <v>298</v>
      </c>
      <c r="F41" s="1" t="s">
        <v>26</v>
      </c>
      <c r="G41" s="1" t="s">
        <v>26</v>
      </c>
      <c r="H41" s="1"/>
      <c r="I41" s="1"/>
      <c r="J41" s="1" t="s">
        <v>115</v>
      </c>
      <c r="K41" s="1" t="s">
        <v>116</v>
      </c>
      <c r="L41" s="1" t="s">
        <v>299</v>
      </c>
      <c r="M41" s="1" t="s">
        <v>300</v>
      </c>
      <c r="N41" s="1" t="s">
        <v>244</v>
      </c>
      <c r="O41" s="1"/>
      <c r="P41" s="1"/>
      <c r="Q41" s="1"/>
      <c r="R41" s="1"/>
      <c r="S41" s="1" t="s">
        <v>35</v>
      </c>
      <c r="T41" s="1"/>
      <c r="U41" s="3" t="s">
        <v>301</v>
      </c>
      <c r="V41" s="1">
        <v>0</v>
      </c>
    </row>
    <row r="42" spans="1:22" ht="409.6">
      <c r="A42" s="1" t="s">
        <v>302</v>
      </c>
      <c r="B42" s="1" t="s">
        <v>38</v>
      </c>
      <c r="C42" s="1" t="s">
        <v>39</v>
      </c>
      <c r="D42" s="1" t="s">
        <v>24</v>
      </c>
      <c r="E42" s="1" t="s">
        <v>303</v>
      </c>
      <c r="F42" s="1" t="s">
        <v>26</v>
      </c>
      <c r="G42" s="1" t="s">
        <v>26</v>
      </c>
      <c r="H42" s="1" t="s">
        <v>304</v>
      </c>
      <c r="I42" s="1" t="s">
        <v>305</v>
      </c>
      <c r="J42" s="1" t="s">
        <v>29</v>
      </c>
      <c r="K42" s="1" t="s">
        <v>30</v>
      </c>
      <c r="L42" s="1" t="s">
        <v>306</v>
      </c>
      <c r="M42" s="1" t="s">
        <v>307</v>
      </c>
      <c r="N42" s="1" t="s">
        <v>308</v>
      </c>
      <c r="O42" s="1" t="s">
        <v>309</v>
      </c>
      <c r="P42" s="1" t="s">
        <v>35</v>
      </c>
      <c r="Q42" s="1" t="s">
        <v>36</v>
      </c>
      <c r="R42" s="3" t="s">
        <v>310</v>
      </c>
      <c r="S42" s="1">
        <v>0</v>
      </c>
    </row>
    <row r="43" spans="1:22" ht="409.6">
      <c r="A43" s="1" t="s">
        <v>311</v>
      </c>
      <c r="B43" s="1" t="s">
        <v>38</v>
      </c>
      <c r="C43" s="1" t="s">
        <v>39</v>
      </c>
      <c r="D43" s="1" t="s">
        <v>24</v>
      </c>
      <c r="E43" s="1" t="s">
        <v>312</v>
      </c>
      <c r="F43" s="1" t="s">
        <v>26</v>
      </c>
      <c r="G43" s="1" t="s">
        <v>26</v>
      </c>
      <c r="H43" s="1" t="s">
        <v>206</v>
      </c>
      <c r="I43" s="1" t="s">
        <v>313</v>
      </c>
      <c r="J43" s="1" t="s">
        <v>29</v>
      </c>
      <c r="K43" s="1" t="s">
        <v>30</v>
      </c>
      <c r="L43" s="1" t="s">
        <v>314</v>
      </c>
      <c r="M43" s="1" t="s">
        <v>315</v>
      </c>
      <c r="N43" s="1" t="s">
        <v>316</v>
      </c>
      <c r="O43" s="1"/>
      <c r="P43" s="1"/>
      <c r="Q43" s="1"/>
      <c r="R43" s="1"/>
      <c r="S43" s="1" t="s">
        <v>35</v>
      </c>
      <c r="T43" s="1" t="s">
        <v>36</v>
      </c>
      <c r="U43" s="3" t="s">
        <v>317</v>
      </c>
      <c r="V43" s="1">
        <v>0</v>
      </c>
    </row>
    <row r="44" spans="1:22" ht="409.6">
      <c r="A44" s="1"/>
      <c r="B44" s="1" t="s">
        <v>38</v>
      </c>
      <c r="C44" s="1" t="s">
        <v>39</v>
      </c>
      <c r="D44" s="1" t="s">
        <v>212</v>
      </c>
      <c r="E44" s="1" t="s">
        <v>318</v>
      </c>
      <c r="F44" s="1" t="s">
        <v>26</v>
      </c>
      <c r="G44" s="1" t="s">
        <v>26</v>
      </c>
      <c r="H44" s="1"/>
      <c r="I44" s="1"/>
      <c r="J44" s="1" t="s">
        <v>115</v>
      </c>
      <c r="K44" s="1" t="s">
        <v>284</v>
      </c>
      <c r="L44" s="1" t="s">
        <v>319</v>
      </c>
      <c r="M44" s="1" t="s">
        <v>320</v>
      </c>
      <c r="N44" s="1" t="s">
        <v>321</v>
      </c>
      <c r="O44" s="1"/>
      <c r="P44" s="1"/>
      <c r="Q44" s="1"/>
      <c r="R44" s="1"/>
      <c r="S44" s="1" t="s">
        <v>35</v>
      </c>
      <c r="T44" s="1"/>
      <c r="U44" s="3" t="s">
        <v>310</v>
      </c>
      <c r="V44" s="1">
        <v>0</v>
      </c>
    </row>
    <row r="45" spans="1:22" ht="409.6">
      <c r="A45" s="1"/>
      <c r="B45" s="1" t="s">
        <v>38</v>
      </c>
      <c r="C45" s="1" t="s">
        <v>39</v>
      </c>
      <c r="D45" s="1" t="s">
        <v>212</v>
      </c>
      <c r="E45" s="1" t="s">
        <v>322</v>
      </c>
      <c r="F45" s="1" t="s">
        <v>26</v>
      </c>
      <c r="G45" s="1" t="s">
        <v>26</v>
      </c>
      <c r="H45" s="1"/>
      <c r="I45" s="1"/>
      <c r="J45" s="1" t="s">
        <v>115</v>
      </c>
      <c r="K45" s="1" t="s">
        <v>284</v>
      </c>
      <c r="L45" s="1" t="s">
        <v>323</v>
      </c>
      <c r="M45" s="1" t="s">
        <v>324</v>
      </c>
      <c r="N45" s="1" t="s">
        <v>325</v>
      </c>
      <c r="O45" s="1"/>
      <c r="P45" s="1"/>
      <c r="Q45" s="1"/>
      <c r="R45" s="1"/>
      <c r="S45" s="1" t="s">
        <v>35</v>
      </c>
      <c r="T45" s="1"/>
      <c r="U45" s="3" t="s">
        <v>326</v>
      </c>
      <c r="V45" s="1">
        <v>0</v>
      </c>
    </row>
    <row r="46" spans="1:22" ht="409.6">
      <c r="A46" s="1"/>
      <c r="B46" s="1" t="s">
        <v>38</v>
      </c>
      <c r="C46" s="1" t="s">
        <v>39</v>
      </c>
      <c r="D46" s="1" t="s">
        <v>212</v>
      </c>
      <c r="E46" s="1" t="s">
        <v>327</v>
      </c>
      <c r="F46" s="1" t="s">
        <v>26</v>
      </c>
      <c r="G46" s="1" t="s">
        <v>26</v>
      </c>
      <c r="H46" s="1"/>
      <c r="I46" s="1"/>
      <c r="J46" s="1" t="s">
        <v>115</v>
      </c>
      <c r="K46" s="1" t="s">
        <v>284</v>
      </c>
      <c r="L46" s="1" t="s">
        <v>328</v>
      </c>
      <c r="M46" s="1" t="s">
        <v>329</v>
      </c>
      <c r="N46" s="1" t="s">
        <v>297</v>
      </c>
      <c r="O46" s="1"/>
      <c r="P46" s="1"/>
      <c r="Q46" s="1"/>
      <c r="R46" s="1"/>
      <c r="S46" s="1" t="s">
        <v>35</v>
      </c>
      <c r="T46" s="1"/>
      <c r="U46" s="3" t="s">
        <v>310</v>
      </c>
      <c r="V46" s="1">
        <v>0</v>
      </c>
    </row>
    <row r="47" spans="1:22" ht="409.6">
      <c r="A47" s="1"/>
      <c r="B47" s="1" t="s">
        <v>38</v>
      </c>
      <c r="C47" s="1" t="s">
        <v>39</v>
      </c>
      <c r="D47" s="1" t="s">
        <v>212</v>
      </c>
      <c r="E47" s="1" t="s">
        <v>330</v>
      </c>
      <c r="F47" s="1" t="s">
        <v>26</v>
      </c>
      <c r="G47" s="1" t="s">
        <v>26</v>
      </c>
      <c r="H47" s="1"/>
      <c r="I47" s="1"/>
      <c r="J47" s="1" t="s">
        <v>115</v>
      </c>
      <c r="K47" s="1" t="s">
        <v>284</v>
      </c>
      <c r="L47" s="1" t="s">
        <v>331</v>
      </c>
      <c r="M47" s="1" t="s">
        <v>332</v>
      </c>
      <c r="N47" s="1" t="s">
        <v>333</v>
      </c>
      <c r="O47" s="1"/>
      <c r="P47" s="1"/>
      <c r="Q47" s="1"/>
      <c r="R47" s="1"/>
      <c r="S47" s="1" t="s">
        <v>35</v>
      </c>
      <c r="T47" s="1"/>
      <c r="U47" s="3" t="s">
        <v>310</v>
      </c>
      <c r="V47" s="1">
        <v>0</v>
      </c>
    </row>
    <row r="48" spans="1:22" ht="409.6">
      <c r="A48" s="1"/>
      <c r="B48" s="1" t="s">
        <v>38</v>
      </c>
      <c r="C48" s="1" t="s">
        <v>39</v>
      </c>
      <c r="D48" s="1" t="s">
        <v>212</v>
      </c>
      <c r="E48" s="1" t="s">
        <v>334</v>
      </c>
      <c r="F48" s="1" t="s">
        <v>26</v>
      </c>
      <c r="G48" s="1" t="s">
        <v>26</v>
      </c>
      <c r="H48" s="1"/>
      <c r="I48" s="1"/>
      <c r="J48" s="1" t="s">
        <v>115</v>
      </c>
      <c r="K48" s="1" t="s">
        <v>284</v>
      </c>
      <c r="L48" s="1" t="s">
        <v>335</v>
      </c>
      <c r="M48" s="1" t="s">
        <v>336</v>
      </c>
      <c r="N48" s="1" t="s">
        <v>337</v>
      </c>
      <c r="O48" s="1"/>
      <c r="P48" s="1"/>
      <c r="Q48" s="1"/>
      <c r="R48" s="1"/>
      <c r="S48" s="1" t="s">
        <v>35</v>
      </c>
      <c r="T48" s="1"/>
      <c r="U48" s="3" t="s">
        <v>310</v>
      </c>
      <c r="V48" s="1">
        <v>0</v>
      </c>
    </row>
    <row r="49" spans="1:22" ht="409.6">
      <c r="A49" s="1"/>
      <c r="B49" s="1" t="s">
        <v>38</v>
      </c>
      <c r="C49" s="1" t="s">
        <v>39</v>
      </c>
      <c r="D49" s="1" t="s">
        <v>212</v>
      </c>
      <c r="E49" s="1" t="s">
        <v>338</v>
      </c>
      <c r="F49" s="1" t="s">
        <v>26</v>
      </c>
      <c r="G49" s="1" t="s">
        <v>26</v>
      </c>
      <c r="H49" s="1"/>
      <c r="I49" s="1"/>
      <c r="J49" s="1" t="s">
        <v>115</v>
      </c>
      <c r="K49" s="1" t="s">
        <v>284</v>
      </c>
      <c r="L49" s="1" t="s">
        <v>339</v>
      </c>
      <c r="M49" s="1" t="s">
        <v>340</v>
      </c>
      <c r="N49" s="1" t="s">
        <v>337</v>
      </c>
      <c r="O49" s="1"/>
      <c r="P49" s="1"/>
      <c r="Q49" s="1"/>
      <c r="R49" s="1"/>
      <c r="S49" s="1" t="s">
        <v>35</v>
      </c>
      <c r="T49" s="1"/>
      <c r="U49" s="3" t="s">
        <v>121</v>
      </c>
      <c r="V49" s="1">
        <v>0</v>
      </c>
    </row>
    <row r="50" spans="1:22" ht="409.6">
      <c r="A50" s="1"/>
      <c r="B50" s="1" t="s">
        <v>38</v>
      </c>
      <c r="C50" s="1"/>
      <c r="D50" s="1" t="s">
        <v>212</v>
      </c>
      <c r="E50" s="1" t="s">
        <v>341</v>
      </c>
      <c r="F50" s="1"/>
      <c r="G50" s="1"/>
      <c r="H50" s="1"/>
      <c r="I50" s="1"/>
      <c r="J50" s="1"/>
      <c r="K50" s="1" t="s">
        <v>284</v>
      </c>
      <c r="L50" s="1" t="s">
        <v>342</v>
      </c>
      <c r="M50" s="1" t="s">
        <v>343</v>
      </c>
      <c r="N50" s="1" t="s">
        <v>344</v>
      </c>
      <c r="O50" s="1"/>
      <c r="P50" s="1"/>
      <c r="Q50" s="1"/>
      <c r="R50" s="1"/>
      <c r="S50" s="1"/>
      <c r="T50" s="1"/>
      <c r="U50" s="3" t="s">
        <v>310</v>
      </c>
      <c r="V50" s="1">
        <v>0</v>
      </c>
    </row>
    <row r="51" spans="1:22" ht="409.6">
      <c r="A51" s="1"/>
      <c r="B51" s="1" t="s">
        <v>38</v>
      </c>
      <c r="C51" s="1"/>
      <c r="D51" s="1" t="s">
        <v>212</v>
      </c>
      <c r="E51" s="1" t="s">
        <v>345</v>
      </c>
      <c r="F51" s="1"/>
      <c r="G51" s="1"/>
      <c r="H51" s="1"/>
      <c r="I51" s="1"/>
      <c r="J51" s="1"/>
      <c r="K51" s="1" t="s">
        <v>284</v>
      </c>
      <c r="L51" s="1" t="s">
        <v>346</v>
      </c>
      <c r="M51" s="1" t="s">
        <v>347</v>
      </c>
      <c r="N51" s="1" t="s">
        <v>344</v>
      </c>
      <c r="O51" s="1"/>
      <c r="P51" s="1"/>
      <c r="Q51" s="1"/>
      <c r="R51" s="1"/>
      <c r="S51" s="1"/>
      <c r="T51" s="1"/>
      <c r="U51" s="3" t="s">
        <v>310</v>
      </c>
      <c r="V51" s="1">
        <v>0</v>
      </c>
    </row>
    <row r="52" spans="1:22" ht="409.6">
      <c r="A52" s="1"/>
      <c r="B52" s="1" t="s">
        <v>38</v>
      </c>
      <c r="C52" s="1"/>
      <c r="D52" s="1" t="s">
        <v>212</v>
      </c>
      <c r="E52" s="1" t="s">
        <v>348</v>
      </c>
      <c r="F52" s="1"/>
      <c r="G52" s="1"/>
      <c r="H52" s="1"/>
      <c r="I52" s="1"/>
      <c r="J52" s="1"/>
      <c r="K52" s="1" t="s">
        <v>284</v>
      </c>
      <c r="L52" s="1" t="s">
        <v>349</v>
      </c>
      <c r="M52" s="1" t="s">
        <v>350</v>
      </c>
      <c r="N52" s="1" t="s">
        <v>351</v>
      </c>
      <c r="O52" s="1"/>
      <c r="P52" s="1"/>
      <c r="Q52" s="1"/>
      <c r="R52" s="1"/>
      <c r="S52" s="1"/>
      <c r="T52" s="1"/>
      <c r="U52" s="3" t="s">
        <v>352</v>
      </c>
      <c r="V52" s="1">
        <v>0</v>
      </c>
    </row>
    <row r="53" spans="1:22" ht="409.6">
      <c r="A53" s="1"/>
      <c r="B53" s="1" t="s">
        <v>38</v>
      </c>
      <c r="C53" s="1"/>
      <c r="D53" s="1" t="s">
        <v>212</v>
      </c>
      <c r="E53" s="1" t="s">
        <v>353</v>
      </c>
      <c r="F53" s="1"/>
      <c r="G53" s="1"/>
      <c r="H53" s="1"/>
      <c r="I53" s="1"/>
      <c r="J53" s="1"/>
      <c r="K53" s="1" t="s">
        <v>284</v>
      </c>
      <c r="L53" s="1" t="s">
        <v>354</v>
      </c>
      <c r="M53" s="1" t="s">
        <v>355</v>
      </c>
      <c r="N53" s="1" t="s">
        <v>356</v>
      </c>
      <c r="O53" s="1"/>
      <c r="P53" s="1"/>
      <c r="Q53" s="1"/>
      <c r="R53" s="1"/>
      <c r="S53" s="1"/>
      <c r="T53" s="1"/>
      <c r="U53" s="3" t="s">
        <v>357</v>
      </c>
      <c r="V53" s="1">
        <v>0</v>
      </c>
    </row>
    <row r="54" spans="1:22" ht="409.6">
      <c r="A54" s="1" t="s">
        <v>188</v>
      </c>
      <c r="B54" s="1" t="s">
        <v>38</v>
      </c>
      <c r="C54" s="1" t="s">
        <v>39</v>
      </c>
      <c r="D54" s="1" t="s">
        <v>24</v>
      </c>
      <c r="E54" s="1" t="s">
        <v>358</v>
      </c>
      <c r="F54" s="1" t="s">
        <v>26</v>
      </c>
      <c r="G54" s="1" t="s">
        <v>26</v>
      </c>
      <c r="H54" s="1" t="s">
        <v>359</v>
      </c>
      <c r="I54" s="1" t="s">
        <v>190</v>
      </c>
      <c r="J54" s="1" t="s">
        <v>135</v>
      </c>
      <c r="K54" s="1" t="s">
        <v>30</v>
      </c>
      <c r="L54" s="1" t="s">
        <v>360</v>
      </c>
      <c r="M54" s="1" t="s">
        <v>361</v>
      </c>
      <c r="N54" s="1" t="s">
        <v>362</v>
      </c>
      <c r="O54" s="1" t="s">
        <v>363</v>
      </c>
      <c r="P54" s="1" t="s">
        <v>35</v>
      </c>
      <c r="Q54" s="1" t="s">
        <v>36</v>
      </c>
      <c r="R54" s="3" t="s">
        <v>364</v>
      </c>
      <c r="S54" s="1">
        <v>0</v>
      </c>
    </row>
    <row r="55" spans="1:22" ht="409.6">
      <c r="A55" s="1"/>
      <c r="B55" s="1" t="s">
        <v>38</v>
      </c>
      <c r="C55" s="1" t="s">
        <v>39</v>
      </c>
      <c r="D55" s="1" t="s">
        <v>212</v>
      </c>
      <c r="E55" s="1" t="s">
        <v>365</v>
      </c>
      <c r="F55" s="1" t="s">
        <v>26</v>
      </c>
      <c r="G55" s="1" t="s">
        <v>26</v>
      </c>
      <c r="H55" s="1"/>
      <c r="I55" s="1"/>
      <c r="J55" s="1" t="s">
        <v>115</v>
      </c>
      <c r="K55" s="1" t="s">
        <v>284</v>
      </c>
      <c r="L55" s="1" t="s">
        <v>366</v>
      </c>
      <c r="M55" s="1" t="s">
        <v>367</v>
      </c>
      <c r="N55" s="1" t="s">
        <v>368</v>
      </c>
      <c r="O55" s="1"/>
      <c r="P55" s="1"/>
      <c r="Q55" s="1"/>
      <c r="R55" s="1"/>
      <c r="S55" s="1" t="s">
        <v>35</v>
      </c>
      <c r="T55" s="1"/>
      <c r="U55" s="3" t="s">
        <v>364</v>
      </c>
      <c r="V55" s="1">
        <v>0</v>
      </c>
    </row>
    <row r="56" spans="1:22" ht="409.6">
      <c r="A56" s="1" t="s">
        <v>369</v>
      </c>
      <c r="B56" s="1" t="s">
        <v>38</v>
      </c>
      <c r="C56" s="1" t="s">
        <v>39</v>
      </c>
      <c r="D56" s="1" t="s">
        <v>24</v>
      </c>
      <c r="E56" s="1" t="s">
        <v>370</v>
      </c>
      <c r="F56" s="1" t="s">
        <v>26</v>
      </c>
      <c r="G56" s="1" t="s">
        <v>26</v>
      </c>
      <c r="H56" s="1" t="s">
        <v>197</v>
      </c>
      <c r="I56" s="1" t="s">
        <v>371</v>
      </c>
      <c r="J56" s="1" t="s">
        <v>29</v>
      </c>
      <c r="K56" s="1" t="s">
        <v>30</v>
      </c>
      <c r="L56" s="1" t="s">
        <v>372</v>
      </c>
      <c r="M56" s="1" t="s">
        <v>373</v>
      </c>
      <c r="N56" s="1" t="s">
        <v>374</v>
      </c>
      <c r="O56" s="1"/>
      <c r="P56" s="1"/>
      <c r="Q56" s="1"/>
      <c r="R56" s="1"/>
      <c r="S56" s="1" t="s">
        <v>35</v>
      </c>
      <c r="T56" s="1" t="s">
        <v>36</v>
      </c>
      <c r="U56" s="3" t="s">
        <v>364</v>
      </c>
      <c r="V56" s="1">
        <v>0</v>
      </c>
    </row>
    <row r="57" spans="1:22">
      <c r="A57" s="1" t="s">
        <v>375</v>
      </c>
      <c r="B57" s="1" t="s">
        <v>38</v>
      </c>
      <c r="C57" s="1" t="s">
        <v>39</v>
      </c>
      <c r="D57" s="1" t="s">
        <v>24</v>
      </c>
      <c r="E57" s="1" t="s">
        <v>376</v>
      </c>
      <c r="F57" s="1" t="s">
        <v>26</v>
      </c>
      <c r="G57" s="1" t="s">
        <v>26</v>
      </c>
      <c r="H57" s="1" t="s">
        <v>377</v>
      </c>
      <c r="I57" s="1" t="s">
        <v>378</v>
      </c>
      <c r="J57" s="1" t="s">
        <v>29</v>
      </c>
      <c r="K57" s="1" t="s">
        <v>30</v>
      </c>
      <c r="L57" s="1" t="s">
        <v>379</v>
      </c>
      <c r="M57" s="1" t="s">
        <v>380</v>
      </c>
      <c r="N57" s="1" t="s">
        <v>381</v>
      </c>
      <c r="O57" s="1" t="s">
        <v>382</v>
      </c>
      <c r="P57" s="1" t="s">
        <v>35</v>
      </c>
      <c r="Q57" s="1" t="s">
        <v>36</v>
      </c>
      <c r="R57" s="1" t="s">
        <v>383</v>
      </c>
      <c r="S57" s="1">
        <v>0</v>
      </c>
    </row>
    <row r="58" spans="1:22" ht="409.6">
      <c r="A58" s="1" t="s">
        <v>102</v>
      </c>
      <c r="B58" s="1" t="s">
        <v>38</v>
      </c>
      <c r="C58" s="1" t="s">
        <v>39</v>
      </c>
      <c r="D58" s="1" t="s">
        <v>24</v>
      </c>
      <c r="E58" s="1" t="s">
        <v>384</v>
      </c>
      <c r="F58" s="1" t="s">
        <v>26</v>
      </c>
      <c r="G58" s="1" t="s">
        <v>26</v>
      </c>
      <c r="H58" s="1" t="s">
        <v>113</v>
      </c>
      <c r="I58" s="1" t="s">
        <v>385</v>
      </c>
      <c r="J58" s="1" t="s">
        <v>29</v>
      </c>
      <c r="K58" s="1" t="s">
        <v>30</v>
      </c>
      <c r="L58" s="1" t="s">
        <v>386</v>
      </c>
      <c r="M58" s="1" t="s">
        <v>387</v>
      </c>
      <c r="N58" s="1" t="s">
        <v>388</v>
      </c>
      <c r="O58" s="1"/>
      <c r="P58" s="1"/>
      <c r="Q58" s="1"/>
      <c r="R58" s="1"/>
      <c r="S58" s="1" t="s">
        <v>35</v>
      </c>
      <c r="T58" s="1" t="s">
        <v>36</v>
      </c>
      <c r="U58" s="3" t="s">
        <v>389</v>
      </c>
      <c r="V58" s="1">
        <v>0</v>
      </c>
    </row>
    <row r="59" spans="1:22" ht="409.6">
      <c r="A59" s="1" t="s">
        <v>104</v>
      </c>
      <c r="B59" s="1" t="s">
        <v>111</v>
      </c>
      <c r="C59" s="1" t="s">
        <v>39</v>
      </c>
      <c r="D59" s="1" t="s">
        <v>24</v>
      </c>
      <c r="E59" s="1" t="s">
        <v>390</v>
      </c>
      <c r="F59" s="1" t="s">
        <v>26</v>
      </c>
      <c r="G59" s="1" t="s">
        <v>26</v>
      </c>
      <c r="H59" s="1" t="s">
        <v>104</v>
      </c>
      <c r="I59" s="1" t="s">
        <v>385</v>
      </c>
      <c r="J59" s="1" t="s">
        <v>29</v>
      </c>
      <c r="K59" s="1" t="s">
        <v>183</v>
      </c>
      <c r="L59" s="1" t="s">
        <v>391</v>
      </c>
      <c r="M59" s="1" t="s">
        <v>392</v>
      </c>
      <c r="N59" s="1" t="s">
        <v>393</v>
      </c>
      <c r="O59" s="1"/>
      <c r="P59" s="1"/>
      <c r="Q59" s="1"/>
      <c r="R59" s="1"/>
      <c r="S59" s="1" t="s">
        <v>35</v>
      </c>
      <c r="T59" s="1" t="s">
        <v>36</v>
      </c>
      <c r="U59" s="3" t="s">
        <v>394</v>
      </c>
      <c r="V59" s="1">
        <v>0</v>
      </c>
    </row>
    <row r="60" spans="1:22" ht="409.6">
      <c r="A60" s="1" t="s">
        <v>180</v>
      </c>
      <c r="B60" s="1" t="s">
        <v>111</v>
      </c>
      <c r="C60" s="1" t="s">
        <v>39</v>
      </c>
      <c r="D60" s="1" t="s">
        <v>24</v>
      </c>
      <c r="E60" s="1" t="s">
        <v>395</v>
      </c>
      <c r="F60" s="1" t="s">
        <v>26</v>
      </c>
      <c r="G60" s="1" t="s">
        <v>26</v>
      </c>
      <c r="H60" s="1" t="s">
        <v>396</v>
      </c>
      <c r="I60" s="1" t="s">
        <v>397</v>
      </c>
      <c r="J60" s="1" t="s">
        <v>29</v>
      </c>
      <c r="K60" s="1" t="s">
        <v>183</v>
      </c>
      <c r="L60" s="1" t="s">
        <v>398</v>
      </c>
      <c r="M60" s="1" t="s">
        <v>399</v>
      </c>
      <c r="N60" s="1" t="s">
        <v>400</v>
      </c>
      <c r="O60" s="1"/>
      <c r="P60" s="1"/>
      <c r="Q60" s="1"/>
      <c r="R60" s="1"/>
      <c r="S60" s="1" t="s">
        <v>35</v>
      </c>
      <c r="T60" s="1" t="s">
        <v>36</v>
      </c>
      <c r="U60" s="3" t="s">
        <v>401</v>
      </c>
      <c r="V60" s="1">
        <v>0</v>
      </c>
    </row>
    <row r="61" spans="1:22" ht="409.6">
      <c r="A61" s="1" t="s">
        <v>180</v>
      </c>
      <c r="B61" s="1" t="s">
        <v>111</v>
      </c>
      <c r="C61" s="1" t="s">
        <v>39</v>
      </c>
      <c r="D61" s="1" t="s">
        <v>24</v>
      </c>
      <c r="E61" s="1" t="s">
        <v>402</v>
      </c>
      <c r="F61" s="1" t="s">
        <v>26</v>
      </c>
      <c r="G61" s="1" t="s">
        <v>26</v>
      </c>
      <c r="H61" s="1" t="s">
        <v>396</v>
      </c>
      <c r="I61" s="1" t="s">
        <v>403</v>
      </c>
      <c r="J61" s="1" t="s">
        <v>29</v>
      </c>
      <c r="K61" s="1" t="s">
        <v>183</v>
      </c>
      <c r="L61" s="1" t="s">
        <v>404</v>
      </c>
      <c r="M61" s="1" t="s">
        <v>405</v>
      </c>
      <c r="N61" s="1" t="s">
        <v>400</v>
      </c>
      <c r="O61" s="1"/>
      <c r="P61" s="1"/>
      <c r="Q61" s="1"/>
      <c r="R61" s="1"/>
      <c r="S61" s="1" t="s">
        <v>35</v>
      </c>
      <c r="T61" s="1" t="s">
        <v>36</v>
      </c>
      <c r="U61" s="3" t="s">
        <v>401</v>
      </c>
      <c r="V61" s="1">
        <v>0</v>
      </c>
    </row>
    <row r="62" spans="1:22" ht="409.6">
      <c r="A62" s="1" t="s">
        <v>180</v>
      </c>
      <c r="B62" s="1" t="s">
        <v>111</v>
      </c>
      <c r="C62" s="1" t="s">
        <v>39</v>
      </c>
      <c r="D62" s="1" t="s">
        <v>24</v>
      </c>
      <c r="E62" s="1" t="s">
        <v>406</v>
      </c>
      <c r="F62" s="1" t="s">
        <v>26</v>
      </c>
      <c r="G62" s="1" t="s">
        <v>26</v>
      </c>
      <c r="H62" s="1" t="s">
        <v>396</v>
      </c>
      <c r="I62" s="1" t="s">
        <v>403</v>
      </c>
      <c r="J62" s="1" t="s">
        <v>29</v>
      </c>
      <c r="K62" s="1" t="s">
        <v>183</v>
      </c>
      <c r="L62" s="1" t="s">
        <v>407</v>
      </c>
      <c r="M62" s="1" t="s">
        <v>408</v>
      </c>
      <c r="N62" s="1" t="s">
        <v>400</v>
      </c>
      <c r="O62" s="1"/>
      <c r="P62" s="1"/>
      <c r="Q62" s="1"/>
      <c r="R62" s="1"/>
      <c r="S62" s="1" t="s">
        <v>35</v>
      </c>
      <c r="T62" s="1" t="s">
        <v>36</v>
      </c>
      <c r="U62" s="3" t="s">
        <v>401</v>
      </c>
      <c r="V62" s="1">
        <v>0</v>
      </c>
    </row>
    <row r="63" spans="1:22" ht="409.6">
      <c r="A63" s="1"/>
      <c r="B63" s="1" t="s">
        <v>38</v>
      </c>
      <c r="C63" s="1"/>
      <c r="D63" s="1" t="s">
        <v>212</v>
      </c>
      <c r="E63" s="1" t="s">
        <v>409</v>
      </c>
      <c r="F63" s="1"/>
      <c r="G63" s="1"/>
      <c r="H63" s="1"/>
      <c r="I63" s="1"/>
      <c r="J63" s="1"/>
      <c r="K63" s="1" t="s">
        <v>284</v>
      </c>
      <c r="L63" s="1" t="s">
        <v>410</v>
      </c>
      <c r="M63" s="1" t="s">
        <v>411</v>
      </c>
      <c r="N63" s="1" t="s">
        <v>412</v>
      </c>
      <c r="O63" s="1"/>
      <c r="P63" s="1"/>
      <c r="Q63" s="1"/>
      <c r="R63" s="1"/>
      <c r="S63" s="1"/>
      <c r="T63" s="1"/>
      <c r="U63" s="3" t="s">
        <v>413</v>
      </c>
      <c r="V63" s="1">
        <v>0</v>
      </c>
    </row>
    <row r="64" spans="1:22">
      <c r="A64" s="1"/>
      <c r="B64" s="1" t="s">
        <v>38</v>
      </c>
      <c r="C64" s="1"/>
      <c r="D64" s="1" t="s">
        <v>212</v>
      </c>
      <c r="E64" s="1" t="s">
        <v>414</v>
      </c>
      <c r="F64" s="1"/>
      <c r="G64" s="1"/>
      <c r="H64" s="1"/>
      <c r="I64" s="1"/>
      <c r="J64" s="1"/>
      <c r="K64" s="1" t="s">
        <v>284</v>
      </c>
      <c r="L64" s="1" t="s">
        <v>415</v>
      </c>
      <c r="M64" s="1" t="s">
        <v>416</v>
      </c>
      <c r="N64" s="1" t="s">
        <v>417</v>
      </c>
      <c r="O64" s="1"/>
      <c r="P64" s="1"/>
      <c r="Q64" s="1"/>
      <c r="R64" s="1"/>
      <c r="S64" s="1"/>
      <c r="T64" s="1"/>
      <c r="U64" s="1" t="s">
        <v>418</v>
      </c>
      <c r="V64" s="1">
        <v>0</v>
      </c>
    </row>
    <row r="65" spans="1:22" ht="409.6">
      <c r="A65" s="1"/>
      <c r="B65" s="1" t="s">
        <v>38</v>
      </c>
      <c r="C65" s="1"/>
      <c r="D65" s="1" t="s">
        <v>212</v>
      </c>
      <c r="E65" s="1" t="s">
        <v>419</v>
      </c>
      <c r="F65" s="1"/>
      <c r="G65" s="1"/>
      <c r="H65" s="1"/>
      <c r="I65" s="1"/>
      <c r="J65" s="1"/>
      <c r="K65" s="1" t="s">
        <v>284</v>
      </c>
      <c r="L65" s="1" t="s">
        <v>420</v>
      </c>
      <c r="M65" s="1" t="s">
        <v>421</v>
      </c>
      <c r="N65" s="1" t="s">
        <v>422</v>
      </c>
      <c r="O65" s="1"/>
      <c r="P65" s="1"/>
      <c r="Q65" s="1"/>
      <c r="R65" s="1"/>
      <c r="S65" s="1"/>
      <c r="T65" s="1"/>
      <c r="U65" s="3" t="s">
        <v>413</v>
      </c>
      <c r="V65" s="1">
        <v>0</v>
      </c>
    </row>
    <row r="66" spans="1:22" ht="409.6">
      <c r="A66" s="1"/>
      <c r="B66" s="1" t="s">
        <v>38</v>
      </c>
      <c r="C66" s="1"/>
      <c r="D66" s="1" t="s">
        <v>212</v>
      </c>
      <c r="E66" s="1" t="s">
        <v>423</v>
      </c>
      <c r="F66" s="1"/>
      <c r="G66" s="1"/>
      <c r="H66" s="1"/>
      <c r="I66" s="1"/>
      <c r="J66" s="1"/>
      <c r="K66" s="1" t="s">
        <v>284</v>
      </c>
      <c r="L66" s="1" t="s">
        <v>424</v>
      </c>
      <c r="M66" s="1" t="s">
        <v>425</v>
      </c>
      <c r="N66" s="3" t="s">
        <v>426</v>
      </c>
      <c r="O66" s="1"/>
      <c r="P66" s="1"/>
      <c r="Q66" s="1"/>
      <c r="R66" s="1"/>
      <c r="S66" s="1"/>
      <c r="T66" s="1"/>
      <c r="U66" s="3" t="s">
        <v>413</v>
      </c>
      <c r="V66" s="1">
        <v>0</v>
      </c>
    </row>
    <row r="67" spans="1:22" ht="409.6">
      <c r="A67" s="1"/>
      <c r="B67" s="1" t="s">
        <v>38</v>
      </c>
      <c r="C67" s="1"/>
      <c r="D67" s="1" t="s">
        <v>212</v>
      </c>
      <c r="E67" s="1" t="s">
        <v>427</v>
      </c>
      <c r="F67" s="1"/>
      <c r="G67" s="1"/>
      <c r="H67" s="1"/>
      <c r="I67" s="1"/>
      <c r="J67" s="1"/>
      <c r="K67" s="1" t="s">
        <v>284</v>
      </c>
      <c r="L67" s="1" t="s">
        <v>428</v>
      </c>
      <c r="M67" s="1" t="s">
        <v>429</v>
      </c>
      <c r="N67" s="3" t="s">
        <v>430</v>
      </c>
      <c r="O67" s="1"/>
      <c r="P67" s="1"/>
      <c r="Q67" s="1"/>
      <c r="R67" s="1"/>
      <c r="S67" s="1"/>
      <c r="T67" s="1"/>
      <c r="U67" s="3" t="s">
        <v>413</v>
      </c>
      <c r="V67" s="1">
        <v>0</v>
      </c>
    </row>
    <row r="68" spans="1:22" ht="409.6">
      <c r="A68" s="1"/>
      <c r="B68" s="1" t="s">
        <v>38</v>
      </c>
      <c r="C68" s="1"/>
      <c r="D68" s="1" t="s">
        <v>212</v>
      </c>
      <c r="E68" s="1" t="s">
        <v>431</v>
      </c>
      <c r="F68" s="1"/>
      <c r="G68" s="1"/>
      <c r="H68" s="1"/>
      <c r="I68" s="1"/>
      <c r="J68" s="1"/>
      <c r="K68" s="1" t="s">
        <v>284</v>
      </c>
      <c r="L68" s="1" t="s">
        <v>432</v>
      </c>
      <c r="M68" s="1" t="s">
        <v>433</v>
      </c>
      <c r="N68" s="3" t="s">
        <v>434</v>
      </c>
      <c r="O68" s="1"/>
      <c r="P68" s="1"/>
      <c r="Q68" s="1"/>
      <c r="R68" s="1"/>
      <c r="S68" s="1"/>
      <c r="T68" s="1"/>
      <c r="U68" s="3" t="s">
        <v>413</v>
      </c>
      <c r="V68" s="1">
        <v>0</v>
      </c>
    </row>
    <row r="69" spans="1:22" ht="409.6">
      <c r="A69" s="1"/>
      <c r="B69" s="1" t="s">
        <v>38</v>
      </c>
      <c r="C69" s="1"/>
      <c r="D69" s="1" t="s">
        <v>212</v>
      </c>
      <c r="E69" s="1" t="s">
        <v>435</v>
      </c>
      <c r="F69" s="1"/>
      <c r="G69" s="1"/>
      <c r="H69" s="1"/>
      <c r="I69" s="1"/>
      <c r="J69" s="1"/>
      <c r="K69" s="1" t="s">
        <v>284</v>
      </c>
      <c r="L69" s="1" t="s">
        <v>436</v>
      </c>
      <c r="M69" s="1" t="s">
        <v>437</v>
      </c>
      <c r="N69" s="3" t="s">
        <v>434</v>
      </c>
      <c r="O69" s="1"/>
      <c r="P69" s="1"/>
      <c r="Q69" s="1"/>
      <c r="R69" s="1"/>
      <c r="S69" s="1"/>
      <c r="T69" s="1"/>
      <c r="U69" s="3" t="s">
        <v>413</v>
      </c>
      <c r="V69" s="1">
        <v>0</v>
      </c>
    </row>
    <row r="70" spans="1:22" ht="409.6">
      <c r="A70" s="1"/>
      <c r="B70" s="1" t="s">
        <v>38</v>
      </c>
      <c r="C70" s="1"/>
      <c r="D70" s="1" t="s">
        <v>212</v>
      </c>
      <c r="E70" s="1" t="s">
        <v>438</v>
      </c>
      <c r="F70" s="1"/>
      <c r="G70" s="1"/>
      <c r="H70" s="1"/>
      <c r="I70" s="1"/>
      <c r="J70" s="1"/>
      <c r="K70" s="1" t="s">
        <v>284</v>
      </c>
      <c r="L70" s="1" t="s">
        <v>439</v>
      </c>
      <c r="M70" s="1" t="s">
        <v>440</v>
      </c>
      <c r="N70" s="3" t="s">
        <v>441</v>
      </c>
      <c r="O70" s="1"/>
      <c r="P70" s="1"/>
      <c r="Q70" s="1"/>
      <c r="R70" s="1"/>
      <c r="S70" s="1"/>
      <c r="T70" s="1"/>
      <c r="U70" s="3" t="s">
        <v>413</v>
      </c>
      <c r="V70" s="1">
        <v>0</v>
      </c>
    </row>
    <row r="71" spans="1:22" ht="409.6">
      <c r="A71" s="1"/>
      <c r="B71" s="1" t="s">
        <v>38</v>
      </c>
      <c r="C71" s="1"/>
      <c r="D71" s="1" t="s">
        <v>212</v>
      </c>
      <c r="E71" s="1" t="s">
        <v>442</v>
      </c>
      <c r="F71" s="1"/>
      <c r="G71" s="1"/>
      <c r="H71" s="1"/>
      <c r="I71" s="1"/>
      <c r="J71" s="1"/>
      <c r="K71" s="1" t="s">
        <v>284</v>
      </c>
      <c r="L71" s="1" t="s">
        <v>443</v>
      </c>
      <c r="M71" s="1" t="s">
        <v>444</v>
      </c>
      <c r="N71" s="1" t="s">
        <v>445</v>
      </c>
      <c r="O71" s="1"/>
      <c r="P71" s="1"/>
      <c r="Q71" s="1"/>
      <c r="R71" s="1"/>
      <c r="S71" s="1"/>
      <c r="T71" s="1"/>
      <c r="U71" s="3" t="s">
        <v>446</v>
      </c>
      <c r="V71" s="1">
        <v>0</v>
      </c>
    </row>
    <row r="72" spans="1:22" ht="409.6">
      <c r="A72" s="1"/>
      <c r="B72" s="1" t="s">
        <v>38</v>
      </c>
      <c r="C72" s="1"/>
      <c r="D72" s="1" t="s">
        <v>212</v>
      </c>
      <c r="E72" s="1" t="s">
        <v>447</v>
      </c>
      <c r="F72" s="1"/>
      <c r="G72" s="1"/>
      <c r="H72" s="1"/>
      <c r="I72" s="1"/>
      <c r="J72" s="1"/>
      <c r="K72" s="1" t="s">
        <v>284</v>
      </c>
      <c r="L72" s="1" t="s">
        <v>448</v>
      </c>
      <c r="M72" s="1" t="s">
        <v>449</v>
      </c>
      <c r="N72" s="1" t="s">
        <v>445</v>
      </c>
      <c r="O72" s="1"/>
      <c r="P72" s="1"/>
      <c r="Q72" s="1"/>
      <c r="R72" s="1"/>
      <c r="S72" s="1"/>
      <c r="T72" s="1"/>
      <c r="U72" s="3" t="s">
        <v>446</v>
      </c>
      <c r="V72" s="1">
        <v>0</v>
      </c>
    </row>
    <row r="73" spans="1:22" ht="409.6">
      <c r="A73" s="1"/>
      <c r="B73" s="1" t="s">
        <v>38</v>
      </c>
      <c r="C73" s="1"/>
      <c r="D73" s="1" t="s">
        <v>212</v>
      </c>
      <c r="E73" s="1" t="s">
        <v>450</v>
      </c>
      <c r="F73" s="1"/>
      <c r="G73" s="1"/>
      <c r="H73" s="1"/>
      <c r="I73" s="1"/>
      <c r="J73" s="1"/>
      <c r="K73" s="1" t="s">
        <v>284</v>
      </c>
      <c r="L73" s="1" t="s">
        <v>451</v>
      </c>
      <c r="M73" s="1" t="s">
        <v>452</v>
      </c>
      <c r="N73" s="1" t="s">
        <v>445</v>
      </c>
      <c r="O73" s="1"/>
      <c r="P73" s="1"/>
      <c r="Q73" s="1"/>
      <c r="R73" s="1"/>
      <c r="S73" s="1"/>
      <c r="T73" s="1"/>
      <c r="U73" s="3" t="s">
        <v>446</v>
      </c>
      <c r="V73" s="1">
        <v>0</v>
      </c>
    </row>
    <row r="74" spans="1:22" ht="409.6">
      <c r="A74" s="1"/>
      <c r="B74" s="1" t="s">
        <v>38</v>
      </c>
      <c r="C74" s="1"/>
      <c r="D74" s="1" t="s">
        <v>212</v>
      </c>
      <c r="E74" s="1" t="s">
        <v>453</v>
      </c>
      <c r="F74" s="1"/>
      <c r="G74" s="1"/>
      <c r="H74" s="1"/>
      <c r="I74" s="1"/>
      <c r="J74" s="1"/>
      <c r="K74" s="1" t="s">
        <v>284</v>
      </c>
      <c r="L74" s="1" t="s">
        <v>454</v>
      </c>
      <c r="M74" s="1" t="s">
        <v>455</v>
      </c>
      <c r="N74" s="1" t="s">
        <v>456</v>
      </c>
      <c r="O74" s="1"/>
      <c r="P74" s="1"/>
      <c r="Q74" s="1"/>
      <c r="R74" s="1"/>
      <c r="S74" s="1"/>
      <c r="T74" s="1"/>
      <c r="U74" s="3" t="s">
        <v>446</v>
      </c>
      <c r="V74" s="1">
        <v>0</v>
      </c>
    </row>
    <row r="75" spans="1:22" ht="409.6">
      <c r="A75" s="1"/>
      <c r="B75" s="1" t="s">
        <v>38</v>
      </c>
      <c r="C75" s="1"/>
      <c r="D75" s="1" t="s">
        <v>212</v>
      </c>
      <c r="E75" s="1" t="s">
        <v>457</v>
      </c>
      <c r="F75" s="1"/>
      <c r="G75" s="1"/>
      <c r="H75" s="1"/>
      <c r="I75" s="1"/>
      <c r="J75" s="1"/>
      <c r="K75" s="1" t="s">
        <v>284</v>
      </c>
      <c r="L75" s="1" t="s">
        <v>458</v>
      </c>
      <c r="M75" s="1" t="s">
        <v>459</v>
      </c>
      <c r="N75" s="1" t="s">
        <v>460</v>
      </c>
      <c r="O75" s="1"/>
      <c r="P75" s="1"/>
      <c r="Q75" s="1"/>
      <c r="R75" s="1"/>
      <c r="S75" s="1"/>
      <c r="T75" s="1"/>
      <c r="U75" s="3" t="s">
        <v>461</v>
      </c>
      <c r="V75" s="1">
        <v>0</v>
      </c>
    </row>
    <row r="76" spans="1:22" ht="409.6">
      <c r="A76" s="1"/>
      <c r="B76" s="1" t="s">
        <v>38</v>
      </c>
      <c r="C76" s="1"/>
      <c r="D76" s="1" t="s">
        <v>212</v>
      </c>
      <c r="E76" s="1" t="s">
        <v>462</v>
      </c>
      <c r="F76" s="1"/>
      <c r="G76" s="1"/>
      <c r="H76" s="1"/>
      <c r="I76" s="1"/>
      <c r="J76" s="1"/>
      <c r="K76" s="1" t="s">
        <v>284</v>
      </c>
      <c r="L76" s="1" t="s">
        <v>463</v>
      </c>
      <c r="M76" s="1" t="s">
        <v>464</v>
      </c>
      <c r="N76" s="1" t="s">
        <v>460</v>
      </c>
      <c r="O76" s="1"/>
      <c r="P76" s="1"/>
      <c r="Q76" s="1"/>
      <c r="R76" s="1"/>
      <c r="S76" s="1"/>
      <c r="T76" s="1"/>
      <c r="U76" s="3" t="s">
        <v>461</v>
      </c>
      <c r="V76" s="1">
        <v>0</v>
      </c>
    </row>
    <row r="77" spans="1:22" ht="409.6">
      <c r="A77" s="1"/>
      <c r="B77" s="1" t="s">
        <v>38</v>
      </c>
      <c r="C77" s="1"/>
      <c r="D77" s="1" t="s">
        <v>212</v>
      </c>
      <c r="E77" s="1" t="s">
        <v>465</v>
      </c>
      <c r="F77" s="1"/>
      <c r="G77" s="1"/>
      <c r="H77" s="1"/>
      <c r="I77" s="1"/>
      <c r="J77" s="1"/>
      <c r="K77" s="1" t="s">
        <v>284</v>
      </c>
      <c r="L77" s="1" t="s">
        <v>466</v>
      </c>
      <c r="M77" s="1" t="s">
        <v>467</v>
      </c>
      <c r="N77" s="1" t="s">
        <v>468</v>
      </c>
      <c r="O77" s="1"/>
      <c r="P77" s="1"/>
      <c r="Q77" s="1"/>
      <c r="R77" s="1"/>
      <c r="S77" s="1"/>
      <c r="T77" s="1"/>
      <c r="U77" s="3" t="s">
        <v>352</v>
      </c>
      <c r="V77" s="1">
        <v>0</v>
      </c>
    </row>
    <row r="78" spans="1:22" ht="409.6">
      <c r="A78" s="1"/>
      <c r="B78" s="1" t="s">
        <v>38</v>
      </c>
      <c r="C78" s="1"/>
      <c r="D78" s="1" t="s">
        <v>212</v>
      </c>
      <c r="E78" s="1" t="s">
        <v>469</v>
      </c>
      <c r="F78" s="1"/>
      <c r="G78" s="1"/>
      <c r="H78" s="1"/>
      <c r="I78" s="1"/>
      <c r="J78" s="1"/>
      <c r="K78" s="1" t="s">
        <v>284</v>
      </c>
      <c r="L78" s="1" t="s">
        <v>470</v>
      </c>
      <c r="M78" s="1" t="s">
        <v>471</v>
      </c>
      <c r="N78" s="1" t="s">
        <v>468</v>
      </c>
      <c r="O78" s="1"/>
      <c r="P78" s="1"/>
      <c r="Q78" s="1"/>
      <c r="R78" s="1"/>
      <c r="S78" s="1"/>
      <c r="T78" s="1"/>
      <c r="U78" s="3" t="s">
        <v>352</v>
      </c>
      <c r="V78" s="1">
        <v>0</v>
      </c>
    </row>
    <row r="79" spans="1:22" ht="409.6">
      <c r="A79" s="1"/>
      <c r="B79" s="1" t="s">
        <v>38</v>
      </c>
      <c r="C79" s="1"/>
      <c r="D79" s="1" t="s">
        <v>212</v>
      </c>
      <c r="E79" s="1" t="s">
        <v>472</v>
      </c>
      <c r="F79" s="1"/>
      <c r="G79" s="1"/>
      <c r="H79" s="1"/>
      <c r="I79" s="1"/>
      <c r="J79" s="1"/>
      <c r="K79" s="1" t="s">
        <v>284</v>
      </c>
      <c r="L79" s="1" t="s">
        <v>473</v>
      </c>
      <c r="M79" s="1" t="s">
        <v>474</v>
      </c>
      <c r="N79" s="1" t="s">
        <v>468</v>
      </c>
      <c r="O79" s="1"/>
      <c r="P79" s="1"/>
      <c r="Q79" s="1"/>
      <c r="R79" s="1"/>
      <c r="S79" s="1"/>
      <c r="T79" s="1"/>
      <c r="U79" s="3" t="s">
        <v>352</v>
      </c>
      <c r="V79" s="1">
        <v>0</v>
      </c>
    </row>
    <row r="80" spans="1:22" ht="409.6">
      <c r="A80" s="1"/>
      <c r="B80" s="1" t="s">
        <v>38</v>
      </c>
      <c r="C80" s="1"/>
      <c r="D80" s="1" t="s">
        <v>212</v>
      </c>
      <c r="E80" s="1" t="s">
        <v>475</v>
      </c>
      <c r="F80" s="1"/>
      <c r="G80" s="1"/>
      <c r="H80" s="1"/>
      <c r="I80" s="1"/>
      <c r="J80" s="1"/>
      <c r="K80" s="1" t="s">
        <v>284</v>
      </c>
      <c r="L80" s="1" t="s">
        <v>476</v>
      </c>
      <c r="M80" s="1" t="s">
        <v>477</v>
      </c>
      <c r="N80" s="1" t="s">
        <v>468</v>
      </c>
      <c r="O80" s="1"/>
      <c r="P80" s="1"/>
      <c r="Q80" s="1"/>
      <c r="R80" s="1"/>
      <c r="S80" s="1"/>
      <c r="T80" s="1"/>
      <c r="U80" s="3" t="s">
        <v>352</v>
      </c>
      <c r="V80" s="1">
        <v>0</v>
      </c>
    </row>
    <row r="81" spans="1:22" ht="409.6">
      <c r="A81" s="1"/>
      <c r="B81" s="1" t="s">
        <v>38</v>
      </c>
      <c r="C81" s="1"/>
      <c r="D81" s="1" t="s">
        <v>212</v>
      </c>
      <c r="E81" s="1" t="s">
        <v>478</v>
      </c>
      <c r="F81" s="1"/>
      <c r="G81" s="1"/>
      <c r="H81" s="1"/>
      <c r="I81" s="1"/>
      <c r="J81" s="1"/>
      <c r="K81" s="1" t="s">
        <v>284</v>
      </c>
      <c r="L81" s="1" t="s">
        <v>479</v>
      </c>
      <c r="M81" s="1" t="s">
        <v>480</v>
      </c>
      <c r="N81" s="1" t="s">
        <v>468</v>
      </c>
      <c r="O81" s="1"/>
      <c r="P81" s="1"/>
      <c r="Q81" s="1"/>
      <c r="R81" s="1"/>
      <c r="S81" s="1"/>
      <c r="T81" s="1"/>
      <c r="U81" s="3" t="s">
        <v>352</v>
      </c>
      <c r="V81" s="1">
        <v>0</v>
      </c>
    </row>
    <row r="82" spans="1:22" ht="409.6">
      <c r="A82" s="1"/>
      <c r="B82" s="1" t="s">
        <v>38</v>
      </c>
      <c r="C82" s="1"/>
      <c r="D82" s="1" t="s">
        <v>212</v>
      </c>
      <c r="E82" s="1" t="s">
        <v>481</v>
      </c>
      <c r="F82" s="1"/>
      <c r="G82" s="1"/>
      <c r="H82" s="1"/>
      <c r="I82" s="1"/>
      <c r="J82" s="1"/>
      <c r="K82" s="1" t="s">
        <v>284</v>
      </c>
      <c r="L82" s="1" t="s">
        <v>482</v>
      </c>
      <c r="M82" s="1" t="s">
        <v>483</v>
      </c>
      <c r="N82" s="1" t="s">
        <v>468</v>
      </c>
      <c r="O82" s="1"/>
      <c r="P82" s="1"/>
      <c r="Q82" s="1"/>
      <c r="R82" s="1"/>
      <c r="S82" s="1"/>
      <c r="T82" s="1"/>
      <c r="U82" s="3" t="s">
        <v>352</v>
      </c>
      <c r="V82" s="1">
        <v>0</v>
      </c>
    </row>
    <row r="83" spans="1:22" ht="409.6">
      <c r="A83" s="1"/>
      <c r="B83" s="1" t="s">
        <v>38</v>
      </c>
      <c r="C83" s="1"/>
      <c r="D83" s="1" t="s">
        <v>212</v>
      </c>
      <c r="E83" s="1" t="s">
        <v>484</v>
      </c>
      <c r="F83" s="1"/>
      <c r="G83" s="1"/>
      <c r="H83" s="1"/>
      <c r="I83" s="1"/>
      <c r="J83" s="1"/>
      <c r="K83" s="1" t="s">
        <v>284</v>
      </c>
      <c r="L83" s="1" t="s">
        <v>485</v>
      </c>
      <c r="M83" s="1" t="s">
        <v>486</v>
      </c>
      <c r="N83" s="1" t="s">
        <v>468</v>
      </c>
      <c r="O83" s="1"/>
      <c r="P83" s="1"/>
      <c r="Q83" s="1"/>
      <c r="R83" s="1"/>
      <c r="S83" s="1"/>
      <c r="T83" s="1"/>
      <c r="U83" s="3" t="s">
        <v>352</v>
      </c>
      <c r="V83" s="1">
        <v>0</v>
      </c>
    </row>
    <row r="84" spans="1:22" ht="409.6">
      <c r="A84" s="1"/>
      <c r="B84" s="1" t="s">
        <v>38</v>
      </c>
      <c r="C84" s="1"/>
      <c r="D84" s="1" t="s">
        <v>212</v>
      </c>
      <c r="E84" s="1" t="s">
        <v>487</v>
      </c>
      <c r="F84" s="1"/>
      <c r="G84" s="1"/>
      <c r="H84" s="1"/>
      <c r="I84" s="1"/>
      <c r="J84" s="1"/>
      <c r="K84" s="1" t="s">
        <v>284</v>
      </c>
      <c r="L84" s="1" t="s">
        <v>488</v>
      </c>
      <c r="M84" s="1" t="s">
        <v>489</v>
      </c>
      <c r="N84" s="1" t="s">
        <v>460</v>
      </c>
      <c r="O84" s="1"/>
      <c r="P84" s="1"/>
      <c r="Q84" s="1"/>
      <c r="R84" s="1"/>
      <c r="S84" s="1"/>
      <c r="T84" s="1"/>
      <c r="U84" s="3" t="s">
        <v>490</v>
      </c>
      <c r="V84" s="1">
        <v>0</v>
      </c>
    </row>
    <row r="85" spans="1:22" ht="409.6">
      <c r="A85" s="1"/>
      <c r="B85" s="1" t="s">
        <v>38</v>
      </c>
      <c r="C85" s="1"/>
      <c r="D85" s="1" t="s">
        <v>212</v>
      </c>
      <c r="E85" s="1" t="s">
        <v>491</v>
      </c>
      <c r="F85" s="1"/>
      <c r="G85" s="1"/>
      <c r="H85" s="1"/>
      <c r="I85" s="1"/>
      <c r="J85" s="1"/>
      <c r="K85" s="1" t="s">
        <v>284</v>
      </c>
      <c r="L85" s="1" t="s">
        <v>492</v>
      </c>
      <c r="M85" s="1" t="s">
        <v>493</v>
      </c>
      <c r="N85" s="1" t="s">
        <v>468</v>
      </c>
      <c r="O85" s="1"/>
      <c r="P85" s="1"/>
      <c r="Q85" s="1"/>
      <c r="R85" s="1"/>
      <c r="S85" s="1"/>
      <c r="T85" s="1"/>
      <c r="U85" s="3" t="s">
        <v>352</v>
      </c>
      <c r="V85" s="1">
        <v>0</v>
      </c>
    </row>
    <row r="86" spans="1:22" ht="409.6">
      <c r="A86" s="1"/>
      <c r="B86" s="1" t="s">
        <v>38</v>
      </c>
      <c r="C86" s="1"/>
      <c r="D86" s="1" t="s">
        <v>212</v>
      </c>
      <c r="E86" s="1" t="s">
        <v>494</v>
      </c>
      <c r="F86" s="1"/>
      <c r="G86" s="1"/>
      <c r="H86" s="1"/>
      <c r="I86" s="1"/>
      <c r="J86" s="1"/>
      <c r="K86" s="1" t="s">
        <v>284</v>
      </c>
      <c r="L86" s="1" t="s">
        <v>495</v>
      </c>
      <c r="M86" s="1" t="s">
        <v>496</v>
      </c>
      <c r="N86" s="1" t="s">
        <v>468</v>
      </c>
      <c r="O86" s="1"/>
      <c r="P86" s="1"/>
      <c r="Q86" s="1"/>
      <c r="R86" s="1"/>
      <c r="S86" s="1"/>
      <c r="T86" s="1"/>
      <c r="U86" s="3" t="s">
        <v>352</v>
      </c>
      <c r="V86" s="1">
        <v>0</v>
      </c>
    </row>
    <row r="87" spans="1:22" ht="409.6">
      <c r="A87" s="1"/>
      <c r="B87" s="1" t="s">
        <v>38</v>
      </c>
      <c r="C87" s="1"/>
      <c r="D87" s="1" t="s">
        <v>212</v>
      </c>
      <c r="E87" s="1" t="s">
        <v>497</v>
      </c>
      <c r="F87" s="1"/>
      <c r="G87" s="1"/>
      <c r="H87" s="1"/>
      <c r="I87" s="1"/>
      <c r="J87" s="1"/>
      <c r="K87" s="1" t="s">
        <v>284</v>
      </c>
      <c r="L87" s="1" t="s">
        <v>498</v>
      </c>
      <c r="M87" s="1" t="s">
        <v>499</v>
      </c>
      <c r="N87" s="1" t="s">
        <v>500</v>
      </c>
      <c r="O87" s="1"/>
      <c r="P87" s="1"/>
      <c r="Q87" s="1"/>
      <c r="R87" s="1"/>
      <c r="S87" s="1"/>
      <c r="T87" s="1"/>
      <c r="U87" s="3" t="s">
        <v>172</v>
      </c>
      <c r="V87" s="1">
        <v>0</v>
      </c>
    </row>
    <row r="88" spans="1:22" ht="409.6">
      <c r="A88" s="1"/>
      <c r="B88" s="1" t="s">
        <v>38</v>
      </c>
      <c r="C88" s="1"/>
      <c r="D88" s="1" t="s">
        <v>212</v>
      </c>
      <c r="E88" s="1" t="s">
        <v>501</v>
      </c>
      <c r="F88" s="1"/>
      <c r="G88" s="1"/>
      <c r="H88" s="1"/>
      <c r="I88" s="1"/>
      <c r="J88" s="1"/>
      <c r="K88" s="1" t="s">
        <v>284</v>
      </c>
      <c r="L88" s="1" t="s">
        <v>502</v>
      </c>
      <c r="M88" s="1" t="s">
        <v>503</v>
      </c>
      <c r="N88" s="3" t="s">
        <v>504</v>
      </c>
      <c r="O88" s="1"/>
      <c r="P88" s="1"/>
      <c r="Q88" s="1"/>
      <c r="R88" s="1"/>
      <c r="S88" s="1"/>
      <c r="T88" s="1"/>
      <c r="U88" s="3" t="s">
        <v>505</v>
      </c>
      <c r="V88" s="1">
        <v>0</v>
      </c>
    </row>
    <row r="89" spans="1:22" ht="409.6">
      <c r="A89" s="1"/>
      <c r="B89" s="1" t="s">
        <v>38</v>
      </c>
      <c r="C89" s="1"/>
      <c r="D89" s="1" t="s">
        <v>212</v>
      </c>
      <c r="E89" s="1" t="s">
        <v>506</v>
      </c>
      <c r="F89" s="1"/>
      <c r="G89" s="1"/>
      <c r="H89" s="1"/>
      <c r="I89" s="1"/>
      <c r="J89" s="1"/>
      <c r="K89" s="1" t="s">
        <v>284</v>
      </c>
      <c r="L89" s="1" t="s">
        <v>507</v>
      </c>
      <c r="M89" s="1" t="s">
        <v>508</v>
      </c>
      <c r="N89" s="1" t="s">
        <v>509</v>
      </c>
      <c r="O89" s="1"/>
      <c r="P89" s="1"/>
      <c r="Q89" s="1"/>
      <c r="R89" s="1"/>
      <c r="S89" s="1"/>
      <c r="T89" s="1"/>
      <c r="U89" s="3" t="s">
        <v>510</v>
      </c>
      <c r="V89" s="1">
        <v>0</v>
      </c>
    </row>
    <row r="90" spans="1:22" ht="409.6">
      <c r="A90" s="1"/>
      <c r="B90" s="1" t="s">
        <v>38</v>
      </c>
      <c r="C90" s="1"/>
      <c r="D90" s="1" t="s">
        <v>212</v>
      </c>
      <c r="E90" s="1" t="s">
        <v>511</v>
      </c>
      <c r="F90" s="1"/>
      <c r="G90" s="1"/>
      <c r="H90" s="1"/>
      <c r="I90" s="1"/>
      <c r="J90" s="1"/>
      <c r="K90" s="1" t="s">
        <v>284</v>
      </c>
      <c r="L90" s="1" t="s">
        <v>512</v>
      </c>
      <c r="M90" s="1" t="s">
        <v>513</v>
      </c>
      <c r="N90" s="1" t="s">
        <v>514</v>
      </c>
      <c r="O90" s="1"/>
      <c r="P90" s="1"/>
      <c r="Q90" s="1"/>
      <c r="R90" s="1"/>
      <c r="S90" s="1"/>
      <c r="T90" s="1"/>
      <c r="U90" s="3" t="s">
        <v>515</v>
      </c>
      <c r="V90" s="1">
        <v>0</v>
      </c>
    </row>
    <row r="91" spans="1:22" ht="409.6">
      <c r="A91" s="1"/>
      <c r="B91" s="1" t="s">
        <v>38</v>
      </c>
      <c r="C91" s="1"/>
      <c r="D91" s="1" t="s">
        <v>212</v>
      </c>
      <c r="E91" s="1" t="s">
        <v>516</v>
      </c>
      <c r="F91" s="1"/>
      <c r="G91" s="1"/>
      <c r="H91" s="1"/>
      <c r="I91" s="1"/>
      <c r="J91" s="1"/>
      <c r="K91" s="1" t="s">
        <v>284</v>
      </c>
      <c r="L91" s="1" t="s">
        <v>517</v>
      </c>
      <c r="M91" s="1" t="s">
        <v>518</v>
      </c>
      <c r="N91" s="1" t="s">
        <v>519</v>
      </c>
      <c r="O91" s="1"/>
      <c r="P91" s="1"/>
      <c r="Q91" s="1"/>
      <c r="R91" s="1"/>
      <c r="S91" s="1"/>
      <c r="T91" s="1"/>
      <c r="U91" s="3" t="s">
        <v>172</v>
      </c>
      <c r="V91" s="1">
        <v>0</v>
      </c>
    </row>
    <row r="92" spans="1:22" ht="409.6">
      <c r="A92" s="1"/>
      <c r="B92" s="1" t="s">
        <v>38</v>
      </c>
      <c r="C92" s="1"/>
      <c r="D92" s="1" t="s">
        <v>212</v>
      </c>
      <c r="E92" s="1" t="s">
        <v>520</v>
      </c>
      <c r="F92" s="1"/>
      <c r="G92" s="1"/>
      <c r="H92" s="1"/>
      <c r="I92" s="1"/>
      <c r="J92" s="1"/>
      <c r="K92" s="1" t="s">
        <v>284</v>
      </c>
      <c r="L92" s="1" t="s">
        <v>521</v>
      </c>
      <c r="M92" s="1" t="s">
        <v>522</v>
      </c>
      <c r="N92" s="1" t="s">
        <v>468</v>
      </c>
      <c r="O92" s="1"/>
      <c r="P92" s="1"/>
      <c r="Q92" s="1"/>
      <c r="R92" s="1"/>
      <c r="S92" s="1"/>
      <c r="T92" s="1"/>
      <c r="U92" s="3" t="s">
        <v>352</v>
      </c>
      <c r="V92" s="1">
        <v>0</v>
      </c>
    </row>
    <row r="93" spans="1:22" ht="409.6">
      <c r="A93" s="1"/>
      <c r="B93" s="1" t="s">
        <v>38</v>
      </c>
      <c r="C93" s="1"/>
      <c r="D93" s="1" t="s">
        <v>212</v>
      </c>
      <c r="E93" s="1" t="s">
        <v>523</v>
      </c>
      <c r="F93" s="1"/>
      <c r="G93" s="1"/>
      <c r="H93" s="1"/>
      <c r="I93" s="1"/>
      <c r="J93" s="1"/>
      <c r="K93" s="1" t="s">
        <v>284</v>
      </c>
      <c r="L93" s="1" t="s">
        <v>524</v>
      </c>
      <c r="M93" s="1" t="s">
        <v>525</v>
      </c>
      <c r="N93" s="3" t="s">
        <v>526</v>
      </c>
      <c r="O93" s="1"/>
      <c r="P93" s="1"/>
      <c r="Q93" s="1"/>
      <c r="R93" s="1"/>
      <c r="S93" s="1"/>
      <c r="T93" s="1"/>
      <c r="U93" s="3" t="s">
        <v>527</v>
      </c>
      <c r="V93" s="1">
        <v>0</v>
      </c>
    </row>
    <row r="94" spans="1:22" ht="409.6">
      <c r="A94" s="1"/>
      <c r="B94" s="1" t="s">
        <v>38</v>
      </c>
      <c r="C94" s="1"/>
      <c r="D94" s="1" t="s">
        <v>212</v>
      </c>
      <c r="E94" s="1" t="s">
        <v>528</v>
      </c>
      <c r="F94" s="1"/>
      <c r="G94" s="1"/>
      <c r="H94" s="1"/>
      <c r="I94" s="1"/>
      <c r="J94" s="1"/>
      <c r="K94" s="1" t="s">
        <v>284</v>
      </c>
      <c r="L94" s="1" t="s">
        <v>529</v>
      </c>
      <c r="M94" s="1" t="s">
        <v>530</v>
      </c>
      <c r="N94" s="1" t="s">
        <v>531</v>
      </c>
      <c r="O94" s="1"/>
      <c r="P94" s="1"/>
      <c r="Q94" s="1"/>
      <c r="R94" s="1"/>
      <c r="S94" s="1"/>
      <c r="T94" s="1"/>
      <c r="U94" s="3" t="s">
        <v>172</v>
      </c>
      <c r="V94" s="1">
        <v>0</v>
      </c>
    </row>
    <row r="95" spans="1:22" ht="409.6">
      <c r="A95" s="1"/>
      <c r="B95" s="1" t="s">
        <v>38</v>
      </c>
      <c r="C95" s="1"/>
      <c r="D95" s="1" t="s">
        <v>212</v>
      </c>
      <c r="E95" s="1" t="s">
        <v>532</v>
      </c>
      <c r="F95" s="1"/>
      <c r="G95" s="1"/>
      <c r="H95" s="1"/>
      <c r="I95" s="1"/>
      <c r="J95" s="1"/>
      <c r="K95" s="1" t="s">
        <v>284</v>
      </c>
      <c r="L95" s="1" t="s">
        <v>533</v>
      </c>
      <c r="M95" s="1" t="s">
        <v>534</v>
      </c>
      <c r="N95" s="3" t="s">
        <v>535</v>
      </c>
      <c r="O95" s="1"/>
      <c r="P95" s="1"/>
      <c r="Q95" s="1"/>
      <c r="R95" s="1"/>
      <c r="S95" s="1"/>
      <c r="T95" s="1"/>
      <c r="U95" s="3" t="s">
        <v>461</v>
      </c>
      <c r="V95" s="1">
        <v>0</v>
      </c>
    </row>
    <row r="96" spans="1:22" ht="409.6">
      <c r="A96" s="1"/>
      <c r="B96" s="1" t="s">
        <v>38</v>
      </c>
      <c r="C96" s="1"/>
      <c r="D96" s="1" t="s">
        <v>212</v>
      </c>
      <c r="E96" s="1" t="s">
        <v>536</v>
      </c>
      <c r="F96" s="1"/>
      <c r="G96" s="1"/>
      <c r="H96" s="1"/>
      <c r="I96" s="1"/>
      <c r="J96" s="1"/>
      <c r="K96" s="1" t="s">
        <v>284</v>
      </c>
      <c r="L96" s="1" t="s">
        <v>537</v>
      </c>
      <c r="M96" s="1" t="s">
        <v>538</v>
      </c>
      <c r="N96" s="1" t="s">
        <v>539</v>
      </c>
      <c r="O96" s="1"/>
      <c r="P96" s="1"/>
      <c r="Q96" s="1"/>
      <c r="R96" s="1"/>
      <c r="S96" s="1"/>
      <c r="T96" s="1"/>
      <c r="U96" s="3" t="s">
        <v>413</v>
      </c>
      <c r="V96" s="1">
        <v>0</v>
      </c>
    </row>
    <row r="97" spans="1:22" ht="409.6">
      <c r="A97" s="1"/>
      <c r="B97" s="1" t="s">
        <v>38</v>
      </c>
      <c r="C97" s="1"/>
      <c r="D97" s="1" t="s">
        <v>212</v>
      </c>
      <c r="E97" s="1" t="s">
        <v>540</v>
      </c>
      <c r="F97" s="1"/>
      <c r="G97" s="1"/>
      <c r="H97" s="1"/>
      <c r="I97" s="1"/>
      <c r="J97" s="1"/>
      <c r="K97" s="1" t="s">
        <v>284</v>
      </c>
      <c r="L97" s="1" t="s">
        <v>541</v>
      </c>
      <c r="M97" s="1" t="s">
        <v>542</v>
      </c>
      <c r="N97" s="3" t="s">
        <v>543</v>
      </c>
      <c r="O97" s="1"/>
      <c r="P97" s="1"/>
      <c r="Q97" s="1"/>
      <c r="R97" s="1"/>
      <c r="S97" s="1"/>
      <c r="T97" s="1"/>
      <c r="U97" s="3" t="s">
        <v>544</v>
      </c>
      <c r="V97" s="1">
        <v>0</v>
      </c>
    </row>
    <row r="98" spans="1:22" ht="409.6">
      <c r="A98" s="1"/>
      <c r="B98" s="1" t="s">
        <v>38</v>
      </c>
      <c r="C98" s="1"/>
      <c r="D98" s="1" t="s">
        <v>212</v>
      </c>
      <c r="E98" s="1" t="s">
        <v>545</v>
      </c>
      <c r="F98" s="1"/>
      <c r="G98" s="1"/>
      <c r="H98" s="1"/>
      <c r="I98" s="1"/>
      <c r="J98" s="1"/>
      <c r="K98" s="1" t="s">
        <v>284</v>
      </c>
      <c r="L98" s="1" t="s">
        <v>546</v>
      </c>
      <c r="M98" s="1" t="s">
        <v>547</v>
      </c>
      <c r="N98" s="3" t="s">
        <v>548</v>
      </c>
      <c r="O98" s="1"/>
      <c r="P98" s="1"/>
      <c r="Q98" s="1"/>
      <c r="R98" s="1"/>
      <c r="S98" s="1"/>
      <c r="T98" s="1"/>
      <c r="U98" s="3" t="s">
        <v>544</v>
      </c>
      <c r="V98" s="1">
        <v>0</v>
      </c>
    </row>
    <row r="99" spans="1:22" ht="409.6">
      <c r="A99" s="1"/>
      <c r="B99" s="1" t="s">
        <v>38</v>
      </c>
      <c r="C99" s="1"/>
      <c r="D99" s="1" t="s">
        <v>212</v>
      </c>
      <c r="E99" s="1" t="s">
        <v>549</v>
      </c>
      <c r="F99" s="1"/>
      <c r="G99" s="1"/>
      <c r="H99" s="1"/>
      <c r="I99" s="1"/>
      <c r="J99" s="1"/>
      <c r="K99" s="1" t="s">
        <v>284</v>
      </c>
      <c r="L99" s="1" t="s">
        <v>550</v>
      </c>
      <c r="M99" s="1" t="s">
        <v>551</v>
      </c>
      <c r="N99" s="1" t="s">
        <v>552</v>
      </c>
      <c r="O99" s="1"/>
      <c r="P99" s="1"/>
      <c r="Q99" s="1"/>
      <c r="R99" s="1"/>
      <c r="S99" s="1"/>
      <c r="T99" s="1"/>
      <c r="U99" s="3" t="s">
        <v>553</v>
      </c>
      <c r="V99" s="1">
        <v>0</v>
      </c>
    </row>
    <row r="100" spans="1:22" ht="409.6">
      <c r="A100" s="1"/>
      <c r="B100" s="1" t="s">
        <v>38</v>
      </c>
      <c r="C100" s="1"/>
      <c r="D100" s="1" t="s">
        <v>212</v>
      </c>
      <c r="E100" s="1" t="s">
        <v>554</v>
      </c>
      <c r="F100" s="1"/>
      <c r="G100" s="1"/>
      <c r="H100" s="1"/>
      <c r="I100" s="1"/>
      <c r="J100" s="1"/>
      <c r="K100" s="1" t="s">
        <v>284</v>
      </c>
      <c r="L100" s="1" t="s">
        <v>555</v>
      </c>
      <c r="M100" s="1" t="s">
        <v>556</v>
      </c>
      <c r="N100" s="1" t="s">
        <v>557</v>
      </c>
      <c r="O100" s="1"/>
      <c r="P100" s="1"/>
      <c r="Q100" s="1"/>
      <c r="R100" s="1"/>
      <c r="S100" s="1"/>
      <c r="T100" s="1"/>
      <c r="U100" s="3" t="s">
        <v>553</v>
      </c>
      <c r="V100" s="1">
        <v>0</v>
      </c>
    </row>
    <row r="101" spans="1:22" ht="409.6">
      <c r="A101" s="1"/>
      <c r="B101" s="1" t="s">
        <v>38</v>
      </c>
      <c r="C101" s="1"/>
      <c r="D101" s="1" t="s">
        <v>212</v>
      </c>
      <c r="E101" s="1" t="s">
        <v>558</v>
      </c>
      <c r="F101" s="1"/>
      <c r="G101" s="1"/>
      <c r="H101" s="1"/>
      <c r="I101" s="1"/>
      <c r="J101" s="1"/>
      <c r="K101" s="1" t="s">
        <v>284</v>
      </c>
      <c r="L101" s="1" t="s">
        <v>559</v>
      </c>
      <c r="M101" s="1" t="s">
        <v>560</v>
      </c>
      <c r="N101" s="1" t="s">
        <v>561</v>
      </c>
      <c r="O101" s="1"/>
      <c r="P101" s="1"/>
      <c r="Q101" s="1"/>
      <c r="R101" s="1"/>
      <c r="S101" s="1"/>
      <c r="T101" s="1"/>
      <c r="U101" s="3" t="s">
        <v>413</v>
      </c>
      <c r="V101" s="1">
        <v>0</v>
      </c>
    </row>
    <row r="102" spans="1:22">
      <c r="A102" s="1" t="s">
        <v>562</v>
      </c>
      <c r="B102" s="1" t="s">
        <v>38</v>
      </c>
      <c r="C102" s="2">
        <v>43925</v>
      </c>
      <c r="D102" s="1" t="s">
        <v>24</v>
      </c>
      <c r="E102" s="1" t="s">
        <v>563</v>
      </c>
      <c r="F102" s="1" t="s">
        <v>26</v>
      </c>
      <c r="G102" s="1" t="s">
        <v>26</v>
      </c>
      <c r="H102" s="1" t="s">
        <v>564</v>
      </c>
      <c r="I102" s="1" t="s">
        <v>565</v>
      </c>
      <c r="J102" s="1" t="s">
        <v>115</v>
      </c>
      <c r="K102" s="1" t="s">
        <v>284</v>
      </c>
      <c r="L102" s="1" t="s">
        <v>566</v>
      </c>
      <c r="M102" s="1" t="s">
        <v>567</v>
      </c>
      <c r="N102" s="1" t="s">
        <v>568</v>
      </c>
      <c r="O102" s="1" t="s">
        <v>569</v>
      </c>
      <c r="P102" s="1"/>
      <c r="Q102" s="1" t="s">
        <v>35</v>
      </c>
      <c r="R102" s="1" t="s">
        <v>120</v>
      </c>
      <c r="S102" s="1" t="s">
        <v>570</v>
      </c>
      <c r="T102" s="1">
        <v>0</v>
      </c>
    </row>
    <row r="103" spans="1:22" ht="409.6">
      <c r="A103" s="1"/>
      <c r="B103" s="1" t="s">
        <v>111</v>
      </c>
      <c r="C103" s="1"/>
      <c r="D103" s="1" t="s">
        <v>212</v>
      </c>
      <c r="E103" s="1" t="s">
        <v>571</v>
      </c>
      <c r="F103" s="1" t="s">
        <v>26</v>
      </c>
      <c r="G103" s="1" t="s">
        <v>26</v>
      </c>
      <c r="H103" s="1"/>
      <c r="I103" s="1"/>
      <c r="J103" s="1" t="s">
        <v>115</v>
      </c>
      <c r="K103" s="1" t="s">
        <v>284</v>
      </c>
      <c r="L103" s="1" t="s">
        <v>572</v>
      </c>
      <c r="M103" s="1" t="s">
        <v>573</v>
      </c>
      <c r="N103" s="1" t="s">
        <v>574</v>
      </c>
      <c r="O103" s="1"/>
      <c r="P103" s="1"/>
      <c r="Q103" s="1"/>
      <c r="R103" s="1"/>
      <c r="S103" s="1" t="s">
        <v>575</v>
      </c>
      <c r="T103" s="1"/>
      <c r="U103" s="3" t="s">
        <v>461</v>
      </c>
      <c r="V103" s="1">
        <v>0</v>
      </c>
    </row>
    <row r="104" spans="1:22" ht="409.6">
      <c r="A104" s="1"/>
      <c r="B104" s="1" t="s">
        <v>38</v>
      </c>
      <c r="C104" s="1"/>
      <c r="D104" s="1" t="s">
        <v>212</v>
      </c>
      <c r="E104" s="1" t="s">
        <v>576</v>
      </c>
      <c r="F104" s="1" t="s">
        <v>26</v>
      </c>
      <c r="G104" s="1" t="s">
        <v>26</v>
      </c>
      <c r="H104" s="1" t="s">
        <v>150</v>
      </c>
      <c r="I104" s="1"/>
      <c r="J104" s="1" t="s">
        <v>115</v>
      </c>
      <c r="K104" s="1" t="s">
        <v>284</v>
      </c>
      <c r="L104" s="1" t="s">
        <v>577</v>
      </c>
      <c r="M104" s="1" t="s">
        <v>578</v>
      </c>
      <c r="N104" s="1" t="s">
        <v>579</v>
      </c>
      <c r="O104" s="1"/>
      <c r="P104" s="1"/>
      <c r="Q104" s="1"/>
      <c r="R104" s="1"/>
      <c r="S104" s="1" t="s">
        <v>580</v>
      </c>
      <c r="T104" s="3" t="s">
        <v>172</v>
      </c>
      <c r="U104" s="1">
        <v>0</v>
      </c>
    </row>
    <row r="105" spans="1:22">
      <c r="A105" s="1"/>
      <c r="B105" s="1" t="s">
        <v>38</v>
      </c>
      <c r="C105" s="1" t="s">
        <v>39</v>
      </c>
      <c r="D105" s="1" t="s">
        <v>24</v>
      </c>
      <c r="E105" s="1" t="s">
        <v>581</v>
      </c>
      <c r="F105" s="1" t="s">
        <v>26</v>
      </c>
      <c r="G105" s="1" t="s">
        <v>26</v>
      </c>
      <c r="H105" s="1" t="s">
        <v>150</v>
      </c>
      <c r="I105" s="1"/>
      <c r="J105" s="1" t="s">
        <v>115</v>
      </c>
      <c r="K105" s="1" t="s">
        <v>284</v>
      </c>
      <c r="L105" s="1"/>
      <c r="M105" s="1" t="s">
        <v>582</v>
      </c>
      <c r="N105" s="1" t="s">
        <v>583</v>
      </c>
      <c r="O105" s="1"/>
      <c r="P105" s="1"/>
      <c r="Q105" s="1"/>
      <c r="R105" s="1"/>
      <c r="S105" s="1" t="s">
        <v>580</v>
      </c>
      <c r="T105" s="1" t="s">
        <v>584</v>
      </c>
      <c r="U105" s="1">
        <v>0</v>
      </c>
    </row>
    <row r="106" spans="1:22" ht="409.6">
      <c r="A106" s="1"/>
      <c r="B106" s="1" t="s">
        <v>38</v>
      </c>
      <c r="C106" s="1"/>
      <c r="D106" s="1" t="s">
        <v>212</v>
      </c>
      <c r="E106" s="1" t="s">
        <v>585</v>
      </c>
      <c r="F106" s="1" t="s">
        <v>26</v>
      </c>
      <c r="G106" s="1" t="s">
        <v>26</v>
      </c>
      <c r="H106" s="1" t="s">
        <v>150</v>
      </c>
      <c r="I106" s="1"/>
      <c r="J106" s="1" t="s">
        <v>115</v>
      </c>
      <c r="K106" s="1" t="s">
        <v>284</v>
      </c>
      <c r="L106" s="1" t="s">
        <v>586</v>
      </c>
      <c r="M106" s="1" t="s">
        <v>587</v>
      </c>
      <c r="N106" s="1" t="s">
        <v>588</v>
      </c>
      <c r="O106" s="1"/>
      <c r="P106" s="1"/>
      <c r="Q106" s="1"/>
      <c r="R106" s="1"/>
      <c r="S106" s="1" t="s">
        <v>66</v>
      </c>
      <c r="T106" s="1"/>
      <c r="U106" s="3" t="s">
        <v>172</v>
      </c>
      <c r="V106" s="1">
        <v>0</v>
      </c>
    </row>
    <row r="107" spans="1:22" ht="409.6">
      <c r="A107" s="1"/>
      <c r="B107" s="1" t="s">
        <v>38</v>
      </c>
      <c r="C107" s="1"/>
      <c r="D107" s="1" t="s">
        <v>212</v>
      </c>
      <c r="E107" s="1" t="s">
        <v>589</v>
      </c>
      <c r="F107" s="1"/>
      <c r="G107" s="1"/>
      <c r="H107" s="1" t="s">
        <v>150</v>
      </c>
      <c r="I107" s="1"/>
      <c r="J107" s="1"/>
      <c r="K107" s="1" t="s">
        <v>284</v>
      </c>
      <c r="L107" s="1"/>
      <c r="M107" s="1" t="s">
        <v>590</v>
      </c>
      <c r="N107" s="3" t="s">
        <v>591</v>
      </c>
      <c r="O107" s="1"/>
      <c r="P107" s="1"/>
      <c r="Q107" s="1"/>
      <c r="R107" s="1"/>
      <c r="S107" s="1"/>
      <c r="T107" s="1"/>
      <c r="U107" s="3" t="s">
        <v>592</v>
      </c>
      <c r="V107" s="1">
        <v>0</v>
      </c>
    </row>
    <row r="108" spans="1:22" ht="409.6">
      <c r="A108" s="1"/>
      <c r="B108" s="1" t="s">
        <v>38</v>
      </c>
      <c r="C108" s="1"/>
      <c r="D108" s="1" t="s">
        <v>212</v>
      </c>
      <c r="E108" s="1" t="s">
        <v>593</v>
      </c>
      <c r="F108" s="1"/>
      <c r="G108" s="1"/>
      <c r="H108" s="1" t="s">
        <v>150</v>
      </c>
      <c r="I108" s="1"/>
      <c r="J108" s="1"/>
      <c r="K108" s="1" t="s">
        <v>284</v>
      </c>
      <c r="L108" s="1" t="s">
        <v>594</v>
      </c>
      <c r="M108" s="1" t="s">
        <v>595</v>
      </c>
      <c r="N108" s="3" t="s">
        <v>591</v>
      </c>
      <c r="O108" s="1"/>
      <c r="P108" s="1"/>
      <c r="Q108" s="1"/>
      <c r="R108" s="1"/>
      <c r="S108" s="1"/>
      <c r="T108" s="1"/>
      <c r="U108" s="3" t="s">
        <v>592</v>
      </c>
      <c r="V108" s="1">
        <v>0</v>
      </c>
    </row>
    <row r="109" spans="1:22" ht="409.6">
      <c r="A109" s="1"/>
      <c r="B109" s="1" t="s">
        <v>38</v>
      </c>
      <c r="C109" s="1"/>
      <c r="D109" s="1" t="s">
        <v>212</v>
      </c>
      <c r="E109" s="1" t="s">
        <v>596</v>
      </c>
      <c r="F109" s="1"/>
      <c r="G109" s="1"/>
      <c r="H109" s="1" t="s">
        <v>150</v>
      </c>
      <c r="I109" s="1"/>
      <c r="J109" s="1"/>
      <c r="K109" s="1" t="s">
        <v>284</v>
      </c>
      <c r="L109" s="1" t="s">
        <v>597</v>
      </c>
      <c r="M109" s="1" t="s">
        <v>598</v>
      </c>
      <c r="N109" s="1" t="s">
        <v>599</v>
      </c>
      <c r="O109" s="1"/>
      <c r="P109" s="1"/>
      <c r="Q109" s="1"/>
      <c r="R109" s="1"/>
      <c r="S109" s="1"/>
      <c r="T109" s="1"/>
      <c r="U109" s="3" t="s">
        <v>600</v>
      </c>
      <c r="V109" s="1">
        <v>0</v>
      </c>
    </row>
    <row r="110" spans="1:22" ht="409.6">
      <c r="A110" s="1"/>
      <c r="B110" s="1" t="s">
        <v>38</v>
      </c>
      <c r="C110" s="1"/>
      <c r="D110" s="1" t="s">
        <v>212</v>
      </c>
      <c r="E110" s="1" t="s">
        <v>601</v>
      </c>
      <c r="F110" s="1"/>
      <c r="G110" s="1"/>
      <c r="H110" s="1" t="s">
        <v>150</v>
      </c>
      <c r="I110" s="1"/>
      <c r="J110" s="1"/>
      <c r="K110" s="1" t="s">
        <v>284</v>
      </c>
      <c r="L110" s="1" t="s">
        <v>602</v>
      </c>
      <c r="M110" s="1" t="s">
        <v>603</v>
      </c>
      <c r="N110" s="1" t="s">
        <v>604</v>
      </c>
      <c r="O110" s="1"/>
      <c r="P110" s="1"/>
      <c r="Q110" s="1"/>
      <c r="R110" s="1"/>
      <c r="S110" s="1"/>
      <c r="T110" s="1"/>
      <c r="U110" s="3" t="s">
        <v>249</v>
      </c>
      <c r="V110" s="1">
        <v>0</v>
      </c>
    </row>
    <row r="111" spans="1:22" ht="409.6">
      <c r="A111" s="1" t="s">
        <v>605</v>
      </c>
      <c r="B111" s="1" t="s">
        <v>38</v>
      </c>
      <c r="C111" s="2">
        <v>43925</v>
      </c>
      <c r="D111" s="1" t="s">
        <v>24</v>
      </c>
      <c r="E111" s="1" t="s">
        <v>606</v>
      </c>
      <c r="F111" s="1" t="s">
        <v>26</v>
      </c>
      <c r="G111" s="1" t="s">
        <v>26</v>
      </c>
      <c r="H111" s="1" t="s">
        <v>150</v>
      </c>
      <c r="I111" s="1" t="s">
        <v>607</v>
      </c>
      <c r="J111" s="1" t="s">
        <v>115</v>
      </c>
      <c r="K111" s="1" t="s">
        <v>116</v>
      </c>
      <c r="L111" s="1" t="s">
        <v>608</v>
      </c>
      <c r="M111" s="3" t="s">
        <v>609</v>
      </c>
      <c r="N111" s="1" t="s">
        <v>604</v>
      </c>
      <c r="O111" s="1"/>
      <c r="P111" s="1"/>
      <c r="Q111" s="1"/>
      <c r="R111" s="1"/>
      <c r="S111" s="1" t="s">
        <v>35</v>
      </c>
      <c r="T111" s="1" t="s">
        <v>120</v>
      </c>
      <c r="U111" s="3" t="s">
        <v>249</v>
      </c>
      <c r="V111" s="1">
        <v>0</v>
      </c>
    </row>
    <row r="112" spans="1:22">
      <c r="A112" s="1" t="s">
        <v>610</v>
      </c>
      <c r="B112" s="1" t="s">
        <v>111</v>
      </c>
      <c r="C112" s="2">
        <v>43925</v>
      </c>
      <c r="D112" s="1" t="s">
        <v>24</v>
      </c>
      <c r="E112" s="1" t="s">
        <v>611</v>
      </c>
      <c r="F112" s="1" t="s">
        <v>26</v>
      </c>
      <c r="G112" s="1" t="s">
        <v>26</v>
      </c>
      <c r="H112" s="1" t="s">
        <v>150</v>
      </c>
      <c r="I112" s="1" t="s">
        <v>612</v>
      </c>
      <c r="J112" s="1" t="s">
        <v>115</v>
      </c>
      <c r="K112" s="1" t="s">
        <v>116</v>
      </c>
      <c r="L112" s="1" t="s">
        <v>613</v>
      </c>
      <c r="M112" s="1" t="s">
        <v>614</v>
      </c>
      <c r="N112" s="1" t="s">
        <v>615</v>
      </c>
      <c r="O112" s="1" t="s">
        <v>616</v>
      </c>
      <c r="P112" s="1"/>
      <c r="Q112" s="1" t="s">
        <v>35</v>
      </c>
      <c r="R112" s="1" t="s">
        <v>617</v>
      </c>
      <c r="S112" s="1" t="s">
        <v>618</v>
      </c>
      <c r="T112" s="1">
        <v>0</v>
      </c>
    </row>
    <row r="113" spans="1:22">
      <c r="A113" s="1"/>
      <c r="B113" s="1" t="s">
        <v>111</v>
      </c>
      <c r="C113" s="1"/>
      <c r="D113" s="1" t="s">
        <v>24</v>
      </c>
      <c r="E113" s="1" t="s">
        <v>619</v>
      </c>
      <c r="F113" s="1" t="s">
        <v>26</v>
      </c>
      <c r="G113" s="1" t="s">
        <v>26</v>
      </c>
      <c r="H113" s="1" t="s">
        <v>150</v>
      </c>
      <c r="I113" s="1"/>
      <c r="J113" s="1" t="s">
        <v>115</v>
      </c>
      <c r="K113" s="1" t="s">
        <v>284</v>
      </c>
      <c r="L113" s="1" t="s">
        <v>620</v>
      </c>
      <c r="M113" s="1" t="s">
        <v>621</v>
      </c>
      <c r="N113" s="1" t="s">
        <v>604</v>
      </c>
      <c r="O113" s="1"/>
      <c r="P113" s="1"/>
      <c r="Q113" s="1"/>
      <c r="R113" s="1"/>
      <c r="S113" s="1" t="s">
        <v>35</v>
      </c>
      <c r="T113" s="1"/>
      <c r="U113" s="1" t="s">
        <v>622</v>
      </c>
      <c r="V113" s="1">
        <v>0</v>
      </c>
    </row>
    <row r="114" spans="1:22" ht="409.6">
      <c r="A114" s="1"/>
      <c r="B114" s="1" t="s">
        <v>38</v>
      </c>
      <c r="C114" s="1"/>
      <c r="D114" s="1" t="s">
        <v>24</v>
      </c>
      <c r="E114" s="1" t="s">
        <v>623</v>
      </c>
      <c r="F114" s="1" t="s">
        <v>26</v>
      </c>
      <c r="G114" s="1" t="s">
        <v>26</v>
      </c>
      <c r="H114" s="1"/>
      <c r="I114" s="1"/>
      <c r="J114" s="1" t="s">
        <v>115</v>
      </c>
      <c r="K114" s="1" t="s">
        <v>284</v>
      </c>
      <c r="L114" s="1" t="s">
        <v>624</v>
      </c>
      <c r="M114" s="1" t="s">
        <v>625</v>
      </c>
      <c r="N114" s="1" t="s">
        <v>604</v>
      </c>
      <c r="O114" s="1"/>
      <c r="P114" s="1"/>
      <c r="Q114" s="1"/>
      <c r="R114" s="1"/>
      <c r="S114" s="1" t="s">
        <v>580</v>
      </c>
      <c r="T114" s="3" t="s">
        <v>249</v>
      </c>
      <c r="U114" s="1">
        <v>0</v>
      </c>
    </row>
    <row r="115" spans="1:22" ht="409.6">
      <c r="A115" s="1"/>
      <c r="B115" s="1" t="s">
        <v>38</v>
      </c>
      <c r="C115" s="1"/>
      <c r="D115" s="1" t="s">
        <v>24</v>
      </c>
      <c r="E115" s="1" t="s">
        <v>626</v>
      </c>
      <c r="F115" s="1" t="s">
        <v>26</v>
      </c>
      <c r="G115" s="1" t="s">
        <v>26</v>
      </c>
      <c r="H115" s="1"/>
      <c r="I115" s="1"/>
      <c r="J115" s="1" t="s">
        <v>115</v>
      </c>
      <c r="K115" s="1" t="s">
        <v>284</v>
      </c>
      <c r="L115" s="1" t="s">
        <v>627</v>
      </c>
      <c r="M115" s="1" t="s">
        <v>628</v>
      </c>
      <c r="N115" s="1" t="s">
        <v>604</v>
      </c>
      <c r="O115" s="1"/>
      <c r="P115" s="1"/>
      <c r="Q115" s="1"/>
      <c r="R115" s="1"/>
      <c r="S115" s="1" t="s">
        <v>580</v>
      </c>
      <c r="T115" s="3" t="s">
        <v>249</v>
      </c>
      <c r="U115" s="1">
        <v>0</v>
      </c>
    </row>
    <row r="116" spans="1:22" ht="409.6">
      <c r="A116" s="1"/>
      <c r="B116" s="1" t="s">
        <v>38</v>
      </c>
      <c r="C116" s="1"/>
      <c r="D116" s="1" t="s">
        <v>212</v>
      </c>
      <c r="E116" s="1" t="s">
        <v>629</v>
      </c>
      <c r="F116" s="1" t="s">
        <v>26</v>
      </c>
      <c r="G116" s="1" t="s">
        <v>26</v>
      </c>
      <c r="H116" s="1"/>
      <c r="I116" s="1"/>
      <c r="J116" s="1" t="s">
        <v>115</v>
      </c>
      <c r="K116" s="1" t="s">
        <v>284</v>
      </c>
      <c r="L116" s="1" t="s">
        <v>630</v>
      </c>
      <c r="M116" s="1" t="s">
        <v>631</v>
      </c>
      <c r="N116" s="1" t="s">
        <v>604</v>
      </c>
      <c r="O116" s="1"/>
      <c r="P116" s="1"/>
      <c r="Q116" s="1"/>
      <c r="R116" s="1"/>
      <c r="S116" s="1" t="s">
        <v>66</v>
      </c>
      <c r="T116" s="1"/>
      <c r="U116" s="3" t="s">
        <v>249</v>
      </c>
      <c r="V116" s="1">
        <v>0</v>
      </c>
    </row>
    <row r="117" spans="1:22" ht="409.6">
      <c r="A117" s="1"/>
      <c r="B117" s="1" t="s">
        <v>38</v>
      </c>
      <c r="C117" s="1"/>
      <c r="D117" s="1" t="s">
        <v>212</v>
      </c>
      <c r="E117" s="1" t="s">
        <v>632</v>
      </c>
      <c r="F117" s="1" t="s">
        <v>26</v>
      </c>
      <c r="G117" s="1" t="s">
        <v>26</v>
      </c>
      <c r="H117" s="1"/>
      <c r="I117" s="1"/>
      <c r="J117" s="1" t="s">
        <v>115</v>
      </c>
      <c r="K117" s="1" t="s">
        <v>284</v>
      </c>
      <c r="L117" s="1" t="s">
        <v>633</v>
      </c>
      <c r="M117" s="1" t="s">
        <v>634</v>
      </c>
      <c r="N117" s="1" t="s">
        <v>635</v>
      </c>
      <c r="O117" s="1"/>
      <c r="P117" s="1"/>
      <c r="Q117" s="1"/>
      <c r="R117" s="1"/>
      <c r="S117" s="1" t="s">
        <v>66</v>
      </c>
      <c r="T117" s="1"/>
      <c r="U117" s="3" t="s">
        <v>592</v>
      </c>
      <c r="V117" s="1">
        <v>0</v>
      </c>
    </row>
    <row r="118" spans="1:22" ht="409.6">
      <c r="A118" s="1"/>
      <c r="B118" s="1" t="s">
        <v>38</v>
      </c>
      <c r="C118" s="1"/>
      <c r="D118" s="1" t="s">
        <v>212</v>
      </c>
      <c r="E118" s="1" t="s">
        <v>636</v>
      </c>
      <c r="F118" s="1" t="s">
        <v>26</v>
      </c>
      <c r="G118" s="1" t="s">
        <v>26</v>
      </c>
      <c r="H118" s="1"/>
      <c r="I118" s="1"/>
      <c r="J118" s="1" t="s">
        <v>115</v>
      </c>
      <c r="K118" s="1" t="s">
        <v>284</v>
      </c>
      <c r="L118" s="1" t="s">
        <v>637</v>
      </c>
      <c r="M118" s="1" t="s">
        <v>638</v>
      </c>
      <c r="N118" s="3" t="s">
        <v>639</v>
      </c>
      <c r="O118" s="1"/>
      <c r="P118" s="1"/>
      <c r="Q118" s="1"/>
      <c r="R118" s="1"/>
      <c r="S118" s="1" t="s">
        <v>66</v>
      </c>
      <c r="T118" s="1"/>
      <c r="U118" s="3" t="s">
        <v>249</v>
      </c>
      <c r="V118" s="1">
        <v>0</v>
      </c>
    </row>
    <row r="119" spans="1:22" ht="409.6">
      <c r="A119" s="1"/>
      <c r="B119" s="1" t="s">
        <v>38</v>
      </c>
      <c r="C119" s="1"/>
      <c r="D119" s="1" t="s">
        <v>212</v>
      </c>
      <c r="E119" s="1" t="s">
        <v>640</v>
      </c>
      <c r="F119" s="1" t="s">
        <v>26</v>
      </c>
      <c r="G119" s="1" t="s">
        <v>26</v>
      </c>
      <c r="H119" s="1"/>
      <c r="I119" s="1"/>
      <c r="J119" s="1" t="s">
        <v>115</v>
      </c>
      <c r="K119" s="1" t="s">
        <v>284</v>
      </c>
      <c r="L119" s="1" t="s">
        <v>641</v>
      </c>
      <c r="M119" s="1" t="s">
        <v>642</v>
      </c>
      <c r="N119" s="3" t="s">
        <v>643</v>
      </c>
      <c r="O119" s="1"/>
      <c r="P119" s="1"/>
      <c r="Q119" s="1"/>
      <c r="R119" s="1"/>
      <c r="S119" s="1" t="s">
        <v>66</v>
      </c>
      <c r="T119" s="1"/>
      <c r="U119" s="3" t="s">
        <v>249</v>
      </c>
      <c r="V119" s="1">
        <v>0</v>
      </c>
    </row>
    <row r="120" spans="1:22" ht="409.6">
      <c r="A120" s="1"/>
      <c r="B120" s="1" t="s">
        <v>38</v>
      </c>
      <c r="C120" s="1"/>
      <c r="D120" s="1" t="s">
        <v>212</v>
      </c>
      <c r="E120" s="1" t="s">
        <v>644</v>
      </c>
      <c r="F120" s="1" t="s">
        <v>26</v>
      </c>
      <c r="G120" s="1" t="s">
        <v>26</v>
      </c>
      <c r="H120" s="1"/>
      <c r="I120" s="1"/>
      <c r="J120" s="1" t="s">
        <v>115</v>
      </c>
      <c r="K120" s="1" t="s">
        <v>284</v>
      </c>
      <c r="L120" s="1" t="s">
        <v>645</v>
      </c>
      <c r="M120" s="1" t="s">
        <v>646</v>
      </c>
      <c r="N120" s="1" t="s">
        <v>604</v>
      </c>
      <c r="O120" s="1"/>
      <c r="P120" s="1"/>
      <c r="Q120" s="1"/>
      <c r="R120" s="1"/>
      <c r="S120" s="1" t="s">
        <v>66</v>
      </c>
      <c r="T120" s="1"/>
      <c r="U120" s="3" t="s">
        <v>249</v>
      </c>
      <c r="V120" s="1">
        <v>0</v>
      </c>
    </row>
    <row r="121" spans="1:22" ht="409.6">
      <c r="A121" s="1"/>
      <c r="B121" s="1" t="s">
        <v>38</v>
      </c>
      <c r="C121" s="1"/>
      <c r="D121" s="1" t="s">
        <v>212</v>
      </c>
      <c r="E121" s="1" t="s">
        <v>647</v>
      </c>
      <c r="F121" s="1" t="s">
        <v>26</v>
      </c>
      <c r="G121" s="1" t="s">
        <v>26</v>
      </c>
      <c r="H121" s="1"/>
      <c r="I121" s="1"/>
      <c r="J121" s="1" t="s">
        <v>115</v>
      </c>
      <c r="K121" s="1" t="s">
        <v>284</v>
      </c>
      <c r="L121" s="1" t="s">
        <v>648</v>
      </c>
      <c r="M121" s="1" t="s">
        <v>649</v>
      </c>
      <c r="N121" s="1" t="s">
        <v>604</v>
      </c>
      <c r="O121" s="1"/>
      <c r="P121" s="1"/>
      <c r="Q121" s="1"/>
      <c r="R121" s="1"/>
      <c r="S121" s="1" t="s">
        <v>66</v>
      </c>
      <c r="T121" s="1"/>
      <c r="U121" s="3" t="s">
        <v>249</v>
      </c>
      <c r="V121" s="1">
        <v>0</v>
      </c>
    </row>
    <row r="122" spans="1:22" ht="409.6">
      <c r="A122" s="1"/>
      <c r="B122" s="1" t="s">
        <v>38</v>
      </c>
      <c r="C122" s="1"/>
      <c r="D122" s="1" t="s">
        <v>212</v>
      </c>
      <c r="E122" s="1" t="s">
        <v>650</v>
      </c>
      <c r="F122" s="1" t="s">
        <v>26</v>
      </c>
      <c r="G122" s="1" t="s">
        <v>26</v>
      </c>
      <c r="H122" s="1"/>
      <c r="I122" s="1"/>
      <c r="J122" s="1" t="s">
        <v>115</v>
      </c>
      <c r="K122" s="1" t="s">
        <v>284</v>
      </c>
      <c r="L122" s="1" t="s">
        <v>651</v>
      </c>
      <c r="M122" s="1" t="s">
        <v>652</v>
      </c>
      <c r="N122" s="1" t="s">
        <v>604</v>
      </c>
      <c r="O122" s="1"/>
      <c r="P122" s="1"/>
      <c r="Q122" s="1"/>
      <c r="R122" s="1"/>
      <c r="S122" s="1" t="s">
        <v>66</v>
      </c>
      <c r="T122" s="1"/>
      <c r="U122" s="3" t="s">
        <v>249</v>
      </c>
      <c r="V122" s="1">
        <v>0</v>
      </c>
    </row>
    <row r="123" spans="1:22">
      <c r="A123" s="1"/>
      <c r="B123" s="1" t="s">
        <v>38</v>
      </c>
      <c r="C123" s="1"/>
      <c r="D123" s="1" t="s">
        <v>212</v>
      </c>
      <c r="E123" s="1" t="s">
        <v>653</v>
      </c>
      <c r="F123" s="1"/>
      <c r="G123" s="1"/>
      <c r="H123" s="1"/>
      <c r="I123" s="1"/>
      <c r="J123" s="1"/>
      <c r="K123" s="1" t="s">
        <v>284</v>
      </c>
      <c r="L123" s="1" t="s">
        <v>654</v>
      </c>
      <c r="M123" s="1" t="s">
        <v>655</v>
      </c>
      <c r="N123" s="1" t="s">
        <v>656</v>
      </c>
      <c r="O123" s="1"/>
      <c r="P123" s="1"/>
      <c r="Q123" s="1"/>
      <c r="R123" s="1"/>
      <c r="S123" s="1"/>
      <c r="T123" s="1"/>
      <c r="U123" s="1" t="s">
        <v>657</v>
      </c>
      <c r="V123" s="1">
        <v>0</v>
      </c>
    </row>
    <row r="124" spans="1:22">
      <c r="A124" s="1"/>
      <c r="B124" s="1" t="s">
        <v>38</v>
      </c>
      <c r="C124" s="1"/>
      <c r="D124" s="1" t="s">
        <v>212</v>
      </c>
      <c r="E124" s="1" t="s">
        <v>658</v>
      </c>
      <c r="F124" s="1"/>
      <c r="G124" s="1"/>
      <c r="H124" s="1"/>
      <c r="I124" s="1"/>
      <c r="J124" s="1"/>
      <c r="K124" s="1" t="s">
        <v>284</v>
      </c>
      <c r="L124" s="1" t="s">
        <v>659</v>
      </c>
      <c r="M124" s="1" t="s">
        <v>660</v>
      </c>
      <c r="N124" s="1" t="s">
        <v>656</v>
      </c>
      <c r="O124" s="1"/>
      <c r="P124" s="1"/>
      <c r="Q124" s="1"/>
      <c r="R124" s="1"/>
      <c r="S124" s="1"/>
      <c r="T124" s="1"/>
      <c r="U124" s="1" t="s">
        <v>657</v>
      </c>
      <c r="V124" s="1">
        <v>0</v>
      </c>
    </row>
    <row r="125" spans="1:22" ht="409.6">
      <c r="A125" s="1"/>
      <c r="B125" s="1" t="s">
        <v>38</v>
      </c>
      <c r="C125" s="1"/>
      <c r="D125" s="1" t="s">
        <v>212</v>
      </c>
      <c r="E125" s="1" t="s">
        <v>661</v>
      </c>
      <c r="F125" s="1" t="s">
        <v>133</v>
      </c>
      <c r="G125" s="1"/>
      <c r="H125" s="1"/>
      <c r="I125" s="1"/>
      <c r="J125" s="1"/>
      <c r="K125" s="1" t="s">
        <v>284</v>
      </c>
      <c r="L125" s="1" t="s">
        <v>662</v>
      </c>
      <c r="M125" s="1" t="s">
        <v>663</v>
      </c>
      <c r="N125" s="1" t="s">
        <v>664</v>
      </c>
      <c r="O125" s="1"/>
      <c r="P125" s="1"/>
      <c r="Q125" s="1"/>
      <c r="R125" s="1"/>
      <c r="S125" s="1"/>
      <c r="T125" s="1"/>
      <c r="U125" s="3" t="s">
        <v>665</v>
      </c>
      <c r="V125" s="1">
        <v>0</v>
      </c>
    </row>
    <row r="126" spans="1:22" ht="409.6">
      <c r="A126" s="1"/>
      <c r="B126" s="1" t="s">
        <v>38</v>
      </c>
      <c r="C126" s="1"/>
      <c r="D126" s="1" t="s">
        <v>212</v>
      </c>
      <c r="E126" s="1" t="s">
        <v>666</v>
      </c>
      <c r="F126" s="1"/>
      <c r="G126" s="1"/>
      <c r="H126" s="1"/>
      <c r="I126" s="1"/>
      <c r="J126" s="1"/>
      <c r="K126" s="1" t="s">
        <v>284</v>
      </c>
      <c r="L126" s="1" t="s">
        <v>667</v>
      </c>
      <c r="M126" s="1" t="s">
        <v>668</v>
      </c>
      <c r="N126" s="1" t="s">
        <v>664</v>
      </c>
      <c r="O126" s="1"/>
      <c r="P126" s="1"/>
      <c r="Q126" s="1"/>
      <c r="R126" s="1"/>
      <c r="S126" s="1"/>
      <c r="T126" s="1"/>
      <c r="U126" s="3" t="s">
        <v>669</v>
      </c>
      <c r="V126" s="1">
        <v>0</v>
      </c>
    </row>
    <row r="127" spans="1:22" ht="409.6">
      <c r="A127" s="1"/>
      <c r="B127" s="1" t="s">
        <v>38</v>
      </c>
      <c r="C127" s="1"/>
      <c r="D127" s="1" t="s">
        <v>212</v>
      </c>
      <c r="E127" s="1" t="s">
        <v>670</v>
      </c>
      <c r="F127" s="1"/>
      <c r="G127" s="1"/>
      <c r="H127" s="1"/>
      <c r="I127" s="1"/>
      <c r="J127" s="1"/>
      <c r="K127" s="1" t="s">
        <v>284</v>
      </c>
      <c r="L127" s="1" t="s">
        <v>671</v>
      </c>
      <c r="M127" s="1" t="s">
        <v>672</v>
      </c>
      <c r="N127" s="1" t="s">
        <v>664</v>
      </c>
      <c r="O127" s="1"/>
      <c r="P127" s="1"/>
      <c r="Q127" s="1"/>
      <c r="R127" s="1"/>
      <c r="S127" s="1"/>
      <c r="T127" s="1"/>
      <c r="U127" s="3" t="s">
        <v>669</v>
      </c>
      <c r="V127" s="1">
        <v>0</v>
      </c>
    </row>
    <row r="128" spans="1:22" ht="409.6">
      <c r="A128" s="1"/>
      <c r="B128" s="1" t="s">
        <v>38</v>
      </c>
      <c r="C128" s="1"/>
      <c r="D128" s="1" t="s">
        <v>212</v>
      </c>
      <c r="E128" s="1" t="s">
        <v>673</v>
      </c>
      <c r="F128" s="1"/>
      <c r="G128" s="1"/>
      <c r="H128" s="1"/>
      <c r="I128" s="1"/>
      <c r="J128" s="1"/>
      <c r="K128" s="1" t="s">
        <v>284</v>
      </c>
      <c r="L128" s="1" t="s">
        <v>674</v>
      </c>
      <c r="M128" s="1" t="s">
        <v>675</v>
      </c>
      <c r="N128" s="3" t="s">
        <v>676</v>
      </c>
      <c r="O128" s="1"/>
      <c r="P128" s="1"/>
      <c r="Q128" s="1"/>
      <c r="R128" s="1"/>
      <c r="S128" s="1"/>
      <c r="T128" s="1"/>
      <c r="U128" s="3" t="s">
        <v>677</v>
      </c>
      <c r="V128" s="1">
        <v>0</v>
      </c>
    </row>
    <row r="129" spans="1:22" ht="409.6">
      <c r="A129" s="1"/>
      <c r="B129" s="1" t="s">
        <v>38</v>
      </c>
      <c r="C129" s="1"/>
      <c r="D129" s="1" t="s">
        <v>212</v>
      </c>
      <c r="E129" s="1" t="s">
        <v>678</v>
      </c>
      <c r="F129" s="1"/>
      <c r="G129" s="1"/>
      <c r="H129" s="1"/>
      <c r="I129" s="1"/>
      <c r="J129" s="1"/>
      <c r="K129" s="1" t="s">
        <v>284</v>
      </c>
      <c r="L129" s="1" t="s">
        <v>679</v>
      </c>
      <c r="M129" s="1" t="s">
        <v>680</v>
      </c>
      <c r="N129" s="1" t="s">
        <v>681</v>
      </c>
      <c r="O129" s="1"/>
      <c r="P129" s="1"/>
      <c r="Q129" s="1"/>
      <c r="R129" s="1"/>
      <c r="S129" s="1"/>
      <c r="T129" s="1"/>
      <c r="U129" s="3" t="s">
        <v>669</v>
      </c>
      <c r="V129" s="1">
        <v>0</v>
      </c>
    </row>
    <row r="130" spans="1:22" ht="409.6">
      <c r="A130" s="1"/>
      <c r="B130" s="1" t="s">
        <v>38</v>
      </c>
      <c r="C130" s="1"/>
      <c r="D130" s="1" t="s">
        <v>212</v>
      </c>
      <c r="E130" s="1" t="s">
        <v>682</v>
      </c>
      <c r="F130" s="1"/>
      <c r="G130" s="1"/>
      <c r="H130" s="1"/>
      <c r="I130" s="1"/>
      <c r="J130" s="1"/>
      <c r="K130" s="1" t="s">
        <v>284</v>
      </c>
      <c r="L130" s="1" t="s">
        <v>683</v>
      </c>
      <c r="M130" s="1" t="s">
        <v>680</v>
      </c>
      <c r="N130" s="3" t="s">
        <v>684</v>
      </c>
      <c r="O130" s="1"/>
      <c r="P130" s="1"/>
      <c r="Q130" s="1"/>
      <c r="R130" s="1"/>
      <c r="S130" s="1"/>
      <c r="T130" s="1"/>
      <c r="U130" s="3" t="s">
        <v>669</v>
      </c>
      <c r="V130" s="1">
        <v>0</v>
      </c>
    </row>
    <row r="131" spans="1:22" ht="409.6">
      <c r="A131" s="1"/>
      <c r="B131" s="1" t="s">
        <v>38</v>
      </c>
      <c r="C131" s="1"/>
      <c r="D131" s="1" t="s">
        <v>212</v>
      </c>
      <c r="E131" s="1" t="s">
        <v>685</v>
      </c>
      <c r="F131" s="1"/>
      <c r="G131" s="1"/>
      <c r="H131" s="1"/>
      <c r="I131" s="1"/>
      <c r="J131" s="1"/>
      <c r="K131" s="1" t="s">
        <v>284</v>
      </c>
      <c r="L131" s="1" t="s">
        <v>686</v>
      </c>
      <c r="M131" s="1" t="s">
        <v>687</v>
      </c>
      <c r="N131" s="1" t="s">
        <v>688</v>
      </c>
      <c r="O131" s="1"/>
      <c r="P131" s="1"/>
      <c r="Q131" s="1"/>
      <c r="R131" s="1"/>
      <c r="S131" s="1"/>
      <c r="T131" s="1"/>
      <c r="U131" s="3" t="s">
        <v>195</v>
      </c>
      <c r="V131" s="1">
        <v>0</v>
      </c>
    </row>
    <row r="132" spans="1:22" ht="409.6">
      <c r="A132" s="1"/>
      <c r="B132" s="1" t="s">
        <v>38</v>
      </c>
      <c r="C132" s="1"/>
      <c r="D132" s="1" t="s">
        <v>212</v>
      </c>
      <c r="E132" s="1" t="s">
        <v>689</v>
      </c>
      <c r="F132" s="1"/>
      <c r="G132" s="1"/>
      <c r="H132" s="1"/>
      <c r="I132" s="1"/>
      <c r="J132" s="1"/>
      <c r="K132" s="1" t="s">
        <v>284</v>
      </c>
      <c r="L132" s="1" t="s">
        <v>690</v>
      </c>
      <c r="M132" s="1" t="s">
        <v>691</v>
      </c>
      <c r="N132" s="1" t="s">
        <v>692</v>
      </c>
      <c r="O132" s="1"/>
      <c r="P132" s="1"/>
      <c r="Q132" s="1"/>
      <c r="R132" s="1"/>
      <c r="S132" s="1"/>
      <c r="T132" s="1"/>
      <c r="U132" s="3" t="s">
        <v>461</v>
      </c>
      <c r="V132" s="1">
        <v>0</v>
      </c>
    </row>
    <row r="133" spans="1:22" ht="409.6">
      <c r="A133" s="1"/>
      <c r="B133" s="1" t="s">
        <v>38</v>
      </c>
      <c r="C133" s="1"/>
      <c r="D133" s="1" t="s">
        <v>212</v>
      </c>
      <c r="E133" s="1" t="s">
        <v>693</v>
      </c>
      <c r="F133" s="1"/>
      <c r="G133" s="1"/>
      <c r="H133" s="1"/>
      <c r="I133" s="1"/>
      <c r="J133" s="1"/>
      <c r="K133" s="1" t="s">
        <v>284</v>
      </c>
      <c r="L133" s="1" t="s">
        <v>694</v>
      </c>
      <c r="M133" s="1" t="s">
        <v>695</v>
      </c>
      <c r="N133" s="1" t="s">
        <v>696</v>
      </c>
      <c r="O133" s="1"/>
      <c r="P133" s="1"/>
      <c r="Q133" s="1"/>
      <c r="R133" s="1"/>
      <c r="S133" s="1"/>
      <c r="T133" s="1"/>
      <c r="U133" s="3" t="s">
        <v>195</v>
      </c>
      <c r="V133" s="1">
        <v>0</v>
      </c>
    </row>
    <row r="134" spans="1:22" ht="409.6">
      <c r="A134" s="1"/>
      <c r="B134" s="1" t="s">
        <v>111</v>
      </c>
      <c r="C134" s="1"/>
      <c r="D134" s="1" t="s">
        <v>212</v>
      </c>
      <c r="E134" s="1" t="s">
        <v>697</v>
      </c>
      <c r="F134" s="1"/>
      <c r="G134" s="1"/>
      <c r="H134" s="1" t="s">
        <v>698</v>
      </c>
      <c r="I134" s="1" t="s">
        <v>699</v>
      </c>
      <c r="J134" s="1" t="s">
        <v>284</v>
      </c>
      <c r="K134" s="1" t="s">
        <v>700</v>
      </c>
      <c r="L134" s="1" t="s">
        <v>701</v>
      </c>
      <c r="M134" s="1" t="s">
        <v>702</v>
      </c>
      <c r="N134" s="1"/>
      <c r="O134" s="1"/>
      <c r="P134" s="1"/>
      <c r="Q134" s="1"/>
      <c r="R134" s="1"/>
      <c r="S134" s="1"/>
      <c r="T134" s="3" t="s">
        <v>669</v>
      </c>
      <c r="U134" s="1">
        <v>0</v>
      </c>
    </row>
    <row r="135" spans="1:22" ht="409.6">
      <c r="A135" s="1"/>
      <c r="B135" s="1" t="s">
        <v>38</v>
      </c>
      <c r="C135" s="1"/>
      <c r="D135" s="1" t="s">
        <v>212</v>
      </c>
      <c r="E135" s="1" t="s">
        <v>703</v>
      </c>
      <c r="F135" s="1" t="s">
        <v>26</v>
      </c>
      <c r="G135" s="1"/>
      <c r="H135" s="1"/>
      <c r="I135" s="1"/>
      <c r="J135" s="1"/>
      <c r="K135" s="1" t="s">
        <v>284</v>
      </c>
      <c r="L135" s="1" t="s">
        <v>704</v>
      </c>
      <c r="M135" s="1" t="s">
        <v>705</v>
      </c>
      <c r="N135" s="1" t="s">
        <v>706</v>
      </c>
      <c r="O135" s="1"/>
      <c r="P135" s="1"/>
      <c r="Q135" s="1"/>
      <c r="R135" s="1"/>
      <c r="S135" s="1"/>
      <c r="T135" s="1"/>
      <c r="U135" s="3" t="s">
        <v>669</v>
      </c>
      <c r="V135" s="1">
        <v>0</v>
      </c>
    </row>
    <row r="136" spans="1:22" ht="409.6">
      <c r="A136" s="1"/>
      <c r="B136" s="1" t="s">
        <v>38</v>
      </c>
      <c r="C136" s="1"/>
      <c r="D136" s="1" t="s">
        <v>212</v>
      </c>
      <c r="E136" s="1" t="s">
        <v>707</v>
      </c>
      <c r="F136" s="1"/>
      <c r="G136" s="1"/>
      <c r="H136" s="1"/>
      <c r="I136" s="1"/>
      <c r="J136" s="1"/>
      <c r="K136" s="1" t="s">
        <v>284</v>
      </c>
      <c r="L136" s="1" t="s">
        <v>708</v>
      </c>
      <c r="M136" s="1" t="s">
        <v>709</v>
      </c>
      <c r="N136" s="1" t="s">
        <v>710</v>
      </c>
      <c r="O136" s="1"/>
      <c r="P136" s="1"/>
      <c r="Q136" s="1"/>
      <c r="R136" s="1"/>
      <c r="S136" s="1"/>
      <c r="T136" s="1"/>
      <c r="U136" s="3" t="s">
        <v>669</v>
      </c>
      <c r="V136" s="1">
        <v>0</v>
      </c>
    </row>
    <row r="137" spans="1:22" ht="409.6">
      <c r="A137" s="1"/>
      <c r="B137" s="1" t="s">
        <v>38</v>
      </c>
      <c r="C137" s="1"/>
      <c r="D137" s="1" t="s">
        <v>212</v>
      </c>
      <c r="E137" s="1" t="s">
        <v>711</v>
      </c>
      <c r="F137" s="1"/>
      <c r="G137" s="1"/>
      <c r="H137" s="1"/>
      <c r="I137" s="1"/>
      <c r="J137" s="1"/>
      <c r="K137" s="1" t="s">
        <v>284</v>
      </c>
      <c r="L137" s="1" t="s">
        <v>712</v>
      </c>
      <c r="M137" s="1" t="s">
        <v>713</v>
      </c>
      <c r="N137" s="3" t="s">
        <v>714</v>
      </c>
      <c r="O137" s="1"/>
      <c r="P137" s="1"/>
      <c r="Q137" s="1"/>
      <c r="R137" s="1"/>
      <c r="S137" s="1"/>
      <c r="T137" s="1"/>
      <c r="U137" s="3" t="s">
        <v>669</v>
      </c>
      <c r="V137" s="1">
        <v>0</v>
      </c>
    </row>
    <row r="138" spans="1:22" ht="409.6">
      <c r="A138" s="1"/>
      <c r="B138" s="1" t="s">
        <v>38</v>
      </c>
      <c r="C138" s="1"/>
      <c r="D138" s="1" t="s">
        <v>212</v>
      </c>
      <c r="E138" s="1" t="s">
        <v>715</v>
      </c>
      <c r="F138" s="1"/>
      <c r="G138" s="1"/>
      <c r="H138" s="1"/>
      <c r="I138" s="1"/>
      <c r="J138" s="1"/>
      <c r="K138" s="1" t="s">
        <v>284</v>
      </c>
      <c r="L138" s="1" t="s">
        <v>716</v>
      </c>
      <c r="M138" s="1" t="s">
        <v>717</v>
      </c>
      <c r="N138" s="1" t="s">
        <v>718</v>
      </c>
      <c r="O138" s="1"/>
      <c r="P138" s="1"/>
      <c r="Q138" s="1"/>
      <c r="R138" s="1"/>
      <c r="S138" s="1"/>
      <c r="T138" s="1"/>
      <c r="U138" s="3" t="s">
        <v>669</v>
      </c>
      <c r="V138" s="1">
        <v>0</v>
      </c>
    </row>
    <row r="139" spans="1:22" ht="409.6">
      <c r="A139" s="1"/>
      <c r="B139" s="1" t="s">
        <v>38</v>
      </c>
      <c r="C139" s="1"/>
      <c r="D139" s="1" t="s">
        <v>212</v>
      </c>
      <c r="E139" s="1" t="s">
        <v>719</v>
      </c>
      <c r="F139" s="1"/>
      <c r="G139" s="1"/>
      <c r="H139" s="1"/>
      <c r="I139" s="1"/>
      <c r="J139" s="1"/>
      <c r="K139" s="1" t="s">
        <v>284</v>
      </c>
      <c r="L139" s="1" t="s">
        <v>720</v>
      </c>
      <c r="M139" s="1" t="s">
        <v>721</v>
      </c>
      <c r="N139" s="1" t="s">
        <v>722</v>
      </c>
      <c r="O139" s="1"/>
      <c r="P139" s="1"/>
      <c r="Q139" s="1"/>
      <c r="R139" s="1"/>
      <c r="S139" s="1"/>
      <c r="T139" s="1"/>
      <c r="U139" s="3" t="s">
        <v>268</v>
      </c>
      <c r="V139" s="1">
        <v>0</v>
      </c>
    </row>
    <row r="140" spans="1:22" ht="409.6">
      <c r="A140" s="1"/>
      <c r="B140" s="1" t="s">
        <v>38</v>
      </c>
      <c r="C140" s="1"/>
      <c r="D140" s="1" t="s">
        <v>212</v>
      </c>
      <c r="E140" s="1" t="s">
        <v>723</v>
      </c>
      <c r="F140" s="1"/>
      <c r="G140" s="1" t="s">
        <v>724</v>
      </c>
      <c r="H140" s="1"/>
      <c r="I140" s="1"/>
      <c r="J140" s="1"/>
      <c r="K140" s="1" t="s">
        <v>284</v>
      </c>
      <c r="L140" s="1" t="s">
        <v>725</v>
      </c>
      <c r="M140" s="1" t="s">
        <v>726</v>
      </c>
      <c r="N140" s="1" t="s">
        <v>722</v>
      </c>
      <c r="O140" s="1"/>
      <c r="P140" s="1"/>
      <c r="Q140" s="1"/>
      <c r="R140" s="1"/>
      <c r="S140" s="1"/>
      <c r="T140" s="1"/>
      <c r="U140" s="3" t="s">
        <v>268</v>
      </c>
      <c r="V140" s="1">
        <v>0</v>
      </c>
    </row>
    <row r="141" spans="1:22" ht="409.6">
      <c r="A141" s="1"/>
      <c r="B141" s="1" t="s">
        <v>38</v>
      </c>
      <c r="C141" s="1"/>
      <c r="D141" s="1" t="s">
        <v>212</v>
      </c>
      <c r="E141" s="1" t="s">
        <v>727</v>
      </c>
      <c r="F141" s="1"/>
      <c r="G141" s="1"/>
      <c r="H141" s="1"/>
      <c r="I141" s="1"/>
      <c r="J141" s="1"/>
      <c r="K141" s="1" t="s">
        <v>284</v>
      </c>
      <c r="L141" s="1" t="s">
        <v>728</v>
      </c>
      <c r="M141" s="1" t="s">
        <v>729</v>
      </c>
      <c r="N141" s="1" t="s">
        <v>730</v>
      </c>
      <c r="O141" s="1"/>
      <c r="P141" s="1"/>
      <c r="Q141" s="1"/>
      <c r="R141" s="1"/>
      <c r="S141" s="1"/>
      <c r="T141" s="1"/>
      <c r="U141" s="3" t="s">
        <v>731</v>
      </c>
      <c r="V141" s="1">
        <v>0</v>
      </c>
    </row>
    <row r="142" spans="1:22" ht="409.6">
      <c r="A142" s="1"/>
      <c r="B142" s="1" t="s">
        <v>38</v>
      </c>
      <c r="C142" s="1"/>
      <c r="D142" s="1" t="s">
        <v>212</v>
      </c>
      <c r="E142" s="1" t="s">
        <v>732</v>
      </c>
      <c r="F142" s="1"/>
      <c r="G142" s="1"/>
      <c r="H142" s="1"/>
      <c r="I142" s="1"/>
      <c r="J142" s="1"/>
      <c r="K142" s="1" t="s">
        <v>284</v>
      </c>
      <c r="L142" s="1" t="s">
        <v>733</v>
      </c>
      <c r="M142" s="1" t="s">
        <v>734</v>
      </c>
      <c r="N142" s="3" t="s">
        <v>735</v>
      </c>
      <c r="O142" s="1"/>
      <c r="P142" s="1"/>
      <c r="Q142" s="1"/>
      <c r="R142" s="1"/>
      <c r="S142" s="1"/>
      <c r="T142" s="1"/>
      <c r="U142" s="3" t="s">
        <v>736</v>
      </c>
      <c r="V142" s="1">
        <v>0</v>
      </c>
    </row>
    <row r="143" spans="1:22" ht="409.6">
      <c r="A143" s="1"/>
      <c r="B143" s="1" t="s">
        <v>38</v>
      </c>
      <c r="C143" s="1"/>
      <c r="D143" s="1" t="s">
        <v>212</v>
      </c>
      <c r="E143" s="1" t="s">
        <v>737</v>
      </c>
      <c r="F143" s="1"/>
      <c r="G143" s="1"/>
      <c r="H143" s="1"/>
      <c r="I143" s="1"/>
      <c r="J143" s="1"/>
      <c r="K143" s="1" t="s">
        <v>284</v>
      </c>
      <c r="L143" s="1" t="s">
        <v>738</v>
      </c>
      <c r="M143" s="1" t="s">
        <v>739</v>
      </c>
      <c r="N143" s="1" t="s">
        <v>740</v>
      </c>
      <c r="O143" s="1"/>
      <c r="P143" s="1"/>
      <c r="Q143" s="1"/>
      <c r="R143" s="1"/>
      <c r="S143" s="1"/>
      <c r="T143" s="1"/>
      <c r="U143" s="3" t="s">
        <v>461</v>
      </c>
      <c r="V143" s="1">
        <v>0</v>
      </c>
    </row>
    <row r="144" spans="1:22" ht="409.6">
      <c r="A144" s="1"/>
      <c r="B144" s="1" t="s">
        <v>38</v>
      </c>
      <c r="C144" s="1"/>
      <c r="D144" s="1" t="s">
        <v>212</v>
      </c>
      <c r="E144" s="1" t="s">
        <v>741</v>
      </c>
      <c r="F144" s="1"/>
      <c r="G144" s="1"/>
      <c r="H144" s="1"/>
      <c r="I144" s="1"/>
      <c r="J144" s="1"/>
      <c r="K144" s="1" t="s">
        <v>284</v>
      </c>
      <c r="L144" s="1" t="s">
        <v>742</v>
      </c>
      <c r="M144" s="1" t="s">
        <v>743</v>
      </c>
      <c r="N144" s="1" t="s">
        <v>744</v>
      </c>
      <c r="O144" s="1"/>
      <c r="P144" s="1"/>
      <c r="Q144" s="1"/>
      <c r="R144" s="1"/>
      <c r="S144" s="1"/>
      <c r="T144" s="1"/>
      <c r="U144" s="3" t="s">
        <v>461</v>
      </c>
      <c r="V144" s="1">
        <v>0</v>
      </c>
    </row>
    <row r="145" spans="1:22" ht="409.6">
      <c r="A145" s="1"/>
      <c r="B145" s="1" t="s">
        <v>38</v>
      </c>
      <c r="C145" s="1"/>
      <c r="D145" s="1" t="s">
        <v>212</v>
      </c>
      <c r="E145" s="1" t="s">
        <v>745</v>
      </c>
      <c r="F145" s="1"/>
      <c r="G145" s="1"/>
      <c r="H145" s="1"/>
      <c r="I145" s="1"/>
      <c r="J145" s="1"/>
      <c r="K145" s="1" t="s">
        <v>284</v>
      </c>
      <c r="L145" s="1" t="s">
        <v>746</v>
      </c>
      <c r="M145" s="1" t="s">
        <v>747</v>
      </c>
      <c r="N145" s="1" t="s">
        <v>748</v>
      </c>
      <c r="O145" s="1"/>
      <c r="P145" s="1"/>
      <c r="Q145" s="1"/>
      <c r="R145" s="1"/>
      <c r="S145" s="1"/>
      <c r="T145" s="1"/>
      <c r="U145" s="3" t="s">
        <v>461</v>
      </c>
      <c r="V145" s="1">
        <v>0</v>
      </c>
    </row>
    <row r="146" spans="1:22" ht="409.6">
      <c r="A146" s="1"/>
      <c r="B146" s="1" t="s">
        <v>38</v>
      </c>
      <c r="C146" s="1"/>
      <c r="D146" s="1" t="s">
        <v>212</v>
      </c>
      <c r="E146" s="1" t="s">
        <v>749</v>
      </c>
      <c r="F146" s="1"/>
      <c r="G146" s="1"/>
      <c r="H146" s="1"/>
      <c r="I146" s="1"/>
      <c r="J146" s="1"/>
      <c r="K146" s="1" t="s">
        <v>284</v>
      </c>
      <c r="L146" s="1" t="s">
        <v>750</v>
      </c>
      <c r="M146" s="1" t="s">
        <v>751</v>
      </c>
      <c r="N146" s="1" t="s">
        <v>748</v>
      </c>
      <c r="O146" s="1"/>
      <c r="P146" s="1"/>
      <c r="Q146" s="1"/>
      <c r="R146" s="1"/>
      <c r="S146" s="1"/>
      <c r="T146" s="1"/>
      <c r="U146" s="3" t="s">
        <v>461</v>
      </c>
      <c r="V146" s="1">
        <v>0</v>
      </c>
    </row>
    <row r="147" spans="1:22" ht="409.6">
      <c r="A147" s="1"/>
      <c r="B147" s="1" t="s">
        <v>38</v>
      </c>
      <c r="C147" s="1"/>
      <c r="D147" s="1" t="s">
        <v>212</v>
      </c>
      <c r="E147" s="1" t="s">
        <v>752</v>
      </c>
      <c r="F147" s="1"/>
      <c r="G147" s="1"/>
      <c r="H147" s="1"/>
      <c r="I147" s="1"/>
      <c r="J147" s="1"/>
      <c r="K147" s="1" t="s">
        <v>284</v>
      </c>
      <c r="L147" s="1" t="s">
        <v>753</v>
      </c>
      <c r="M147" s="1" t="s">
        <v>754</v>
      </c>
      <c r="N147" s="1" t="s">
        <v>755</v>
      </c>
      <c r="O147" s="1"/>
      <c r="P147" s="1"/>
      <c r="Q147" s="1"/>
      <c r="R147" s="1"/>
      <c r="S147" s="1"/>
      <c r="T147" s="1"/>
      <c r="U147" s="3" t="s">
        <v>669</v>
      </c>
      <c r="V147" s="1">
        <v>0</v>
      </c>
    </row>
    <row r="148" spans="1:22" ht="409.6">
      <c r="A148" s="1"/>
      <c r="B148" s="1" t="s">
        <v>38</v>
      </c>
      <c r="C148" s="1"/>
      <c r="D148" s="1" t="s">
        <v>212</v>
      </c>
      <c r="E148" s="1" t="s">
        <v>756</v>
      </c>
      <c r="F148" s="1"/>
      <c r="G148" s="1"/>
      <c r="H148" s="1"/>
      <c r="I148" s="1"/>
      <c r="J148" s="1"/>
      <c r="K148" s="1" t="s">
        <v>284</v>
      </c>
      <c r="L148" s="1" t="s">
        <v>757</v>
      </c>
      <c r="M148" s="1" t="s">
        <v>758</v>
      </c>
      <c r="N148" s="1" t="s">
        <v>664</v>
      </c>
      <c r="O148" s="1"/>
      <c r="P148" s="1"/>
      <c r="Q148" s="1"/>
      <c r="R148" s="1"/>
      <c r="S148" s="1"/>
      <c r="T148" s="1"/>
      <c r="U148" s="3" t="s">
        <v>669</v>
      </c>
      <c r="V148" s="1">
        <v>0</v>
      </c>
    </row>
    <row r="149" spans="1:22" ht="409.6">
      <c r="A149" s="1"/>
      <c r="B149" s="1" t="s">
        <v>38</v>
      </c>
      <c r="C149" s="1"/>
      <c r="D149" s="1" t="s">
        <v>212</v>
      </c>
      <c r="E149" s="1" t="s">
        <v>759</v>
      </c>
      <c r="F149" s="1"/>
      <c r="G149" s="1"/>
      <c r="H149" s="1"/>
      <c r="I149" s="1"/>
      <c r="J149" s="1"/>
      <c r="K149" s="1" t="s">
        <v>284</v>
      </c>
      <c r="L149" s="1" t="s">
        <v>760</v>
      </c>
      <c r="M149" s="1" t="s">
        <v>761</v>
      </c>
      <c r="N149" s="1" t="s">
        <v>762</v>
      </c>
      <c r="O149" s="1"/>
      <c r="P149" s="1"/>
      <c r="Q149" s="1"/>
      <c r="R149" s="1"/>
      <c r="S149" s="1"/>
      <c r="T149" s="1"/>
      <c r="U149" s="3" t="s">
        <v>763</v>
      </c>
      <c r="V149" s="1">
        <v>0</v>
      </c>
    </row>
    <row r="150" spans="1:22" ht="409.6">
      <c r="A150" s="1"/>
      <c r="B150" s="1" t="s">
        <v>38</v>
      </c>
      <c r="C150" s="1"/>
      <c r="D150" s="1" t="s">
        <v>212</v>
      </c>
      <c r="E150" s="1" t="s">
        <v>764</v>
      </c>
      <c r="F150" s="1"/>
      <c r="G150" s="1"/>
      <c r="H150" s="1"/>
      <c r="I150" s="1"/>
      <c r="J150" s="1"/>
      <c r="K150" s="1" t="s">
        <v>284</v>
      </c>
      <c r="L150" s="1" t="s">
        <v>765</v>
      </c>
      <c r="M150" s="1" t="s">
        <v>766</v>
      </c>
      <c r="N150" s="1" t="s">
        <v>696</v>
      </c>
      <c r="O150" s="1"/>
      <c r="P150" s="1"/>
      <c r="Q150" s="1"/>
      <c r="R150" s="1"/>
      <c r="S150" s="1"/>
      <c r="T150" s="1"/>
      <c r="U150" s="3" t="s">
        <v>268</v>
      </c>
      <c r="V150" s="1">
        <v>0</v>
      </c>
    </row>
    <row r="151" spans="1:22" ht="409.6">
      <c r="A151" s="1"/>
      <c r="B151" s="1" t="s">
        <v>38</v>
      </c>
      <c r="C151" s="1"/>
      <c r="D151" s="1" t="s">
        <v>212</v>
      </c>
      <c r="E151" s="1" t="s">
        <v>767</v>
      </c>
      <c r="F151" s="1"/>
      <c r="G151" s="1"/>
      <c r="H151" s="1"/>
      <c r="I151" s="1"/>
      <c r="J151" s="1"/>
      <c r="K151" s="1" t="s">
        <v>284</v>
      </c>
      <c r="L151" s="1" t="s">
        <v>768</v>
      </c>
      <c r="M151" s="1" t="s">
        <v>769</v>
      </c>
      <c r="N151" s="1" t="s">
        <v>696</v>
      </c>
      <c r="O151" s="1"/>
      <c r="P151" s="1"/>
      <c r="Q151" s="1"/>
      <c r="R151" s="1"/>
      <c r="S151" s="1"/>
      <c r="T151" s="1"/>
      <c r="U151" s="3" t="s">
        <v>268</v>
      </c>
      <c r="V151" s="1">
        <v>0</v>
      </c>
    </row>
    <row r="152" spans="1:22" ht="409.6">
      <c r="A152" s="1"/>
      <c r="B152" s="1" t="s">
        <v>38</v>
      </c>
      <c r="C152" s="1"/>
      <c r="D152" s="1" t="s">
        <v>212</v>
      </c>
      <c r="E152" s="1" t="s">
        <v>770</v>
      </c>
      <c r="F152" s="1"/>
      <c r="G152" s="1"/>
      <c r="H152" s="1"/>
      <c r="I152" s="1"/>
      <c r="J152" s="1"/>
      <c r="K152" s="1" t="s">
        <v>284</v>
      </c>
      <c r="L152" s="1" t="s">
        <v>771</v>
      </c>
      <c r="M152" s="1" t="s">
        <v>772</v>
      </c>
      <c r="N152" s="1" t="s">
        <v>773</v>
      </c>
      <c r="O152" s="1"/>
      <c r="P152" s="1"/>
      <c r="Q152" s="1"/>
      <c r="R152" s="1"/>
      <c r="S152" s="1"/>
      <c r="T152" s="1"/>
      <c r="U152" s="3" t="s">
        <v>669</v>
      </c>
      <c r="V152" s="1">
        <v>0</v>
      </c>
    </row>
    <row r="153" spans="1:22" ht="409.6">
      <c r="A153" s="1"/>
      <c r="B153" s="1" t="s">
        <v>38</v>
      </c>
      <c r="C153" s="1"/>
      <c r="D153" s="1" t="s">
        <v>212</v>
      </c>
      <c r="E153" s="1" t="s">
        <v>774</v>
      </c>
      <c r="F153" s="1"/>
      <c r="G153" s="1"/>
      <c r="H153" s="1"/>
      <c r="I153" s="1"/>
      <c r="J153" s="1"/>
      <c r="K153" s="1" t="s">
        <v>284</v>
      </c>
      <c r="L153" s="1" t="s">
        <v>775</v>
      </c>
      <c r="M153" s="1" t="s">
        <v>776</v>
      </c>
      <c r="N153" s="1" t="s">
        <v>777</v>
      </c>
      <c r="O153" s="1"/>
      <c r="P153" s="1"/>
      <c r="Q153" s="1"/>
      <c r="R153" s="1"/>
      <c r="S153" s="1"/>
      <c r="T153" s="1"/>
      <c r="U153" s="3" t="s">
        <v>172</v>
      </c>
      <c r="V153" s="1">
        <v>0</v>
      </c>
    </row>
    <row r="154" spans="1:22" ht="409.6">
      <c r="A154" s="1"/>
      <c r="B154" s="1" t="s">
        <v>38</v>
      </c>
      <c r="C154" s="1"/>
      <c r="D154" s="1" t="s">
        <v>212</v>
      </c>
      <c r="E154" s="1" t="s">
        <v>778</v>
      </c>
      <c r="F154" s="1"/>
      <c r="G154" s="1"/>
      <c r="H154" s="1"/>
      <c r="I154" s="1"/>
      <c r="J154" s="1"/>
      <c r="K154" s="1" t="s">
        <v>284</v>
      </c>
      <c r="L154" s="1" t="s">
        <v>779</v>
      </c>
      <c r="M154" s="1" t="s">
        <v>780</v>
      </c>
      <c r="N154" s="1" t="s">
        <v>777</v>
      </c>
      <c r="O154" s="1"/>
      <c r="P154" s="1"/>
      <c r="Q154" s="1"/>
      <c r="R154" s="1"/>
      <c r="S154" s="1"/>
      <c r="T154" s="1"/>
      <c r="U154" s="3" t="s">
        <v>172</v>
      </c>
      <c r="V154" s="1">
        <v>0</v>
      </c>
    </row>
    <row r="155" spans="1:22" ht="409.6">
      <c r="A155" s="1"/>
      <c r="B155" s="1" t="s">
        <v>38</v>
      </c>
      <c r="C155" s="1"/>
      <c r="D155" s="1" t="s">
        <v>212</v>
      </c>
      <c r="E155" s="1" t="s">
        <v>781</v>
      </c>
      <c r="F155" s="1"/>
      <c r="G155" s="1"/>
      <c r="H155" s="1"/>
      <c r="I155" s="1"/>
      <c r="J155" s="1"/>
      <c r="K155" s="1" t="s">
        <v>284</v>
      </c>
      <c r="L155" s="1" t="s">
        <v>782</v>
      </c>
      <c r="M155" s="1" t="s">
        <v>783</v>
      </c>
      <c r="N155" s="1" t="s">
        <v>784</v>
      </c>
      <c r="O155" s="1"/>
      <c r="P155" s="1"/>
      <c r="Q155" s="1"/>
      <c r="R155" s="1"/>
      <c r="S155" s="1"/>
      <c r="T155" s="1"/>
      <c r="U155" s="3" t="s">
        <v>268</v>
      </c>
      <c r="V155" s="1">
        <v>0</v>
      </c>
    </row>
    <row r="156" spans="1:22" ht="409.6">
      <c r="A156" s="1"/>
      <c r="B156" s="1" t="s">
        <v>38</v>
      </c>
      <c r="C156" s="1"/>
      <c r="D156" s="1" t="s">
        <v>212</v>
      </c>
      <c r="E156" s="1" t="s">
        <v>785</v>
      </c>
      <c r="F156" s="1"/>
      <c r="G156" s="1"/>
      <c r="H156" s="1"/>
      <c r="I156" s="1"/>
      <c r="J156" s="1"/>
      <c r="K156" s="1" t="s">
        <v>284</v>
      </c>
      <c r="L156" s="1" t="s">
        <v>786</v>
      </c>
      <c r="M156" s="1" t="s">
        <v>787</v>
      </c>
      <c r="N156" s="1" t="s">
        <v>788</v>
      </c>
      <c r="O156" s="1"/>
      <c r="P156" s="1"/>
      <c r="Q156" s="1"/>
      <c r="R156" s="1"/>
      <c r="S156" s="1"/>
      <c r="T156" s="1"/>
      <c r="U156" s="3" t="s">
        <v>268</v>
      </c>
      <c r="V156" s="1">
        <v>0</v>
      </c>
    </row>
    <row r="157" spans="1:22" ht="409.6">
      <c r="A157" s="1"/>
      <c r="B157" s="1" t="s">
        <v>38</v>
      </c>
      <c r="C157" s="1"/>
      <c r="D157" s="1" t="s">
        <v>212</v>
      </c>
      <c r="E157" s="1" t="s">
        <v>789</v>
      </c>
      <c r="F157" s="1"/>
      <c r="G157" s="1"/>
      <c r="H157" s="1"/>
      <c r="I157" s="1"/>
      <c r="J157" s="1"/>
      <c r="K157" s="1" t="s">
        <v>284</v>
      </c>
      <c r="L157" s="1" t="s">
        <v>790</v>
      </c>
      <c r="M157" s="1" t="s">
        <v>791</v>
      </c>
      <c r="N157" s="1" t="s">
        <v>792</v>
      </c>
      <c r="O157" s="1"/>
      <c r="P157" s="1"/>
      <c r="Q157" s="1"/>
      <c r="R157" s="1"/>
      <c r="S157" s="1"/>
      <c r="T157" s="1"/>
      <c r="U157" s="3" t="s">
        <v>268</v>
      </c>
      <c r="V157" s="1">
        <v>0</v>
      </c>
    </row>
    <row r="158" spans="1:22" ht="409.6">
      <c r="A158" s="1"/>
      <c r="B158" s="1" t="s">
        <v>38</v>
      </c>
      <c r="C158" s="1"/>
      <c r="D158" s="1" t="s">
        <v>212</v>
      </c>
      <c r="E158" s="1" t="s">
        <v>793</v>
      </c>
      <c r="F158" s="1"/>
      <c r="G158" s="1"/>
      <c r="H158" s="1"/>
      <c r="I158" s="1"/>
      <c r="J158" s="1"/>
      <c r="K158" s="1" t="s">
        <v>284</v>
      </c>
      <c r="L158" s="1" t="s">
        <v>794</v>
      </c>
      <c r="M158" s="1" t="s">
        <v>795</v>
      </c>
      <c r="N158" s="1" t="s">
        <v>796</v>
      </c>
      <c r="O158" s="1"/>
      <c r="P158" s="1"/>
      <c r="Q158" s="1"/>
      <c r="R158" s="1"/>
      <c r="S158" s="1"/>
      <c r="T158" s="1"/>
      <c r="U158" s="3" t="s">
        <v>268</v>
      </c>
      <c r="V158" s="1">
        <v>0</v>
      </c>
    </row>
    <row r="159" spans="1:22" ht="409.6">
      <c r="A159" s="1"/>
      <c r="B159" s="1" t="s">
        <v>38</v>
      </c>
      <c r="C159" s="1"/>
      <c r="D159" s="1" t="s">
        <v>212</v>
      </c>
      <c r="E159" s="1" t="s">
        <v>797</v>
      </c>
      <c r="F159" s="1" t="s">
        <v>133</v>
      </c>
      <c r="G159" s="1" t="s">
        <v>26</v>
      </c>
      <c r="H159" s="1"/>
      <c r="I159" s="1"/>
      <c r="J159" s="1" t="s">
        <v>115</v>
      </c>
      <c r="K159" s="1" t="s">
        <v>284</v>
      </c>
      <c r="L159" s="1" t="s">
        <v>798</v>
      </c>
      <c r="M159" s="1" t="s">
        <v>799</v>
      </c>
      <c r="N159" s="1" t="s">
        <v>800</v>
      </c>
      <c r="O159" s="1"/>
      <c r="P159" s="1"/>
      <c r="Q159" s="1"/>
      <c r="R159" s="1"/>
      <c r="S159" s="1" t="s">
        <v>575</v>
      </c>
      <c r="T159" s="1"/>
      <c r="U159" s="3" t="s">
        <v>268</v>
      </c>
      <c r="V159" s="1">
        <v>0</v>
      </c>
    </row>
    <row r="160" spans="1:22" ht="409.6">
      <c r="A160" s="1"/>
      <c r="B160" s="1" t="s">
        <v>38</v>
      </c>
      <c r="C160" s="1"/>
      <c r="D160" s="1" t="s">
        <v>212</v>
      </c>
      <c r="E160" s="1" t="s">
        <v>801</v>
      </c>
      <c r="F160" s="1"/>
      <c r="G160" s="1"/>
      <c r="H160" s="1"/>
      <c r="I160" s="1"/>
      <c r="J160" s="1"/>
      <c r="K160" s="1" t="s">
        <v>284</v>
      </c>
      <c r="L160" s="1" t="s">
        <v>802</v>
      </c>
      <c r="M160" s="1" t="s">
        <v>803</v>
      </c>
      <c r="N160" s="1" t="s">
        <v>804</v>
      </c>
      <c r="O160" s="1"/>
      <c r="P160" s="1"/>
      <c r="Q160" s="1"/>
      <c r="R160" s="1"/>
      <c r="S160" s="1"/>
      <c r="T160" s="1"/>
      <c r="U160" s="3" t="s">
        <v>805</v>
      </c>
      <c r="V160" s="1">
        <v>0</v>
      </c>
    </row>
    <row r="161" spans="1:22" ht="409.6">
      <c r="A161" s="1"/>
      <c r="B161" s="1" t="s">
        <v>38</v>
      </c>
      <c r="C161" s="1"/>
      <c r="D161" s="1" t="s">
        <v>212</v>
      </c>
      <c r="E161" s="1" t="s">
        <v>806</v>
      </c>
      <c r="F161" s="1" t="s">
        <v>26</v>
      </c>
      <c r="G161" s="1" t="s">
        <v>26</v>
      </c>
      <c r="H161" s="1"/>
      <c r="I161" s="1"/>
      <c r="J161" s="1" t="s">
        <v>807</v>
      </c>
      <c r="K161" s="1" t="s">
        <v>116</v>
      </c>
      <c r="L161" s="1" t="s">
        <v>808</v>
      </c>
      <c r="M161" s="1" t="s">
        <v>809</v>
      </c>
      <c r="N161" s="1" t="s">
        <v>810</v>
      </c>
      <c r="O161" s="1"/>
      <c r="P161" s="1"/>
      <c r="Q161" s="1"/>
      <c r="R161" s="1"/>
      <c r="S161" s="1" t="s">
        <v>575</v>
      </c>
      <c r="T161" s="1"/>
      <c r="U161" s="3" t="s">
        <v>121</v>
      </c>
      <c r="V161" s="1">
        <v>0</v>
      </c>
    </row>
    <row r="162" spans="1:22" ht="409.6">
      <c r="A162" s="1"/>
      <c r="B162" s="1" t="s">
        <v>38</v>
      </c>
      <c r="C162" s="1"/>
      <c r="D162" s="1" t="s">
        <v>212</v>
      </c>
      <c r="E162" s="1" t="s">
        <v>811</v>
      </c>
      <c r="F162" s="1" t="s">
        <v>26</v>
      </c>
      <c r="G162" s="1" t="s">
        <v>26</v>
      </c>
      <c r="H162" s="1"/>
      <c r="I162" s="1"/>
      <c r="J162" s="1" t="s">
        <v>807</v>
      </c>
      <c r="K162" s="1" t="s">
        <v>116</v>
      </c>
      <c r="L162" s="1" t="s">
        <v>812</v>
      </c>
      <c r="M162" s="1" t="s">
        <v>813</v>
      </c>
      <c r="N162" s="1" t="s">
        <v>814</v>
      </c>
      <c r="O162" s="1" t="s">
        <v>815</v>
      </c>
      <c r="P162" s="1" t="s">
        <v>575</v>
      </c>
      <c r="Q162" s="1"/>
      <c r="R162" s="3" t="s">
        <v>121</v>
      </c>
      <c r="S162" s="1">
        <v>0</v>
      </c>
    </row>
    <row r="163" spans="1:22" ht="409.6">
      <c r="A163" s="1"/>
      <c r="B163" s="1" t="s">
        <v>38</v>
      </c>
      <c r="C163" s="1"/>
      <c r="D163" s="1" t="s">
        <v>212</v>
      </c>
      <c r="E163" s="1" t="s">
        <v>816</v>
      </c>
      <c r="F163" s="1" t="s">
        <v>26</v>
      </c>
      <c r="G163" s="1" t="s">
        <v>26</v>
      </c>
      <c r="H163" s="1"/>
      <c r="I163" s="1"/>
      <c r="J163" s="1" t="s">
        <v>807</v>
      </c>
      <c r="K163" s="1" t="s">
        <v>116</v>
      </c>
      <c r="L163" s="1" t="s">
        <v>817</v>
      </c>
      <c r="M163" s="1" t="s">
        <v>818</v>
      </c>
      <c r="N163" s="1" t="s">
        <v>819</v>
      </c>
      <c r="O163" s="1" t="s">
        <v>820</v>
      </c>
      <c r="P163" s="1" t="s">
        <v>575</v>
      </c>
      <c r="Q163" s="1"/>
      <c r="R163" s="3" t="s">
        <v>121</v>
      </c>
      <c r="S163" s="1">
        <v>0</v>
      </c>
    </row>
    <row r="164" spans="1:22" ht="409.6">
      <c r="A164" s="1"/>
      <c r="B164" s="1" t="s">
        <v>38</v>
      </c>
      <c r="C164" s="1"/>
      <c r="D164" s="1" t="s">
        <v>212</v>
      </c>
      <c r="E164" s="1" t="s">
        <v>821</v>
      </c>
      <c r="F164" s="1" t="s">
        <v>26</v>
      </c>
      <c r="G164" s="1" t="s">
        <v>26</v>
      </c>
      <c r="H164" s="1"/>
      <c r="I164" s="1"/>
      <c r="J164" s="1" t="s">
        <v>807</v>
      </c>
      <c r="K164" s="1" t="s">
        <v>284</v>
      </c>
      <c r="L164" s="1" t="s">
        <v>822</v>
      </c>
      <c r="M164" s="1" t="s">
        <v>823</v>
      </c>
      <c r="N164" s="1" t="s">
        <v>824</v>
      </c>
      <c r="O164" s="1"/>
      <c r="P164" s="1"/>
      <c r="Q164" s="1"/>
      <c r="R164" s="1"/>
      <c r="S164" s="1" t="s">
        <v>575</v>
      </c>
      <c r="T164" s="1"/>
      <c r="U164" s="3" t="s">
        <v>172</v>
      </c>
      <c r="V164" s="1">
        <v>0</v>
      </c>
    </row>
    <row r="165" spans="1:22" ht="409.6">
      <c r="A165" s="1"/>
      <c r="B165" s="1" t="s">
        <v>38</v>
      </c>
      <c r="C165" s="1"/>
      <c r="D165" s="1" t="s">
        <v>212</v>
      </c>
      <c r="E165" s="1" t="s">
        <v>825</v>
      </c>
      <c r="F165" s="1" t="s">
        <v>26</v>
      </c>
      <c r="G165" s="1" t="s">
        <v>26</v>
      </c>
      <c r="H165" s="1"/>
      <c r="I165" s="1"/>
      <c r="J165" s="1" t="s">
        <v>115</v>
      </c>
      <c r="K165" s="1" t="s">
        <v>284</v>
      </c>
      <c r="L165" s="1" t="s">
        <v>826</v>
      </c>
      <c r="M165" s="1" t="s">
        <v>827</v>
      </c>
      <c r="N165" s="1" t="s">
        <v>828</v>
      </c>
      <c r="O165" s="1"/>
      <c r="P165" s="1"/>
      <c r="Q165" s="1"/>
      <c r="R165" s="1"/>
      <c r="S165" s="1" t="s">
        <v>66</v>
      </c>
      <c r="T165" s="1"/>
      <c r="U165" s="3" t="s">
        <v>268</v>
      </c>
      <c r="V165" s="1">
        <v>0</v>
      </c>
    </row>
    <row r="166" spans="1:22" ht="409.6">
      <c r="A166" s="1"/>
      <c r="B166" s="1" t="s">
        <v>38</v>
      </c>
      <c r="C166" s="1"/>
      <c r="D166" s="1" t="s">
        <v>212</v>
      </c>
      <c r="E166" s="1" t="s">
        <v>829</v>
      </c>
      <c r="F166" s="1"/>
      <c r="G166" s="1"/>
      <c r="H166" s="1"/>
      <c r="I166" s="1"/>
      <c r="J166" s="1"/>
      <c r="K166" s="1" t="s">
        <v>284</v>
      </c>
      <c r="L166" s="1" t="s">
        <v>830</v>
      </c>
      <c r="M166" s="1" t="s">
        <v>831</v>
      </c>
      <c r="N166" s="1" t="s">
        <v>832</v>
      </c>
      <c r="O166" s="1"/>
      <c r="P166" s="1"/>
      <c r="Q166" s="1"/>
      <c r="R166" s="1"/>
      <c r="S166" s="1"/>
      <c r="T166" s="1"/>
      <c r="U166" s="3" t="s">
        <v>268</v>
      </c>
      <c r="V166" s="1">
        <v>0</v>
      </c>
    </row>
    <row r="167" spans="1:22" ht="409.6">
      <c r="A167" s="1"/>
      <c r="B167" s="1" t="s">
        <v>38</v>
      </c>
      <c r="C167" s="1"/>
      <c r="D167" s="1" t="s">
        <v>212</v>
      </c>
      <c r="E167" s="1" t="s">
        <v>833</v>
      </c>
      <c r="F167" s="1"/>
      <c r="G167" s="1"/>
      <c r="H167" s="1"/>
      <c r="I167" s="1"/>
      <c r="J167" s="1"/>
      <c r="K167" s="1" t="s">
        <v>284</v>
      </c>
      <c r="L167" s="1" t="s">
        <v>834</v>
      </c>
      <c r="M167" s="1" t="s">
        <v>835</v>
      </c>
      <c r="N167" s="3" t="s">
        <v>836</v>
      </c>
      <c r="O167" s="1"/>
      <c r="P167" s="1"/>
      <c r="Q167" s="1"/>
      <c r="R167" s="1"/>
      <c r="S167" s="1"/>
      <c r="T167" s="1"/>
      <c r="U167" s="3" t="s">
        <v>268</v>
      </c>
      <c r="V167" s="1">
        <v>0</v>
      </c>
    </row>
    <row r="168" spans="1:22" ht="409.6">
      <c r="A168" s="1"/>
      <c r="B168" s="1" t="s">
        <v>38</v>
      </c>
      <c r="C168" s="1"/>
      <c r="D168" s="1" t="s">
        <v>212</v>
      </c>
      <c r="E168" s="1" t="s">
        <v>837</v>
      </c>
      <c r="F168" s="1"/>
      <c r="G168" s="1"/>
      <c r="H168" s="1"/>
      <c r="I168" s="1"/>
      <c r="J168" s="1"/>
      <c r="K168" s="1" t="s">
        <v>284</v>
      </c>
      <c r="L168" s="1" t="s">
        <v>838</v>
      </c>
      <c r="M168" s="1" t="s">
        <v>839</v>
      </c>
      <c r="N168" s="1" t="s">
        <v>840</v>
      </c>
      <c r="O168" s="1"/>
      <c r="P168" s="1"/>
      <c r="Q168" s="1"/>
      <c r="R168" s="1"/>
      <c r="S168" s="1"/>
      <c r="T168" s="1"/>
      <c r="U168" s="3" t="s">
        <v>669</v>
      </c>
      <c r="V168" s="1">
        <v>0</v>
      </c>
    </row>
    <row r="169" spans="1:22" ht="409.6">
      <c r="A169" s="1"/>
      <c r="B169" s="1" t="s">
        <v>38</v>
      </c>
      <c r="C169" s="1"/>
      <c r="D169" s="1" t="s">
        <v>212</v>
      </c>
      <c r="E169" s="1" t="s">
        <v>841</v>
      </c>
      <c r="F169" s="1"/>
      <c r="G169" s="1"/>
      <c r="H169" s="1"/>
      <c r="I169" s="1"/>
      <c r="J169" s="1"/>
      <c r="K169" s="1" t="s">
        <v>284</v>
      </c>
      <c r="L169" s="1" t="s">
        <v>842</v>
      </c>
      <c r="M169" s="1" t="s">
        <v>843</v>
      </c>
      <c r="N169" s="1" t="s">
        <v>844</v>
      </c>
      <c r="O169" s="1"/>
      <c r="P169" s="1"/>
      <c r="Q169" s="1"/>
      <c r="R169" s="1"/>
      <c r="S169" s="1"/>
      <c r="T169" s="1"/>
      <c r="U169" s="3" t="s">
        <v>669</v>
      </c>
      <c r="V169" s="1">
        <v>0</v>
      </c>
    </row>
    <row r="170" spans="1:22" ht="409.6">
      <c r="A170" s="1"/>
      <c r="B170" s="1" t="s">
        <v>38</v>
      </c>
      <c r="C170" s="1"/>
      <c r="D170" s="1" t="s">
        <v>212</v>
      </c>
      <c r="E170" s="1" t="s">
        <v>845</v>
      </c>
      <c r="F170" s="1"/>
      <c r="G170" s="1"/>
      <c r="H170" s="1"/>
      <c r="I170" s="1"/>
      <c r="J170" s="1"/>
      <c r="K170" s="1" t="s">
        <v>284</v>
      </c>
      <c r="L170" s="1" t="s">
        <v>846</v>
      </c>
      <c r="M170" s="1" t="s">
        <v>847</v>
      </c>
      <c r="N170" s="1" t="s">
        <v>664</v>
      </c>
      <c r="O170" s="1"/>
      <c r="P170" s="1"/>
      <c r="Q170" s="1"/>
      <c r="R170" s="1"/>
      <c r="S170" s="1"/>
      <c r="T170" s="1"/>
      <c r="U170" s="3" t="s">
        <v>669</v>
      </c>
      <c r="V170" s="1">
        <v>0</v>
      </c>
    </row>
    <row r="171" spans="1:22" ht="409.6">
      <c r="A171" s="1"/>
      <c r="B171" s="1" t="s">
        <v>38</v>
      </c>
      <c r="C171" s="1"/>
      <c r="D171" s="1" t="s">
        <v>212</v>
      </c>
      <c r="E171" s="1" t="s">
        <v>848</v>
      </c>
      <c r="F171" s="1"/>
      <c r="G171" s="1"/>
      <c r="H171" s="1"/>
      <c r="I171" s="1"/>
      <c r="J171" s="1"/>
      <c r="K171" s="1" t="s">
        <v>284</v>
      </c>
      <c r="L171" s="1" t="s">
        <v>849</v>
      </c>
      <c r="M171" s="1" t="s">
        <v>850</v>
      </c>
      <c r="N171" s="1" t="s">
        <v>468</v>
      </c>
      <c r="O171" s="1"/>
      <c r="P171" s="1"/>
      <c r="Q171" s="1"/>
      <c r="R171" s="1"/>
      <c r="S171" s="1"/>
      <c r="T171" s="1"/>
      <c r="U171" s="3" t="s">
        <v>352</v>
      </c>
      <c r="V171" s="1">
        <v>0</v>
      </c>
    </row>
    <row r="172" spans="1:22" ht="409.6">
      <c r="A172" s="1"/>
      <c r="B172" s="1" t="s">
        <v>38</v>
      </c>
      <c r="C172" s="1"/>
      <c r="D172" s="1" t="s">
        <v>212</v>
      </c>
      <c r="E172" s="1" t="s">
        <v>851</v>
      </c>
      <c r="F172" s="1"/>
      <c r="G172" s="1"/>
      <c r="H172" s="1"/>
      <c r="I172" s="1"/>
      <c r="J172" s="1"/>
      <c r="K172" s="1" t="s">
        <v>284</v>
      </c>
      <c r="L172" s="1" t="s">
        <v>852</v>
      </c>
      <c r="M172" s="1" t="s">
        <v>853</v>
      </c>
      <c r="N172" s="1" t="s">
        <v>854</v>
      </c>
      <c r="O172" s="1"/>
      <c r="P172" s="1"/>
      <c r="Q172" s="1"/>
      <c r="R172" s="1"/>
      <c r="S172" s="1"/>
      <c r="T172" s="1"/>
      <c r="U172" s="3" t="s">
        <v>268</v>
      </c>
      <c r="V172" s="1">
        <v>0</v>
      </c>
    </row>
    <row r="173" spans="1:22" ht="409.6">
      <c r="A173" s="1"/>
      <c r="B173" s="1" t="s">
        <v>38</v>
      </c>
      <c r="C173" s="1"/>
      <c r="D173" s="1" t="s">
        <v>212</v>
      </c>
      <c r="E173" s="1" t="s">
        <v>855</v>
      </c>
      <c r="F173" s="1"/>
      <c r="G173" s="1"/>
      <c r="H173" s="1"/>
      <c r="I173" s="1"/>
      <c r="J173" s="1"/>
      <c r="K173" s="1" t="s">
        <v>284</v>
      </c>
      <c r="L173" s="1" t="s">
        <v>856</v>
      </c>
      <c r="M173" s="1" t="s">
        <v>857</v>
      </c>
      <c r="N173" s="1" t="s">
        <v>858</v>
      </c>
      <c r="O173" s="1"/>
      <c r="P173" s="1"/>
      <c r="Q173" s="1"/>
      <c r="R173" s="1"/>
      <c r="S173" s="1"/>
      <c r="T173" s="1"/>
      <c r="U173" s="3" t="s">
        <v>669</v>
      </c>
      <c r="V173" s="1">
        <v>0</v>
      </c>
    </row>
    <row r="174" spans="1:22">
      <c r="A174" s="1" t="s">
        <v>859</v>
      </c>
      <c r="B174" s="1" t="s">
        <v>860</v>
      </c>
      <c r="C174" s="2">
        <v>43923</v>
      </c>
      <c r="D174" s="1" t="s">
        <v>58</v>
      </c>
      <c r="E174" s="1" t="s">
        <v>861</v>
      </c>
      <c r="F174" s="1" t="s">
        <v>26</v>
      </c>
      <c r="G174" s="1" t="s">
        <v>26</v>
      </c>
      <c r="H174" s="1" t="s">
        <v>862</v>
      </c>
      <c r="I174" s="1" t="s">
        <v>863</v>
      </c>
      <c r="J174" s="1" t="s">
        <v>29</v>
      </c>
      <c r="K174" s="1" t="s">
        <v>864</v>
      </c>
      <c r="L174" s="1" t="s">
        <v>865</v>
      </c>
      <c r="M174" s="1" t="s">
        <v>866</v>
      </c>
      <c r="N174" s="1" t="s">
        <v>867</v>
      </c>
      <c r="O174" s="1"/>
      <c r="P174" s="1"/>
      <c r="Q174" s="1" t="s">
        <v>868</v>
      </c>
      <c r="R174" s="1"/>
      <c r="S174" s="1" t="s">
        <v>60</v>
      </c>
      <c r="T174" s="1" t="s">
        <v>60</v>
      </c>
      <c r="U174" s="1"/>
      <c r="V174" s="1">
        <v>0</v>
      </c>
    </row>
    <row r="175" spans="1:22">
      <c r="A175" s="1" t="s">
        <v>859</v>
      </c>
      <c r="B175" s="1" t="s">
        <v>860</v>
      </c>
      <c r="C175" s="2">
        <v>43923</v>
      </c>
      <c r="D175" s="1" t="s">
        <v>58</v>
      </c>
      <c r="E175" s="1" t="s">
        <v>869</v>
      </c>
      <c r="F175" s="1" t="s">
        <v>26</v>
      </c>
      <c r="G175" s="1" t="s">
        <v>26</v>
      </c>
      <c r="H175" s="1" t="s">
        <v>862</v>
      </c>
      <c r="I175" s="1" t="s">
        <v>870</v>
      </c>
      <c r="J175" s="1" t="s">
        <v>29</v>
      </c>
      <c r="K175" s="1" t="s">
        <v>864</v>
      </c>
      <c r="L175" s="1" t="s">
        <v>871</v>
      </c>
      <c r="M175" s="1" t="s">
        <v>872</v>
      </c>
      <c r="N175" s="1" t="s">
        <v>873</v>
      </c>
      <c r="O175" s="1"/>
      <c r="P175" s="1"/>
      <c r="Q175" s="1" t="s">
        <v>868</v>
      </c>
      <c r="R175" s="1"/>
      <c r="S175" s="1" t="s">
        <v>60</v>
      </c>
      <c r="T175" s="1" t="s">
        <v>60</v>
      </c>
      <c r="U175" s="1"/>
      <c r="V175" s="1">
        <v>0</v>
      </c>
    </row>
    <row r="176" spans="1:22">
      <c r="A176" s="1" t="s">
        <v>859</v>
      </c>
      <c r="B176" s="1" t="s">
        <v>860</v>
      </c>
      <c r="C176" s="2">
        <v>43923</v>
      </c>
      <c r="D176" s="1" t="s">
        <v>58</v>
      </c>
      <c r="E176" s="1" t="s">
        <v>874</v>
      </c>
      <c r="F176" s="1" t="s">
        <v>26</v>
      </c>
      <c r="G176" s="1" t="s">
        <v>26</v>
      </c>
      <c r="H176" s="1" t="s">
        <v>862</v>
      </c>
      <c r="I176" s="1" t="s">
        <v>220</v>
      </c>
      <c r="J176" s="1" t="s">
        <v>29</v>
      </c>
      <c r="K176" s="1" t="s">
        <v>864</v>
      </c>
      <c r="L176" s="1" t="s">
        <v>875</v>
      </c>
      <c r="M176" s="1" t="s">
        <v>876</v>
      </c>
      <c r="N176" s="1" t="s">
        <v>877</v>
      </c>
      <c r="O176" s="1" t="s">
        <v>868</v>
      </c>
      <c r="P176" s="1"/>
      <c r="Q176" s="1" t="s">
        <v>60</v>
      </c>
      <c r="R176" s="1" t="s">
        <v>60</v>
      </c>
      <c r="S176" s="1"/>
      <c r="T176" s="1">
        <v>0</v>
      </c>
    </row>
    <row r="177" spans="1:22">
      <c r="A177" s="1" t="s">
        <v>859</v>
      </c>
      <c r="B177" s="1" t="s">
        <v>860</v>
      </c>
      <c r="C177" s="2">
        <v>43923</v>
      </c>
      <c r="D177" s="1" t="s">
        <v>58</v>
      </c>
      <c r="E177" s="1" t="s">
        <v>878</v>
      </c>
      <c r="F177" s="1" t="s">
        <v>26</v>
      </c>
      <c r="G177" s="1" t="s">
        <v>26</v>
      </c>
      <c r="H177" s="1" t="s">
        <v>862</v>
      </c>
      <c r="I177" s="1" t="s">
        <v>879</v>
      </c>
      <c r="J177" s="1" t="s">
        <v>29</v>
      </c>
      <c r="K177" s="1" t="s">
        <v>864</v>
      </c>
      <c r="L177" s="1" t="s">
        <v>880</v>
      </c>
      <c r="M177" s="1" t="s">
        <v>881</v>
      </c>
      <c r="N177" s="1" t="s">
        <v>882</v>
      </c>
      <c r="O177" s="1" t="s">
        <v>868</v>
      </c>
      <c r="P177" s="1"/>
      <c r="Q177" s="1" t="s">
        <v>60</v>
      </c>
      <c r="R177" s="1" t="s">
        <v>60</v>
      </c>
      <c r="S177" s="1"/>
      <c r="T177" s="1">
        <v>0</v>
      </c>
    </row>
    <row r="178" spans="1:22">
      <c r="A178" s="1" t="s">
        <v>859</v>
      </c>
      <c r="B178" s="1" t="s">
        <v>860</v>
      </c>
      <c r="C178" s="2">
        <v>43923</v>
      </c>
      <c r="D178" s="1" t="s">
        <v>58</v>
      </c>
      <c r="E178" s="1" t="s">
        <v>883</v>
      </c>
      <c r="F178" s="1" t="s">
        <v>26</v>
      </c>
      <c r="G178" s="1" t="s">
        <v>26</v>
      </c>
      <c r="H178" s="1" t="s">
        <v>862</v>
      </c>
      <c r="I178" s="1" t="s">
        <v>84</v>
      </c>
      <c r="J178" s="1" t="s">
        <v>29</v>
      </c>
      <c r="K178" s="1" t="s">
        <v>864</v>
      </c>
      <c r="L178" s="1" t="s">
        <v>884</v>
      </c>
      <c r="M178" s="1" t="s">
        <v>885</v>
      </c>
      <c r="N178" s="1" t="s">
        <v>886</v>
      </c>
      <c r="O178" s="1" t="s">
        <v>868</v>
      </c>
      <c r="P178" s="1"/>
      <c r="Q178" s="1" t="s">
        <v>60</v>
      </c>
      <c r="R178" s="1" t="s">
        <v>60</v>
      </c>
      <c r="S178" s="1"/>
      <c r="T178" s="1">
        <v>0</v>
      </c>
    </row>
    <row r="179" spans="1:22">
      <c r="A179" s="1" t="s">
        <v>887</v>
      </c>
      <c r="B179" s="1" t="s">
        <v>860</v>
      </c>
      <c r="C179" s="1" t="s">
        <v>39</v>
      </c>
      <c r="D179" s="1" t="s">
        <v>58</v>
      </c>
      <c r="E179" s="1" t="s">
        <v>888</v>
      </c>
      <c r="F179" s="1" t="s">
        <v>26</v>
      </c>
      <c r="G179" s="1" t="s">
        <v>26</v>
      </c>
      <c r="H179" s="1" t="s">
        <v>887</v>
      </c>
      <c r="I179" s="1" t="s">
        <v>96</v>
      </c>
      <c r="J179" s="1" t="s">
        <v>889</v>
      </c>
      <c r="K179" s="1" t="s">
        <v>890</v>
      </c>
      <c r="L179" s="1" t="s">
        <v>891</v>
      </c>
      <c r="M179" s="1" t="s">
        <v>892</v>
      </c>
      <c r="N179" s="1" t="s">
        <v>893</v>
      </c>
      <c r="O179" s="1" t="s">
        <v>894</v>
      </c>
      <c r="P179" s="1" t="s">
        <v>895</v>
      </c>
      <c r="Q179" s="1" t="s">
        <v>35</v>
      </c>
      <c r="R179" s="1" t="s">
        <v>273</v>
      </c>
      <c r="S179" s="1"/>
      <c r="T179" s="1">
        <v>0</v>
      </c>
    </row>
    <row r="180" spans="1:22">
      <c r="A180" s="1" t="s">
        <v>887</v>
      </c>
      <c r="B180" s="1" t="s">
        <v>860</v>
      </c>
      <c r="C180" s="1" t="s">
        <v>39</v>
      </c>
      <c r="D180" s="1" t="s">
        <v>58</v>
      </c>
      <c r="E180" s="1" t="s">
        <v>896</v>
      </c>
      <c r="F180" s="1" t="s">
        <v>26</v>
      </c>
      <c r="G180" s="1" t="s">
        <v>26</v>
      </c>
      <c r="H180" s="1" t="s">
        <v>887</v>
      </c>
      <c r="I180" s="1" t="s">
        <v>96</v>
      </c>
      <c r="J180" s="1" t="s">
        <v>889</v>
      </c>
      <c r="K180" s="1" t="s">
        <v>890</v>
      </c>
      <c r="L180" s="1" t="s">
        <v>897</v>
      </c>
      <c r="M180" s="1" t="s">
        <v>898</v>
      </c>
      <c r="N180" s="1" t="s">
        <v>899</v>
      </c>
      <c r="O180" s="1" t="s">
        <v>900</v>
      </c>
      <c r="P180" s="1" t="s">
        <v>901</v>
      </c>
      <c r="Q180" s="1" t="s">
        <v>35</v>
      </c>
      <c r="R180" s="1" t="s">
        <v>902</v>
      </c>
      <c r="S180" s="1"/>
      <c r="T180" s="1">
        <v>0</v>
      </c>
    </row>
    <row r="181" spans="1:22">
      <c r="A181" s="1" t="s">
        <v>887</v>
      </c>
      <c r="B181" s="1" t="s">
        <v>860</v>
      </c>
      <c r="C181" s="1" t="s">
        <v>39</v>
      </c>
      <c r="D181" s="1" t="s">
        <v>58</v>
      </c>
      <c r="E181" s="1" t="s">
        <v>903</v>
      </c>
      <c r="F181" s="1" t="s">
        <v>26</v>
      </c>
      <c r="G181" s="1" t="s">
        <v>26</v>
      </c>
      <c r="H181" s="1" t="s">
        <v>887</v>
      </c>
      <c r="I181" s="1" t="s">
        <v>96</v>
      </c>
      <c r="J181" s="1" t="s">
        <v>889</v>
      </c>
      <c r="K181" s="1" t="s">
        <v>890</v>
      </c>
      <c r="L181" s="1" t="s">
        <v>904</v>
      </c>
      <c r="M181" s="1" t="s">
        <v>905</v>
      </c>
      <c r="N181" s="1" t="s">
        <v>906</v>
      </c>
      <c r="O181" s="1" t="s">
        <v>907</v>
      </c>
      <c r="P181" s="1" t="s">
        <v>908</v>
      </c>
      <c r="Q181" s="1" t="s">
        <v>35</v>
      </c>
      <c r="R181" s="1" t="s">
        <v>902</v>
      </c>
      <c r="S181" s="1"/>
      <c r="T181" s="1">
        <v>0</v>
      </c>
    </row>
    <row r="182" spans="1:22">
      <c r="A182" s="1" t="s">
        <v>887</v>
      </c>
      <c r="B182" s="1" t="s">
        <v>860</v>
      </c>
      <c r="C182" s="1" t="s">
        <v>39</v>
      </c>
      <c r="D182" s="1" t="s">
        <v>58</v>
      </c>
      <c r="E182" s="1" t="s">
        <v>909</v>
      </c>
      <c r="F182" s="1" t="s">
        <v>26</v>
      </c>
      <c r="G182" s="1" t="s">
        <v>26</v>
      </c>
      <c r="H182" s="1" t="s">
        <v>887</v>
      </c>
      <c r="I182" s="1" t="s">
        <v>96</v>
      </c>
      <c r="J182" s="1" t="s">
        <v>889</v>
      </c>
      <c r="K182" s="1" t="s">
        <v>890</v>
      </c>
      <c r="L182" s="1" t="s">
        <v>910</v>
      </c>
      <c r="M182" s="1" t="s">
        <v>911</v>
      </c>
      <c r="N182" s="1" t="s">
        <v>912</v>
      </c>
      <c r="O182" s="1" t="s">
        <v>913</v>
      </c>
      <c r="P182" s="1" t="s">
        <v>914</v>
      </c>
      <c r="Q182" s="1" t="s">
        <v>35</v>
      </c>
      <c r="R182" s="1" t="s">
        <v>902</v>
      </c>
      <c r="S182" s="1"/>
      <c r="T182" s="1">
        <v>0</v>
      </c>
    </row>
    <row r="183" spans="1:22">
      <c r="A183" s="1" t="s">
        <v>887</v>
      </c>
      <c r="B183" s="1" t="s">
        <v>860</v>
      </c>
      <c r="C183" s="1" t="s">
        <v>39</v>
      </c>
      <c r="D183" s="1" t="s">
        <v>58</v>
      </c>
      <c r="E183" s="1" t="s">
        <v>915</v>
      </c>
      <c r="F183" s="1" t="s">
        <v>26</v>
      </c>
      <c r="G183" s="1" t="s">
        <v>26</v>
      </c>
      <c r="H183" s="1" t="s">
        <v>887</v>
      </c>
      <c r="I183" s="1" t="s">
        <v>96</v>
      </c>
      <c r="J183" s="1" t="s">
        <v>889</v>
      </c>
      <c r="K183" s="1" t="s">
        <v>890</v>
      </c>
      <c r="L183" s="1" t="s">
        <v>916</v>
      </c>
      <c r="M183" s="1" t="s">
        <v>917</v>
      </c>
      <c r="N183" s="1" t="s">
        <v>918</v>
      </c>
      <c r="O183" s="1" t="s">
        <v>919</v>
      </c>
      <c r="P183" s="1" t="s">
        <v>920</v>
      </c>
      <c r="Q183" s="1" t="s">
        <v>35</v>
      </c>
      <c r="R183" s="1" t="s">
        <v>902</v>
      </c>
      <c r="S183" s="1"/>
      <c r="T183" s="1">
        <v>0</v>
      </c>
    </row>
    <row r="184" spans="1:22">
      <c r="A184" s="1"/>
      <c r="B184" s="1" t="s">
        <v>860</v>
      </c>
      <c r="C184" s="1" t="s">
        <v>39</v>
      </c>
      <c r="D184" s="1" t="s">
        <v>58</v>
      </c>
      <c r="E184" s="1" t="s">
        <v>921</v>
      </c>
      <c r="F184" s="1" t="s">
        <v>26</v>
      </c>
      <c r="G184" s="1" t="s">
        <v>26</v>
      </c>
      <c r="H184" s="1"/>
      <c r="I184" s="1" t="s">
        <v>922</v>
      </c>
      <c r="J184" s="1" t="s">
        <v>116</v>
      </c>
      <c r="K184" s="1" t="s">
        <v>923</v>
      </c>
      <c r="L184" s="1" t="s">
        <v>924</v>
      </c>
      <c r="M184" s="1" t="s">
        <v>925</v>
      </c>
      <c r="N184" s="1">
        <v>0</v>
      </c>
    </row>
    <row r="185" spans="1:22">
      <c r="A185" s="1"/>
      <c r="B185" s="1" t="s">
        <v>860</v>
      </c>
      <c r="C185" s="1" t="s">
        <v>39</v>
      </c>
      <c r="D185" s="1" t="s">
        <v>58</v>
      </c>
      <c r="E185" s="1" t="s">
        <v>926</v>
      </c>
      <c r="F185" s="1" t="s">
        <v>26</v>
      </c>
      <c r="G185" s="1" t="s">
        <v>26</v>
      </c>
      <c r="H185" s="1"/>
      <c r="I185" s="1" t="s">
        <v>922</v>
      </c>
      <c r="J185" s="1" t="s">
        <v>116</v>
      </c>
      <c r="K185" s="1" t="s">
        <v>927</v>
      </c>
      <c r="L185" s="1" t="s">
        <v>928</v>
      </c>
      <c r="M185" s="1" t="s">
        <v>929</v>
      </c>
      <c r="N185" s="1">
        <v>0</v>
      </c>
    </row>
    <row r="186" spans="1:22">
      <c r="A186" s="1"/>
      <c r="B186" s="1" t="s">
        <v>860</v>
      </c>
      <c r="C186" s="1" t="s">
        <v>39</v>
      </c>
      <c r="D186" s="1" t="s">
        <v>58</v>
      </c>
      <c r="E186" s="1" t="s">
        <v>921</v>
      </c>
      <c r="F186" s="1" t="s">
        <v>26</v>
      </c>
      <c r="G186" s="1" t="s">
        <v>26</v>
      </c>
      <c r="H186" s="1"/>
      <c r="I186" s="1" t="s">
        <v>922</v>
      </c>
      <c r="J186" s="1" t="s">
        <v>116</v>
      </c>
      <c r="K186" s="1" t="s">
        <v>923</v>
      </c>
      <c r="L186" s="1" t="s">
        <v>924</v>
      </c>
      <c r="M186" s="1" t="s">
        <v>930</v>
      </c>
      <c r="N186" s="1">
        <v>0</v>
      </c>
    </row>
    <row r="187" spans="1:22">
      <c r="A187" s="1"/>
      <c r="B187" s="1" t="s">
        <v>860</v>
      </c>
      <c r="C187" s="1" t="s">
        <v>39</v>
      </c>
      <c r="D187" s="1" t="s">
        <v>58</v>
      </c>
      <c r="E187" s="1" t="s">
        <v>931</v>
      </c>
      <c r="F187" s="1" t="s">
        <v>26</v>
      </c>
      <c r="G187" s="1" t="s">
        <v>26</v>
      </c>
      <c r="H187" s="1" t="s">
        <v>150</v>
      </c>
      <c r="I187" s="1" t="s">
        <v>932</v>
      </c>
      <c r="J187" s="1" t="s">
        <v>116</v>
      </c>
      <c r="K187" s="1" t="s">
        <v>933</v>
      </c>
      <c r="L187" s="1" t="s">
        <v>934</v>
      </c>
      <c r="M187" s="1" t="s">
        <v>935</v>
      </c>
      <c r="N187" s="1">
        <v>0</v>
      </c>
    </row>
    <row r="188" spans="1:22">
      <c r="A188" s="1"/>
      <c r="B188" s="1" t="s">
        <v>860</v>
      </c>
      <c r="C188" s="1" t="s">
        <v>39</v>
      </c>
      <c r="D188" s="1" t="s">
        <v>58</v>
      </c>
      <c r="E188" s="1" t="s">
        <v>936</v>
      </c>
      <c r="F188" s="1" t="s">
        <v>26</v>
      </c>
      <c r="G188" s="1" t="s">
        <v>26</v>
      </c>
      <c r="H188" s="1" t="s">
        <v>150</v>
      </c>
      <c r="I188" s="1" t="s">
        <v>937</v>
      </c>
      <c r="J188" s="1" t="s">
        <v>116</v>
      </c>
      <c r="K188" s="1" t="s">
        <v>938</v>
      </c>
      <c r="L188" s="1" t="s">
        <v>939</v>
      </c>
      <c r="M188" s="1" t="s">
        <v>940</v>
      </c>
      <c r="N188" s="1">
        <v>0</v>
      </c>
    </row>
    <row r="189" spans="1:22">
      <c r="A189" s="1"/>
      <c r="B189" s="1" t="s">
        <v>860</v>
      </c>
      <c r="C189" s="1" t="s">
        <v>39</v>
      </c>
      <c r="D189" s="1" t="s">
        <v>58</v>
      </c>
      <c r="E189" s="1" t="s">
        <v>941</v>
      </c>
      <c r="F189" s="1" t="s">
        <v>26</v>
      </c>
      <c r="G189" s="1" t="s">
        <v>26</v>
      </c>
      <c r="H189" s="1" t="s">
        <v>150</v>
      </c>
      <c r="I189" s="1" t="s">
        <v>937</v>
      </c>
      <c r="J189" s="1" t="s">
        <v>116</v>
      </c>
      <c r="K189" s="1" t="s">
        <v>942</v>
      </c>
      <c r="L189" s="1" t="s">
        <v>943</v>
      </c>
      <c r="M189" s="1" t="s">
        <v>944</v>
      </c>
      <c r="N189" s="1">
        <v>0</v>
      </c>
    </row>
    <row r="190" spans="1:22">
      <c r="A190" s="1"/>
      <c r="B190" s="1" t="s">
        <v>860</v>
      </c>
      <c r="C190" s="1" t="s">
        <v>39</v>
      </c>
      <c r="D190" s="1" t="s">
        <v>58</v>
      </c>
      <c r="E190" s="1" t="s">
        <v>945</v>
      </c>
      <c r="F190" s="1" t="s">
        <v>26</v>
      </c>
      <c r="G190" s="1" t="s">
        <v>26</v>
      </c>
      <c r="H190" s="1" t="s">
        <v>150</v>
      </c>
      <c r="I190" s="1" t="s">
        <v>946</v>
      </c>
      <c r="J190" s="1" t="s">
        <v>116</v>
      </c>
      <c r="K190" s="1" t="s">
        <v>947</v>
      </c>
      <c r="L190" s="1" t="s">
        <v>948</v>
      </c>
      <c r="M190" s="1"/>
      <c r="N190" s="1" t="s">
        <v>949</v>
      </c>
      <c r="O190" s="1">
        <v>0</v>
      </c>
    </row>
    <row r="191" spans="1:22">
      <c r="A191" s="1" t="s">
        <v>950</v>
      </c>
      <c r="B191" s="1" t="s">
        <v>38</v>
      </c>
      <c r="C191" s="1" t="s">
        <v>39</v>
      </c>
      <c r="D191" s="1" t="s">
        <v>24</v>
      </c>
      <c r="E191" s="1" t="s">
        <v>951</v>
      </c>
      <c r="F191" s="1" t="s">
        <v>26</v>
      </c>
      <c r="G191" s="1" t="s">
        <v>26</v>
      </c>
      <c r="H191" s="1" t="s">
        <v>60</v>
      </c>
      <c r="I191" s="1" t="s">
        <v>371</v>
      </c>
      <c r="J191" s="1" t="s">
        <v>29</v>
      </c>
      <c r="K191" s="1" t="s">
        <v>30</v>
      </c>
      <c r="L191" s="1" t="s">
        <v>952</v>
      </c>
      <c r="M191" s="1" t="s">
        <v>953</v>
      </c>
      <c r="N191" s="1" t="s">
        <v>954</v>
      </c>
      <c r="O191" s="1"/>
      <c r="P191" s="1"/>
      <c r="Q191" s="1"/>
      <c r="R191" s="1"/>
      <c r="S191" s="1" t="s">
        <v>35</v>
      </c>
      <c r="T191" s="1" t="s">
        <v>36</v>
      </c>
      <c r="U191" s="1" t="s">
        <v>955</v>
      </c>
      <c r="V191" s="1">
        <v>0</v>
      </c>
    </row>
    <row r="192" spans="1:22">
      <c r="A192" s="1"/>
      <c r="B192" s="1"/>
      <c r="C192" s="1"/>
      <c r="D192" s="1" t="s">
        <v>58</v>
      </c>
      <c r="E192" s="1"/>
      <c r="F192" s="1"/>
      <c r="G192" s="1"/>
      <c r="H192" s="1"/>
      <c r="I192" s="1" t="s">
        <v>956</v>
      </c>
      <c r="J192" s="1" t="s">
        <v>116</v>
      </c>
      <c r="K192" s="1" t="s">
        <v>957</v>
      </c>
      <c r="L192" s="1" t="s">
        <v>958</v>
      </c>
      <c r="M192" s="1" t="s">
        <v>959</v>
      </c>
      <c r="N192" s="1" t="s">
        <v>960</v>
      </c>
      <c r="O192" s="1">
        <v>0</v>
      </c>
    </row>
    <row r="193" spans="1:21">
      <c r="A193" s="1"/>
      <c r="B193" s="1" t="s">
        <v>38</v>
      </c>
      <c r="C193" s="1" t="s">
        <v>39</v>
      </c>
      <c r="D193" s="1" t="s">
        <v>58</v>
      </c>
      <c r="E193" s="1" t="s">
        <v>961</v>
      </c>
      <c r="F193" s="1" t="s">
        <v>26</v>
      </c>
      <c r="G193" s="1" t="s">
        <v>26</v>
      </c>
      <c r="H193" s="1"/>
      <c r="I193" s="1" t="s">
        <v>255</v>
      </c>
      <c r="J193" s="1" t="s">
        <v>116</v>
      </c>
      <c r="K193" s="1" t="s">
        <v>962</v>
      </c>
      <c r="L193" s="1" t="s">
        <v>963</v>
      </c>
      <c r="M193" s="1" t="s">
        <v>964</v>
      </c>
      <c r="N193" s="1" t="s">
        <v>965</v>
      </c>
      <c r="O193" s="1" t="s">
        <v>966</v>
      </c>
      <c r="P193" s="1">
        <v>0</v>
      </c>
    </row>
    <row r="194" spans="1:21">
      <c r="A194" s="1"/>
      <c r="B194" s="1" t="s">
        <v>38</v>
      </c>
      <c r="C194" s="1" t="s">
        <v>39</v>
      </c>
      <c r="D194" s="1" t="s">
        <v>58</v>
      </c>
      <c r="E194" s="1" t="s">
        <v>967</v>
      </c>
      <c r="F194" s="1" t="s">
        <v>26</v>
      </c>
      <c r="G194" s="1" t="s">
        <v>26</v>
      </c>
      <c r="H194" s="1" t="s">
        <v>150</v>
      </c>
      <c r="I194" s="1" t="s">
        <v>968</v>
      </c>
      <c r="J194" s="1" t="s">
        <v>116</v>
      </c>
      <c r="K194" s="1" t="s">
        <v>969</v>
      </c>
      <c r="L194" s="1" t="s">
        <v>970</v>
      </c>
      <c r="M194" s="1" t="s">
        <v>971</v>
      </c>
      <c r="N194" s="1" t="s">
        <v>965</v>
      </c>
      <c r="O194" s="1" t="s">
        <v>972</v>
      </c>
      <c r="P194" s="1">
        <v>0</v>
      </c>
    </row>
    <row r="195" spans="1:21">
      <c r="A195" s="1"/>
      <c r="B195" s="1" t="s">
        <v>38</v>
      </c>
      <c r="C195" s="1" t="s">
        <v>39</v>
      </c>
      <c r="D195" s="1" t="s">
        <v>58</v>
      </c>
      <c r="E195" s="1" t="s">
        <v>973</v>
      </c>
      <c r="F195" s="1" t="s">
        <v>26</v>
      </c>
      <c r="G195" s="1" t="s">
        <v>26</v>
      </c>
      <c r="H195" s="1" t="s">
        <v>150</v>
      </c>
      <c r="I195" s="1" t="s">
        <v>255</v>
      </c>
      <c r="J195" s="1" t="s">
        <v>974</v>
      </c>
      <c r="K195" s="1" t="s">
        <v>116</v>
      </c>
      <c r="L195" s="1" t="s">
        <v>975</v>
      </c>
      <c r="M195" s="1" t="s">
        <v>976</v>
      </c>
      <c r="N195" s="1" t="s">
        <v>977</v>
      </c>
      <c r="O195" s="1" t="s">
        <v>978</v>
      </c>
      <c r="P195" s="1">
        <v>0</v>
      </c>
    </row>
    <row r="196" spans="1:21">
      <c r="A196" s="1"/>
      <c r="B196" s="1" t="s">
        <v>38</v>
      </c>
      <c r="C196" s="1" t="s">
        <v>39</v>
      </c>
      <c r="D196" s="1" t="s">
        <v>58</v>
      </c>
      <c r="E196" s="1" t="s">
        <v>979</v>
      </c>
      <c r="F196" s="1" t="s">
        <v>26</v>
      </c>
      <c r="G196" s="1" t="s">
        <v>26</v>
      </c>
      <c r="H196" s="1" t="s">
        <v>150</v>
      </c>
      <c r="I196" s="1" t="s">
        <v>255</v>
      </c>
      <c r="J196" s="1" t="s">
        <v>974</v>
      </c>
      <c r="K196" s="1" t="s">
        <v>116</v>
      </c>
      <c r="L196" s="1" t="s">
        <v>980</v>
      </c>
      <c r="M196" s="1" t="s">
        <v>981</v>
      </c>
      <c r="N196" s="1" t="s">
        <v>982</v>
      </c>
      <c r="O196" s="1">
        <v>0</v>
      </c>
    </row>
    <row r="197" spans="1:21">
      <c r="A197" s="1"/>
      <c r="B197" s="1" t="s">
        <v>38</v>
      </c>
      <c r="C197" s="1"/>
      <c r="D197" s="1" t="s">
        <v>58</v>
      </c>
      <c r="E197" s="1" t="s">
        <v>983</v>
      </c>
      <c r="F197" s="1" t="s">
        <v>26</v>
      </c>
      <c r="G197" s="1"/>
      <c r="H197" s="1"/>
      <c r="I197" s="1" t="s">
        <v>968</v>
      </c>
      <c r="J197" s="1" t="s">
        <v>984</v>
      </c>
      <c r="K197" s="1" t="s">
        <v>116</v>
      </c>
      <c r="L197" s="1" t="s">
        <v>985</v>
      </c>
      <c r="M197" s="1" t="s">
        <v>986</v>
      </c>
      <c r="N197" s="1" t="s">
        <v>987</v>
      </c>
      <c r="O197" s="1">
        <v>0</v>
      </c>
    </row>
    <row r="198" spans="1:21">
      <c r="A198" s="1"/>
      <c r="B198" s="1" t="s">
        <v>38</v>
      </c>
      <c r="C198" s="1" t="s">
        <v>39</v>
      </c>
      <c r="D198" s="1" t="s">
        <v>58</v>
      </c>
      <c r="E198" s="1" t="s">
        <v>988</v>
      </c>
      <c r="F198" s="1" t="s">
        <v>26</v>
      </c>
      <c r="G198" s="1" t="s">
        <v>26</v>
      </c>
      <c r="H198" s="1" t="s">
        <v>150</v>
      </c>
      <c r="I198" s="1" t="s">
        <v>989</v>
      </c>
      <c r="J198" s="1" t="s">
        <v>990</v>
      </c>
      <c r="K198" s="1" t="s">
        <v>116</v>
      </c>
      <c r="L198" s="1" t="s">
        <v>991</v>
      </c>
      <c r="M198" s="1" t="s">
        <v>992</v>
      </c>
      <c r="N198" s="1" t="s">
        <v>993</v>
      </c>
      <c r="O198" s="1" t="s">
        <v>994</v>
      </c>
      <c r="P198" s="1"/>
      <c r="Q198" s="1"/>
      <c r="R198" s="1"/>
      <c r="S198" s="1"/>
      <c r="T198" s="1">
        <v>0</v>
      </c>
    </row>
    <row r="199" spans="1:21">
      <c r="A199" s="1"/>
      <c r="B199" s="1" t="s">
        <v>38</v>
      </c>
      <c r="C199" s="1" t="s">
        <v>39</v>
      </c>
      <c r="D199" s="1" t="s">
        <v>58</v>
      </c>
      <c r="E199" s="1" t="s">
        <v>995</v>
      </c>
      <c r="F199" s="1" t="s">
        <v>26</v>
      </c>
      <c r="G199" s="1" t="s">
        <v>26</v>
      </c>
      <c r="H199" s="1" t="s">
        <v>150</v>
      </c>
      <c r="I199" s="1" t="s">
        <v>255</v>
      </c>
      <c r="J199" s="1" t="s">
        <v>990</v>
      </c>
      <c r="K199" s="1" t="s">
        <v>116</v>
      </c>
      <c r="L199" s="1" t="s">
        <v>996</v>
      </c>
      <c r="M199" s="1" t="s">
        <v>997</v>
      </c>
      <c r="N199" s="1">
        <v>0</v>
      </c>
    </row>
    <row r="200" spans="1:21">
      <c r="A200" s="1"/>
      <c r="B200" s="1" t="s">
        <v>38</v>
      </c>
      <c r="C200" s="1" t="s">
        <v>39</v>
      </c>
      <c r="D200" s="1" t="s">
        <v>58</v>
      </c>
      <c r="E200" s="1" t="s">
        <v>998</v>
      </c>
      <c r="F200" s="1" t="s">
        <v>26</v>
      </c>
      <c r="G200" s="1" t="s">
        <v>26</v>
      </c>
      <c r="H200" s="1"/>
      <c r="I200" s="1" t="s">
        <v>999</v>
      </c>
      <c r="J200" s="1"/>
      <c r="K200" s="1" t="s">
        <v>116</v>
      </c>
      <c r="L200" s="1" t="s">
        <v>1000</v>
      </c>
      <c r="M200" s="1" t="s">
        <v>1001</v>
      </c>
      <c r="N200" s="1" t="s">
        <v>1002</v>
      </c>
      <c r="O200" s="1" t="s">
        <v>1003</v>
      </c>
      <c r="P200" s="1"/>
      <c r="Q200" s="1"/>
      <c r="R200" s="1"/>
      <c r="S200" s="1"/>
      <c r="T200" s="1">
        <v>0</v>
      </c>
    </row>
    <row r="201" spans="1:21">
      <c r="A201" s="1"/>
      <c r="B201" s="1" t="s">
        <v>38</v>
      </c>
      <c r="C201" s="1" t="s">
        <v>39</v>
      </c>
      <c r="D201" s="1" t="s">
        <v>58</v>
      </c>
      <c r="E201" s="1" t="s">
        <v>1004</v>
      </c>
      <c r="F201" s="1" t="s">
        <v>26</v>
      </c>
      <c r="G201" s="1" t="s">
        <v>26</v>
      </c>
      <c r="H201" s="1"/>
      <c r="I201" s="1" t="s">
        <v>999</v>
      </c>
      <c r="J201" s="1"/>
      <c r="K201" s="1" t="s">
        <v>116</v>
      </c>
      <c r="L201" s="1" t="s">
        <v>1005</v>
      </c>
      <c r="M201" s="1" t="s">
        <v>1006</v>
      </c>
      <c r="N201" s="1" t="s">
        <v>1007</v>
      </c>
      <c r="O201" s="1">
        <v>0</v>
      </c>
    </row>
    <row r="202" spans="1:21">
      <c r="A202" s="1"/>
      <c r="B202" s="1" t="s">
        <v>38</v>
      </c>
      <c r="C202" s="1" t="s">
        <v>39</v>
      </c>
      <c r="D202" s="1" t="s">
        <v>58</v>
      </c>
      <c r="E202" s="1" t="s">
        <v>1008</v>
      </c>
      <c r="F202" s="1" t="s">
        <v>26</v>
      </c>
      <c r="G202" s="1"/>
      <c r="H202" s="1"/>
      <c r="I202" s="1" t="s">
        <v>999</v>
      </c>
      <c r="J202" s="1" t="s">
        <v>116</v>
      </c>
      <c r="K202" s="1" t="s">
        <v>1009</v>
      </c>
      <c r="L202" s="1" t="s">
        <v>1010</v>
      </c>
      <c r="M202" s="1" t="s">
        <v>1011</v>
      </c>
      <c r="N202" s="1">
        <v>0</v>
      </c>
    </row>
    <row r="203" spans="1:21">
      <c r="A203" s="1"/>
      <c r="B203" s="1" t="s">
        <v>38</v>
      </c>
      <c r="C203" s="1" t="s">
        <v>39</v>
      </c>
      <c r="D203" s="1" t="s">
        <v>58</v>
      </c>
      <c r="E203" s="1" t="s">
        <v>1012</v>
      </c>
      <c r="F203" s="1" t="s">
        <v>26</v>
      </c>
      <c r="G203" s="1" t="s">
        <v>26</v>
      </c>
      <c r="H203" s="1"/>
      <c r="I203" s="1" t="s">
        <v>999</v>
      </c>
      <c r="J203" s="1" t="s">
        <v>116</v>
      </c>
      <c r="K203" s="1" t="s">
        <v>1013</v>
      </c>
      <c r="L203" s="1" t="s">
        <v>1014</v>
      </c>
      <c r="M203" s="1" t="s">
        <v>1015</v>
      </c>
      <c r="N203" s="1">
        <v>0</v>
      </c>
    </row>
    <row r="204" spans="1:21">
      <c r="A204" s="1"/>
      <c r="B204" s="1" t="s">
        <v>38</v>
      </c>
      <c r="C204" s="1" t="s">
        <v>39</v>
      </c>
      <c r="D204" s="1" t="s">
        <v>58</v>
      </c>
      <c r="E204" s="1" t="s">
        <v>1016</v>
      </c>
      <c r="F204" s="1" t="s">
        <v>26</v>
      </c>
      <c r="G204" s="1" t="s">
        <v>26</v>
      </c>
      <c r="H204" s="1"/>
      <c r="I204" s="1" t="s">
        <v>1017</v>
      </c>
      <c r="J204" s="1" t="s">
        <v>1018</v>
      </c>
      <c r="K204" s="1" t="s">
        <v>116</v>
      </c>
      <c r="L204" s="1" t="s">
        <v>1019</v>
      </c>
      <c r="M204" s="1" t="s">
        <v>1020</v>
      </c>
      <c r="N204" s="1"/>
      <c r="O204" s="1" t="s">
        <v>1021</v>
      </c>
      <c r="P204" s="1">
        <v>0</v>
      </c>
    </row>
    <row r="205" spans="1:21">
      <c r="A205" s="1"/>
      <c r="B205" s="1" t="s">
        <v>38</v>
      </c>
      <c r="C205" s="1" t="s">
        <v>39</v>
      </c>
      <c r="D205" s="1" t="s">
        <v>58</v>
      </c>
      <c r="E205" s="1" t="s">
        <v>1022</v>
      </c>
      <c r="F205" s="1" t="s">
        <v>26</v>
      </c>
      <c r="G205" s="1"/>
      <c r="H205" s="1"/>
      <c r="I205" s="1"/>
      <c r="J205" s="1" t="s">
        <v>116</v>
      </c>
      <c r="K205" s="1"/>
      <c r="L205" s="1"/>
      <c r="M205" s="1"/>
      <c r="N205" s="1"/>
      <c r="O205" s="1"/>
      <c r="P205" s="1"/>
      <c r="Q205" s="1"/>
      <c r="R205" s="1"/>
      <c r="S205" s="1"/>
      <c r="T205" s="1"/>
      <c r="U205" s="1">
        <v>0</v>
      </c>
    </row>
    <row r="206" spans="1:21">
      <c r="A206" s="1"/>
      <c r="B206" s="1" t="s">
        <v>38</v>
      </c>
      <c r="C206" s="1" t="s">
        <v>39</v>
      </c>
      <c r="D206" s="1" t="s">
        <v>58</v>
      </c>
      <c r="E206" s="1" t="s">
        <v>1022</v>
      </c>
      <c r="F206" s="1" t="s">
        <v>26</v>
      </c>
      <c r="G206" s="1" t="s">
        <v>26</v>
      </c>
      <c r="H206" s="1"/>
      <c r="I206" s="1" t="s">
        <v>1017</v>
      </c>
      <c r="J206" s="1" t="s">
        <v>1018</v>
      </c>
      <c r="K206" s="1" t="s">
        <v>116</v>
      </c>
      <c r="L206" s="1" t="s">
        <v>1023</v>
      </c>
      <c r="M206" s="1" t="s">
        <v>1024</v>
      </c>
      <c r="N206" s="1" t="s">
        <v>1025</v>
      </c>
      <c r="O206" s="1" t="s">
        <v>1026</v>
      </c>
      <c r="P206" s="1">
        <v>0</v>
      </c>
    </row>
    <row r="207" spans="1:21">
      <c r="A207" s="1"/>
      <c r="B207" s="1" t="s">
        <v>38</v>
      </c>
      <c r="C207" s="1" t="s">
        <v>39</v>
      </c>
      <c r="D207" s="1" t="s">
        <v>58</v>
      </c>
      <c r="E207" s="1" t="s">
        <v>1027</v>
      </c>
      <c r="F207" s="1" t="s">
        <v>26</v>
      </c>
      <c r="G207" s="1" t="s">
        <v>26</v>
      </c>
      <c r="H207" s="1"/>
      <c r="I207" s="1" t="s">
        <v>1017</v>
      </c>
      <c r="J207" s="1" t="s">
        <v>116</v>
      </c>
      <c r="K207" s="1" t="s">
        <v>1028</v>
      </c>
      <c r="L207" s="1" t="s">
        <v>1029</v>
      </c>
      <c r="M207" s="1" t="s">
        <v>1030</v>
      </c>
      <c r="N207" s="1">
        <v>0</v>
      </c>
    </row>
    <row r="208" spans="1:21">
      <c r="A208" s="1"/>
      <c r="B208" s="1" t="s">
        <v>38</v>
      </c>
      <c r="C208" s="1" t="s">
        <v>39</v>
      </c>
      <c r="D208" s="1" t="s">
        <v>58</v>
      </c>
      <c r="E208" s="1"/>
      <c r="F208" s="1" t="s">
        <v>26</v>
      </c>
      <c r="G208" s="1" t="s">
        <v>26</v>
      </c>
      <c r="H208" s="1"/>
      <c r="I208" s="1" t="s">
        <v>175</v>
      </c>
      <c r="J208" s="1" t="s">
        <v>1018</v>
      </c>
      <c r="K208" s="1" t="s">
        <v>116</v>
      </c>
      <c r="L208" s="1" t="s">
        <v>1031</v>
      </c>
      <c r="M208" s="1" t="s">
        <v>1032</v>
      </c>
      <c r="N208" s="1" t="s">
        <v>1033</v>
      </c>
      <c r="O208" s="1" t="s">
        <v>1034</v>
      </c>
      <c r="P208" s="1">
        <v>0</v>
      </c>
    </row>
    <row r="209" spans="1:20">
      <c r="A209" s="1"/>
      <c r="B209" s="1" t="s">
        <v>38</v>
      </c>
      <c r="C209" s="1" t="s">
        <v>39</v>
      </c>
      <c r="D209" s="1" t="s">
        <v>58</v>
      </c>
      <c r="E209" s="1" t="s">
        <v>1035</v>
      </c>
      <c r="F209" s="1" t="s">
        <v>26</v>
      </c>
      <c r="G209" s="1" t="s">
        <v>26</v>
      </c>
      <c r="H209" s="1"/>
      <c r="I209" s="1" t="s">
        <v>175</v>
      </c>
      <c r="J209" s="1" t="s">
        <v>1018</v>
      </c>
      <c r="K209" s="1" t="s">
        <v>116</v>
      </c>
      <c r="L209" s="1" t="s">
        <v>1036</v>
      </c>
      <c r="M209" s="1" t="s">
        <v>1037</v>
      </c>
      <c r="N209" s="1"/>
      <c r="O209" s="1" t="s">
        <v>1038</v>
      </c>
      <c r="P209" s="1">
        <v>0</v>
      </c>
    </row>
    <row r="210" spans="1:20">
      <c r="A210" s="1"/>
      <c r="B210" s="1" t="s">
        <v>38</v>
      </c>
      <c r="C210" s="1" t="s">
        <v>39</v>
      </c>
      <c r="D210" s="1" t="s">
        <v>58</v>
      </c>
      <c r="E210" s="1" t="s">
        <v>1039</v>
      </c>
      <c r="F210" s="1" t="s">
        <v>26</v>
      </c>
      <c r="G210" s="1" t="s">
        <v>26</v>
      </c>
      <c r="H210" s="1"/>
      <c r="I210" s="1" t="s">
        <v>1040</v>
      </c>
      <c r="J210" s="1" t="s">
        <v>1018</v>
      </c>
      <c r="K210" s="1" t="s">
        <v>116</v>
      </c>
      <c r="L210" s="1" t="s">
        <v>1041</v>
      </c>
      <c r="M210" s="1" t="s">
        <v>1042</v>
      </c>
      <c r="N210" s="1"/>
      <c r="O210" s="1" t="s">
        <v>1043</v>
      </c>
      <c r="P210" s="1">
        <v>0</v>
      </c>
    </row>
    <row r="211" spans="1:20">
      <c r="A211" s="1"/>
      <c r="B211" s="1" t="s">
        <v>38</v>
      </c>
      <c r="C211" s="1" t="s">
        <v>39</v>
      </c>
      <c r="D211" s="1" t="s">
        <v>58</v>
      </c>
      <c r="E211" s="1" t="s">
        <v>1044</v>
      </c>
      <c r="F211" s="1" t="s">
        <v>26</v>
      </c>
      <c r="G211" s="1" t="s">
        <v>26</v>
      </c>
      <c r="H211" s="1"/>
      <c r="I211" s="1"/>
      <c r="J211" s="1"/>
      <c r="K211" s="1" t="s">
        <v>116</v>
      </c>
      <c r="L211" s="1" t="s">
        <v>1045</v>
      </c>
      <c r="M211" s="1" t="s">
        <v>1046</v>
      </c>
      <c r="N211" s="1"/>
      <c r="O211" s="1" t="s">
        <v>1047</v>
      </c>
      <c r="P211" s="1">
        <v>0</v>
      </c>
    </row>
    <row r="212" spans="1:20">
      <c r="A212" s="1"/>
      <c r="B212" s="1" t="s">
        <v>38</v>
      </c>
      <c r="C212" s="1" t="s">
        <v>39</v>
      </c>
      <c r="D212" s="1" t="s">
        <v>58</v>
      </c>
      <c r="E212" s="1"/>
      <c r="F212" s="1" t="s">
        <v>26</v>
      </c>
      <c r="G212" s="1" t="s">
        <v>26</v>
      </c>
      <c r="H212" s="1"/>
      <c r="I212" s="1"/>
      <c r="J212" s="1" t="s">
        <v>1018</v>
      </c>
      <c r="K212" s="1" t="s">
        <v>116</v>
      </c>
      <c r="L212" s="1"/>
      <c r="M212" s="1" t="s">
        <v>1048</v>
      </c>
      <c r="N212" s="1"/>
      <c r="O212" s="1" t="s">
        <v>1049</v>
      </c>
      <c r="P212" s="1">
        <v>0</v>
      </c>
    </row>
    <row r="213" spans="1:20">
      <c r="A213" s="1"/>
      <c r="B213" s="1" t="s">
        <v>38</v>
      </c>
      <c r="C213" s="1" t="s">
        <v>39</v>
      </c>
      <c r="D213" s="1" t="s">
        <v>58</v>
      </c>
      <c r="E213" s="1" t="s">
        <v>1050</v>
      </c>
      <c r="F213" s="1" t="s">
        <v>26</v>
      </c>
      <c r="G213" s="1" t="s">
        <v>26</v>
      </c>
      <c r="H213" s="1"/>
      <c r="I213" s="1" t="s">
        <v>699</v>
      </c>
      <c r="J213" s="1" t="s">
        <v>1018</v>
      </c>
      <c r="K213" s="1" t="s">
        <v>116</v>
      </c>
      <c r="L213" s="1" t="s">
        <v>1051</v>
      </c>
      <c r="M213" s="1" t="s">
        <v>1052</v>
      </c>
      <c r="N213" s="1" t="s">
        <v>1053</v>
      </c>
      <c r="O213" s="1" t="s">
        <v>1054</v>
      </c>
      <c r="P213" s="1">
        <v>0</v>
      </c>
    </row>
    <row r="214" spans="1:20">
      <c r="A214" s="1"/>
      <c r="B214" s="1" t="s">
        <v>38</v>
      </c>
      <c r="C214" s="1" t="s">
        <v>39</v>
      </c>
      <c r="D214" s="1"/>
      <c r="E214" s="1"/>
      <c r="F214" s="1" t="s">
        <v>26</v>
      </c>
      <c r="G214" s="1" t="s">
        <v>26</v>
      </c>
      <c r="H214" s="1"/>
      <c r="I214" s="1" t="s">
        <v>699</v>
      </c>
      <c r="J214" s="1" t="s">
        <v>116</v>
      </c>
      <c r="K214" s="1"/>
      <c r="L214" s="1" t="s">
        <v>1055</v>
      </c>
      <c r="M214" s="1">
        <v>0</v>
      </c>
    </row>
    <row r="215" spans="1:20">
      <c r="A215" s="1"/>
      <c r="B215" s="1" t="s">
        <v>38</v>
      </c>
      <c r="C215" s="1" t="s">
        <v>39</v>
      </c>
      <c r="D215" s="1" t="s">
        <v>58</v>
      </c>
      <c r="E215" s="1" t="s">
        <v>1056</v>
      </c>
      <c r="F215" s="1" t="s">
        <v>26</v>
      </c>
      <c r="G215" s="1" t="s">
        <v>26</v>
      </c>
      <c r="H215" s="1"/>
      <c r="I215" s="1" t="s">
        <v>699</v>
      </c>
      <c r="J215" s="1" t="s">
        <v>1018</v>
      </c>
      <c r="K215" s="1" t="s">
        <v>116</v>
      </c>
      <c r="L215" s="1" t="s">
        <v>1057</v>
      </c>
      <c r="M215" s="1" t="s">
        <v>1058</v>
      </c>
      <c r="N215" s="1"/>
      <c r="O215" s="1" t="s">
        <v>1059</v>
      </c>
      <c r="P215" s="1">
        <v>0</v>
      </c>
    </row>
    <row r="216" spans="1:20">
      <c r="A216" s="1"/>
      <c r="B216" s="1" t="s">
        <v>38</v>
      </c>
      <c r="C216" s="1" t="s">
        <v>39</v>
      </c>
      <c r="D216" s="1" t="s">
        <v>58</v>
      </c>
      <c r="E216" s="1" t="s">
        <v>1060</v>
      </c>
      <c r="F216" s="1" t="s">
        <v>26</v>
      </c>
      <c r="G216" s="1" t="s">
        <v>26</v>
      </c>
      <c r="H216" s="1"/>
      <c r="I216" s="1" t="s">
        <v>565</v>
      </c>
      <c r="J216" s="1" t="s">
        <v>135</v>
      </c>
      <c r="K216" s="1" t="s">
        <v>116</v>
      </c>
      <c r="L216" s="1" t="s">
        <v>1061</v>
      </c>
      <c r="M216" s="1" t="s">
        <v>1062</v>
      </c>
      <c r="N216" s="1"/>
      <c r="O216" s="1"/>
      <c r="P216" s="1"/>
      <c r="Q216" s="1"/>
      <c r="R216" s="1">
        <v>0</v>
      </c>
    </row>
    <row r="217" spans="1:20">
      <c r="A217" s="1"/>
      <c r="B217" s="1" t="s">
        <v>38</v>
      </c>
      <c r="C217" s="1"/>
      <c r="D217" s="1" t="s">
        <v>58</v>
      </c>
      <c r="E217" s="1" t="s">
        <v>1063</v>
      </c>
      <c r="F217" s="1" t="s">
        <v>26</v>
      </c>
      <c r="G217" s="1" t="s">
        <v>26</v>
      </c>
      <c r="H217" s="1"/>
      <c r="I217" s="1" t="s">
        <v>1064</v>
      </c>
      <c r="J217" s="1" t="s">
        <v>116</v>
      </c>
      <c r="K217" s="1" t="s">
        <v>1065</v>
      </c>
      <c r="L217" s="1" t="s">
        <v>1066</v>
      </c>
      <c r="M217" s="1" t="s">
        <v>1067</v>
      </c>
      <c r="N217" s="1">
        <v>0</v>
      </c>
    </row>
    <row r="218" spans="1:20">
      <c r="A218" s="1"/>
      <c r="B218" s="1" t="s">
        <v>38</v>
      </c>
      <c r="C218" s="1" t="s">
        <v>39</v>
      </c>
      <c r="D218" s="1" t="s">
        <v>58</v>
      </c>
      <c r="E218" s="1" t="s">
        <v>1068</v>
      </c>
      <c r="F218" s="1" t="s">
        <v>26</v>
      </c>
      <c r="G218" s="1" t="s">
        <v>26</v>
      </c>
      <c r="H218" s="1"/>
      <c r="I218" s="1" t="s">
        <v>1064</v>
      </c>
      <c r="J218" s="1" t="s">
        <v>135</v>
      </c>
      <c r="K218" s="1" t="s">
        <v>116</v>
      </c>
      <c r="L218" s="1"/>
      <c r="M218" s="1" t="s">
        <v>1069</v>
      </c>
      <c r="N218" s="1" t="s">
        <v>1070</v>
      </c>
      <c r="O218" s="1">
        <v>0</v>
      </c>
    </row>
    <row r="219" spans="1:20">
      <c r="A219" s="1"/>
      <c r="B219" s="1" t="s">
        <v>38</v>
      </c>
      <c r="C219" s="1" t="s">
        <v>39</v>
      </c>
      <c r="D219" s="1" t="s">
        <v>58</v>
      </c>
      <c r="E219" s="1" t="s">
        <v>1071</v>
      </c>
      <c r="F219" s="1" t="s">
        <v>26</v>
      </c>
      <c r="G219" s="1"/>
      <c r="H219" s="1"/>
      <c r="I219" s="1" t="s">
        <v>1064</v>
      </c>
      <c r="J219" s="1" t="s">
        <v>984</v>
      </c>
      <c r="K219" s="1" t="s">
        <v>116</v>
      </c>
      <c r="L219" s="1" t="s">
        <v>1072</v>
      </c>
      <c r="M219" s="1" t="s">
        <v>1073</v>
      </c>
      <c r="N219" s="1" t="s">
        <v>1074</v>
      </c>
      <c r="O219" s="1">
        <v>0</v>
      </c>
    </row>
    <row r="220" spans="1:20">
      <c r="A220" s="1"/>
      <c r="B220" s="1" t="s">
        <v>38</v>
      </c>
      <c r="C220" s="1" t="s">
        <v>39</v>
      </c>
      <c r="D220" s="1" t="s">
        <v>58</v>
      </c>
      <c r="E220" s="1" t="s">
        <v>1075</v>
      </c>
      <c r="F220" s="1" t="s">
        <v>26</v>
      </c>
      <c r="G220" s="1"/>
      <c r="H220" s="1" t="s">
        <v>1076</v>
      </c>
      <c r="I220" s="1" t="s">
        <v>1018</v>
      </c>
      <c r="J220" s="1" t="s">
        <v>116</v>
      </c>
      <c r="K220" s="1" t="s">
        <v>1077</v>
      </c>
      <c r="L220" s="1" t="s">
        <v>1078</v>
      </c>
      <c r="M220" s="1" t="s">
        <v>1079</v>
      </c>
      <c r="N220" s="1">
        <v>0</v>
      </c>
    </row>
    <row r="221" spans="1:20">
      <c r="A221" s="1"/>
      <c r="B221" s="1" t="s">
        <v>38</v>
      </c>
      <c r="C221" s="1" t="s">
        <v>39</v>
      </c>
      <c r="D221" s="1" t="s">
        <v>58</v>
      </c>
      <c r="E221" s="1" t="s">
        <v>1080</v>
      </c>
      <c r="F221" s="1" t="s">
        <v>26</v>
      </c>
      <c r="G221" s="1" t="s">
        <v>26</v>
      </c>
      <c r="H221" s="1"/>
      <c r="I221" s="1" t="s">
        <v>1081</v>
      </c>
      <c r="J221" s="1" t="s">
        <v>116</v>
      </c>
      <c r="K221" s="1" t="s">
        <v>1082</v>
      </c>
      <c r="L221" s="1" t="s">
        <v>1083</v>
      </c>
      <c r="M221" s="1" t="s">
        <v>1084</v>
      </c>
      <c r="N221" s="1">
        <v>0</v>
      </c>
    </row>
    <row r="222" spans="1:20">
      <c r="A222" s="1"/>
      <c r="B222" s="1" t="s">
        <v>38</v>
      </c>
      <c r="C222" s="1" t="s">
        <v>39</v>
      </c>
      <c r="D222" s="1" t="s">
        <v>58</v>
      </c>
      <c r="E222" s="1" t="s">
        <v>1085</v>
      </c>
      <c r="F222" s="1" t="s">
        <v>26</v>
      </c>
      <c r="G222" s="1"/>
      <c r="H222" s="1" t="s">
        <v>1076</v>
      </c>
      <c r="I222" s="1" t="s">
        <v>116</v>
      </c>
      <c r="J222" s="1" t="s">
        <v>1086</v>
      </c>
      <c r="K222" s="1" t="s">
        <v>1087</v>
      </c>
      <c r="L222" s="1"/>
      <c r="M222" s="1"/>
      <c r="N222" s="1"/>
      <c r="O222" s="1"/>
      <c r="P222" s="1"/>
      <c r="Q222" s="1"/>
      <c r="R222" s="1"/>
      <c r="S222" s="1"/>
      <c r="T222" s="1">
        <v>0</v>
      </c>
    </row>
    <row r="223" spans="1:20">
      <c r="A223" s="1"/>
      <c r="B223" s="1" t="s">
        <v>38</v>
      </c>
      <c r="C223" s="1" t="s">
        <v>39</v>
      </c>
      <c r="D223" s="1" t="s">
        <v>58</v>
      </c>
      <c r="E223" s="1" t="s">
        <v>1088</v>
      </c>
      <c r="F223" s="1"/>
      <c r="G223" s="1"/>
      <c r="H223" s="1" t="s">
        <v>1076</v>
      </c>
      <c r="I223" s="1" t="s">
        <v>116</v>
      </c>
      <c r="J223" s="1" t="s">
        <v>1089</v>
      </c>
      <c r="K223" s="1" t="s">
        <v>1090</v>
      </c>
      <c r="L223" s="1">
        <v>0</v>
      </c>
    </row>
    <row r="224" spans="1:20">
      <c r="A224" s="1"/>
      <c r="B224" s="1" t="s">
        <v>38</v>
      </c>
      <c r="C224" s="1" t="s">
        <v>39</v>
      </c>
      <c r="D224" s="1"/>
      <c r="E224" s="1" t="s">
        <v>1091</v>
      </c>
      <c r="F224" s="1" t="s">
        <v>26</v>
      </c>
      <c r="G224" s="1"/>
      <c r="H224" s="1" t="s">
        <v>1076</v>
      </c>
      <c r="I224" s="1" t="s">
        <v>116</v>
      </c>
      <c r="J224" s="1" t="s">
        <v>1092</v>
      </c>
      <c r="K224" s="1" t="s">
        <v>1093</v>
      </c>
      <c r="L224" s="1" t="s">
        <v>1094</v>
      </c>
      <c r="M224" s="1">
        <v>0</v>
      </c>
    </row>
    <row r="225" spans="1:21">
      <c r="A225" s="1"/>
      <c r="B225" s="1" t="s">
        <v>38</v>
      </c>
      <c r="C225" s="1" t="s">
        <v>39</v>
      </c>
      <c r="D225" s="1" t="s">
        <v>58</v>
      </c>
      <c r="E225" s="1" t="s">
        <v>1095</v>
      </c>
      <c r="F225" s="1" t="s">
        <v>26</v>
      </c>
      <c r="G225" s="1"/>
      <c r="H225" s="1"/>
      <c r="I225" s="1"/>
      <c r="J225" s="1" t="s">
        <v>116</v>
      </c>
      <c r="K225" s="1" t="s">
        <v>1096</v>
      </c>
      <c r="L225" s="1" t="s">
        <v>1097</v>
      </c>
      <c r="M225" s="1" t="s">
        <v>1098</v>
      </c>
      <c r="N225" s="1"/>
      <c r="O225" s="1"/>
      <c r="P225" s="1"/>
      <c r="Q225" s="1"/>
      <c r="R225" s="1"/>
      <c r="S225" s="1"/>
      <c r="T225" s="1"/>
      <c r="U225" s="1">
        <v>0</v>
      </c>
    </row>
    <row r="226" spans="1:21">
      <c r="A226" s="1"/>
      <c r="B226" s="1" t="s">
        <v>38</v>
      </c>
      <c r="C226" s="1"/>
      <c r="D226" s="1" t="s">
        <v>58</v>
      </c>
      <c r="E226" s="1" t="s">
        <v>1099</v>
      </c>
      <c r="F226" s="1" t="s">
        <v>26</v>
      </c>
      <c r="G226" s="1"/>
      <c r="H226" s="1" t="s">
        <v>1100</v>
      </c>
      <c r="I226" s="1" t="s">
        <v>116</v>
      </c>
      <c r="J226" s="1" t="s">
        <v>1101</v>
      </c>
      <c r="K226" s="1" t="s">
        <v>1102</v>
      </c>
      <c r="L226" s="1" t="s">
        <v>1103</v>
      </c>
      <c r="M226" s="1">
        <v>0</v>
      </c>
    </row>
    <row r="227" spans="1:21">
      <c r="A227" s="1"/>
      <c r="B227" s="1" t="s">
        <v>38</v>
      </c>
      <c r="C227" s="1" t="s">
        <v>39</v>
      </c>
      <c r="D227" s="1" t="s">
        <v>58</v>
      </c>
      <c r="E227" s="1" t="s">
        <v>1104</v>
      </c>
      <c r="F227" s="1" t="s">
        <v>26</v>
      </c>
      <c r="G227" s="1" t="s">
        <v>26</v>
      </c>
      <c r="H227" s="1"/>
      <c r="I227" s="1" t="s">
        <v>1100</v>
      </c>
      <c r="J227" s="1" t="s">
        <v>135</v>
      </c>
      <c r="K227" s="1" t="s">
        <v>116</v>
      </c>
      <c r="L227" s="1" t="s">
        <v>1105</v>
      </c>
      <c r="M227" s="1" t="s">
        <v>1106</v>
      </c>
      <c r="N227" s="1"/>
      <c r="O227" s="1" t="s">
        <v>1107</v>
      </c>
      <c r="P227" s="1">
        <v>0</v>
      </c>
    </row>
    <row r="228" spans="1:21">
      <c r="A228" s="1"/>
      <c r="B228" s="1" t="s">
        <v>38</v>
      </c>
      <c r="C228" s="1" t="s">
        <v>39</v>
      </c>
      <c r="D228" s="1" t="s">
        <v>58</v>
      </c>
      <c r="E228" s="1" t="s">
        <v>1108</v>
      </c>
      <c r="F228" s="1" t="s">
        <v>26</v>
      </c>
      <c r="G228" s="1"/>
      <c r="H228" s="1" t="s">
        <v>1100</v>
      </c>
      <c r="I228" s="1" t="s">
        <v>990</v>
      </c>
      <c r="J228" s="1" t="s">
        <v>116</v>
      </c>
      <c r="K228" s="1" t="s">
        <v>1109</v>
      </c>
      <c r="L228" s="1" t="s">
        <v>1110</v>
      </c>
      <c r="M228" s="1" t="s">
        <v>1111</v>
      </c>
      <c r="N228" s="1">
        <v>0</v>
      </c>
    </row>
    <row r="229" spans="1:21">
      <c r="A229" s="1"/>
      <c r="B229" s="1" t="s">
        <v>38</v>
      </c>
      <c r="C229" s="1" t="s">
        <v>39</v>
      </c>
      <c r="D229" s="1" t="s">
        <v>58</v>
      </c>
      <c r="E229" s="1" t="s">
        <v>1112</v>
      </c>
      <c r="F229" s="1"/>
      <c r="G229" s="1"/>
      <c r="H229" s="1" t="s">
        <v>1100</v>
      </c>
      <c r="I229" s="1" t="s">
        <v>116</v>
      </c>
      <c r="J229" s="1" t="s">
        <v>1113</v>
      </c>
      <c r="K229" s="1" t="s">
        <v>1114</v>
      </c>
      <c r="L229" s="1" t="s">
        <v>1115</v>
      </c>
      <c r="M229" s="1">
        <v>0</v>
      </c>
    </row>
    <row r="230" spans="1:21">
      <c r="A230" s="1"/>
      <c r="B230" s="1" t="s">
        <v>38</v>
      </c>
      <c r="C230" s="1"/>
      <c r="D230" s="1" t="s">
        <v>58</v>
      </c>
      <c r="E230" s="1" t="s">
        <v>1116</v>
      </c>
      <c r="F230" s="1"/>
      <c r="G230" s="1"/>
      <c r="H230" s="1" t="s">
        <v>1117</v>
      </c>
      <c r="I230" s="1" t="s">
        <v>1118</v>
      </c>
      <c r="J230" s="1" t="s">
        <v>116</v>
      </c>
      <c r="K230" s="1" t="s">
        <v>1119</v>
      </c>
      <c r="L230" s="1" t="s">
        <v>1120</v>
      </c>
      <c r="M230" s="1" t="s">
        <v>1121</v>
      </c>
      <c r="N230" s="1">
        <v>0</v>
      </c>
    </row>
    <row r="231" spans="1:21">
      <c r="A231" s="1"/>
      <c r="B231" s="1" t="s">
        <v>38</v>
      </c>
      <c r="C231" s="1"/>
      <c r="D231" s="1"/>
      <c r="E231" s="1" t="s">
        <v>1122</v>
      </c>
      <c r="F231" s="1"/>
      <c r="G231" s="1"/>
      <c r="H231" s="1" t="s">
        <v>1123</v>
      </c>
      <c r="I231" s="1" t="s">
        <v>135</v>
      </c>
      <c r="J231" s="1" t="s">
        <v>116</v>
      </c>
      <c r="K231" s="1" t="s">
        <v>1124</v>
      </c>
      <c r="L231" s="1" t="s">
        <v>1125</v>
      </c>
      <c r="M231" s="1"/>
      <c r="N231" s="1"/>
      <c r="O231" s="1"/>
      <c r="P231" s="1"/>
      <c r="Q231" s="1"/>
      <c r="R231" s="1"/>
      <c r="S231" s="1"/>
      <c r="T231" s="1">
        <v>0</v>
      </c>
    </row>
    <row r="232" spans="1:21">
      <c r="A232" s="1"/>
      <c r="B232" s="1" t="s">
        <v>38</v>
      </c>
      <c r="C232" s="1" t="s">
        <v>39</v>
      </c>
      <c r="D232" s="1" t="s">
        <v>58</v>
      </c>
      <c r="E232" s="1" t="s">
        <v>1126</v>
      </c>
      <c r="F232" s="1" t="s">
        <v>26</v>
      </c>
      <c r="G232" s="1"/>
      <c r="H232" s="1"/>
      <c r="I232" s="1"/>
      <c r="J232" s="1" t="s">
        <v>116</v>
      </c>
      <c r="K232" s="1" t="s">
        <v>1127</v>
      </c>
      <c r="L232" s="1" t="s">
        <v>1128</v>
      </c>
      <c r="M232" s="1" t="s">
        <v>1129</v>
      </c>
      <c r="N232" s="1" t="s">
        <v>1130</v>
      </c>
      <c r="O232" s="1">
        <v>0</v>
      </c>
    </row>
    <row r="233" spans="1:21">
      <c r="A233" s="1"/>
      <c r="B233" s="1" t="s">
        <v>38</v>
      </c>
      <c r="C233" s="1" t="s">
        <v>39</v>
      </c>
      <c r="D233" s="1" t="s">
        <v>58</v>
      </c>
      <c r="E233" s="1" t="s">
        <v>1131</v>
      </c>
      <c r="F233" s="1" t="s">
        <v>26</v>
      </c>
      <c r="G233" s="1"/>
      <c r="H233" s="1" t="s">
        <v>1132</v>
      </c>
      <c r="I233" s="1" t="s">
        <v>135</v>
      </c>
      <c r="J233" s="1" t="s">
        <v>116</v>
      </c>
      <c r="K233" s="1" t="s">
        <v>1133</v>
      </c>
      <c r="L233" s="1" t="s">
        <v>1134</v>
      </c>
      <c r="M233" s="1"/>
      <c r="N233" s="1"/>
      <c r="O233" s="1"/>
      <c r="P233" s="1"/>
      <c r="Q233" s="1"/>
      <c r="R233" s="1"/>
      <c r="S233" s="1" t="s">
        <v>1135</v>
      </c>
      <c r="T233" s="1">
        <v>0</v>
      </c>
    </row>
    <row r="234" spans="1:21">
      <c r="A234" s="1"/>
      <c r="B234" s="1" t="s">
        <v>38</v>
      </c>
      <c r="C234" s="1" t="s">
        <v>39</v>
      </c>
      <c r="D234" s="1" t="s">
        <v>58</v>
      </c>
      <c r="E234" s="1" t="s">
        <v>1136</v>
      </c>
      <c r="F234" s="1" t="s">
        <v>26</v>
      </c>
      <c r="G234" s="1"/>
      <c r="H234" s="1"/>
      <c r="I234" s="1"/>
      <c r="J234" s="1" t="s">
        <v>116</v>
      </c>
      <c r="K234" s="1" t="s">
        <v>1137</v>
      </c>
      <c r="L234" s="1" t="s">
        <v>1138</v>
      </c>
      <c r="M234" s="1" t="s">
        <v>1139</v>
      </c>
      <c r="N234" s="1">
        <v>0</v>
      </c>
    </row>
    <row r="235" spans="1:21">
      <c r="A235" s="1"/>
      <c r="B235" s="1" t="s">
        <v>38</v>
      </c>
      <c r="C235" s="1" t="s">
        <v>39</v>
      </c>
      <c r="D235" s="1" t="s">
        <v>58</v>
      </c>
      <c r="E235" s="1"/>
      <c r="F235" s="1"/>
      <c r="G235" s="1" t="s">
        <v>26</v>
      </c>
      <c r="H235" s="1"/>
      <c r="I235" s="1" t="s">
        <v>1100</v>
      </c>
      <c r="J235" s="1" t="s">
        <v>116</v>
      </c>
      <c r="K235" s="1"/>
      <c r="L235" s="1" t="s">
        <v>1140</v>
      </c>
      <c r="M235" s="1" t="s">
        <v>1141</v>
      </c>
      <c r="N235" s="1">
        <v>0</v>
      </c>
    </row>
    <row r="236" spans="1:21">
      <c r="A236" s="1"/>
      <c r="B236" s="1" t="s">
        <v>38</v>
      </c>
      <c r="C236" s="1" t="s">
        <v>39</v>
      </c>
      <c r="D236" s="1" t="s">
        <v>58</v>
      </c>
      <c r="E236" s="1" t="s">
        <v>1142</v>
      </c>
      <c r="F236" s="1"/>
      <c r="G236" s="1"/>
      <c r="H236" s="1" t="s">
        <v>1143</v>
      </c>
      <c r="I236" s="1" t="s">
        <v>116</v>
      </c>
      <c r="J236" s="1" t="s">
        <v>1144</v>
      </c>
      <c r="K236" s="1" t="s">
        <v>1145</v>
      </c>
      <c r="L236" s="1" t="s">
        <v>1146</v>
      </c>
      <c r="M236" s="1">
        <v>0</v>
      </c>
    </row>
    <row r="237" spans="1:21">
      <c r="A237" s="1"/>
      <c r="B237" s="1" t="s">
        <v>38</v>
      </c>
      <c r="C237" s="1" t="s">
        <v>39</v>
      </c>
      <c r="D237" s="1" t="s">
        <v>58</v>
      </c>
      <c r="E237" s="1" t="s">
        <v>1147</v>
      </c>
      <c r="F237" s="1" t="s">
        <v>26</v>
      </c>
      <c r="G237" s="1"/>
      <c r="H237" s="1"/>
      <c r="I237" s="1"/>
      <c r="J237" s="1" t="s">
        <v>116</v>
      </c>
      <c r="K237" s="1" t="s">
        <v>1148</v>
      </c>
      <c r="L237" s="1" t="s">
        <v>1149</v>
      </c>
      <c r="M237" s="1" t="s">
        <v>1150</v>
      </c>
      <c r="N237" s="1">
        <v>0</v>
      </c>
    </row>
    <row r="238" spans="1:21">
      <c r="A238" s="1"/>
      <c r="B238" s="1" t="s">
        <v>38</v>
      </c>
      <c r="C238" s="1" t="s">
        <v>39</v>
      </c>
      <c r="D238" s="1" t="s">
        <v>58</v>
      </c>
      <c r="E238" s="1" t="s">
        <v>1151</v>
      </c>
      <c r="F238" s="1"/>
      <c r="G238" s="1"/>
      <c r="H238" s="1" t="s">
        <v>1064</v>
      </c>
      <c r="I238" s="1" t="s">
        <v>135</v>
      </c>
      <c r="J238" s="1" t="s">
        <v>116</v>
      </c>
      <c r="K238" s="1" t="s">
        <v>1152</v>
      </c>
      <c r="L238" s="1" t="s">
        <v>1153</v>
      </c>
      <c r="M238" s="1"/>
      <c r="N238" s="1" t="s">
        <v>1154</v>
      </c>
      <c r="O238" s="1">
        <v>0</v>
      </c>
    </row>
    <row r="239" spans="1:21">
      <c r="A239" s="1"/>
      <c r="B239" s="1" t="s">
        <v>38</v>
      </c>
      <c r="C239" s="1" t="s">
        <v>39</v>
      </c>
      <c r="D239" s="1" t="s">
        <v>58</v>
      </c>
      <c r="E239" s="1" t="s">
        <v>1155</v>
      </c>
      <c r="F239" s="1" t="s">
        <v>26</v>
      </c>
      <c r="G239" s="1"/>
      <c r="H239" s="1" t="s">
        <v>1143</v>
      </c>
      <c r="I239" s="1" t="s">
        <v>135</v>
      </c>
      <c r="J239" s="1" t="s">
        <v>116</v>
      </c>
      <c r="K239" s="1" t="s">
        <v>1156</v>
      </c>
      <c r="L239" s="1" t="s">
        <v>1157</v>
      </c>
      <c r="M239" s="1"/>
      <c r="N239" s="1" t="s">
        <v>1158</v>
      </c>
      <c r="O239" s="1">
        <v>0</v>
      </c>
    </row>
    <row r="240" spans="1:21">
      <c r="A240" s="1"/>
      <c r="B240" s="1" t="s">
        <v>38</v>
      </c>
      <c r="C240" s="1" t="s">
        <v>39</v>
      </c>
      <c r="D240" s="1" t="s">
        <v>58</v>
      </c>
      <c r="E240" s="1" t="s">
        <v>1159</v>
      </c>
      <c r="F240" s="1" t="s">
        <v>26</v>
      </c>
      <c r="G240" s="1"/>
      <c r="H240" s="1"/>
      <c r="I240" s="1"/>
      <c r="J240" s="1" t="s">
        <v>116</v>
      </c>
      <c r="K240" s="1" t="s">
        <v>1160</v>
      </c>
      <c r="L240" s="1" t="s">
        <v>1161</v>
      </c>
      <c r="M240" s="1" t="s">
        <v>1162</v>
      </c>
      <c r="N240" s="1">
        <v>0</v>
      </c>
    </row>
    <row r="241" spans="1:19">
      <c r="A241" s="1"/>
      <c r="B241" s="1" t="s">
        <v>38</v>
      </c>
      <c r="C241" s="1"/>
      <c r="D241" s="1" t="s">
        <v>58</v>
      </c>
      <c r="E241" s="1" t="s">
        <v>1163</v>
      </c>
      <c r="F241" s="1" t="s">
        <v>1164</v>
      </c>
      <c r="G241" s="1"/>
      <c r="H241" s="1" t="s">
        <v>1165</v>
      </c>
      <c r="I241" s="1" t="s">
        <v>135</v>
      </c>
      <c r="J241" s="1" t="s">
        <v>116</v>
      </c>
      <c r="K241" s="1" t="s">
        <v>1166</v>
      </c>
      <c r="L241" s="1" t="s">
        <v>1167</v>
      </c>
      <c r="M241" s="1"/>
      <c r="N241" s="1" t="s">
        <v>1168</v>
      </c>
      <c r="O241" s="1">
        <v>0</v>
      </c>
    </row>
    <row r="242" spans="1:19">
      <c r="A242" s="1"/>
      <c r="B242" s="1" t="s">
        <v>38</v>
      </c>
      <c r="C242" s="1" t="s">
        <v>39</v>
      </c>
      <c r="D242" s="1" t="s">
        <v>58</v>
      </c>
      <c r="E242" s="1" t="s">
        <v>1169</v>
      </c>
      <c r="F242" s="1" t="s">
        <v>26</v>
      </c>
      <c r="G242" s="1"/>
      <c r="H242" s="1"/>
      <c r="I242" s="1"/>
      <c r="J242" s="1" t="s">
        <v>116</v>
      </c>
      <c r="K242" s="1" t="s">
        <v>1170</v>
      </c>
      <c r="L242" s="1" t="s">
        <v>1171</v>
      </c>
      <c r="M242" s="1" t="s">
        <v>1172</v>
      </c>
      <c r="N242" s="1">
        <v>0</v>
      </c>
    </row>
    <row r="243" spans="1:19">
      <c r="A243" s="1"/>
      <c r="B243" s="1" t="s">
        <v>38</v>
      </c>
      <c r="C243" s="1" t="s">
        <v>39</v>
      </c>
      <c r="D243" s="1" t="s">
        <v>58</v>
      </c>
      <c r="E243" s="1" t="s">
        <v>1173</v>
      </c>
      <c r="F243" s="1"/>
      <c r="G243" s="1"/>
      <c r="H243" s="1"/>
      <c r="I243" s="1"/>
      <c r="J243" s="1" t="s">
        <v>116</v>
      </c>
      <c r="K243" s="1"/>
      <c r="L243" s="1" t="s">
        <v>1174</v>
      </c>
      <c r="M243" s="1" t="s">
        <v>1175</v>
      </c>
      <c r="N243" s="1">
        <v>0</v>
      </c>
    </row>
    <row r="244" spans="1:19">
      <c r="A244" s="1"/>
      <c r="B244" s="1" t="s">
        <v>38</v>
      </c>
      <c r="C244" s="1" t="s">
        <v>39</v>
      </c>
      <c r="D244" s="1" t="s">
        <v>58</v>
      </c>
      <c r="E244" s="1" t="s">
        <v>1176</v>
      </c>
      <c r="F244" s="1"/>
      <c r="G244" s="1"/>
      <c r="H244" s="1"/>
      <c r="I244" s="1" t="s">
        <v>1165</v>
      </c>
      <c r="J244" s="1" t="s">
        <v>1118</v>
      </c>
      <c r="K244" s="1" t="s">
        <v>116</v>
      </c>
      <c r="L244" s="1" t="s">
        <v>1177</v>
      </c>
      <c r="M244" s="1" t="s">
        <v>1178</v>
      </c>
      <c r="N244" s="1" t="s">
        <v>1179</v>
      </c>
      <c r="O244" s="1">
        <v>0</v>
      </c>
    </row>
    <row r="245" spans="1:19">
      <c r="A245" s="1"/>
      <c r="B245" s="1" t="s">
        <v>38</v>
      </c>
      <c r="C245" s="1" t="s">
        <v>39</v>
      </c>
      <c r="D245" s="1" t="s">
        <v>58</v>
      </c>
      <c r="E245" s="1" t="s">
        <v>1180</v>
      </c>
      <c r="F245" s="1" t="s">
        <v>26</v>
      </c>
      <c r="G245" s="1"/>
      <c r="H245" s="1"/>
      <c r="I245" s="1"/>
      <c r="J245" s="1" t="s">
        <v>116</v>
      </c>
      <c r="K245" s="1" t="s">
        <v>1181</v>
      </c>
      <c r="L245" s="1" t="s">
        <v>1182</v>
      </c>
      <c r="M245" s="1" t="s">
        <v>1183</v>
      </c>
      <c r="N245" s="1">
        <v>0</v>
      </c>
    </row>
    <row r="246" spans="1:19">
      <c r="A246" s="1"/>
      <c r="B246" s="1" t="s">
        <v>38</v>
      </c>
      <c r="C246" s="1" t="s">
        <v>39</v>
      </c>
      <c r="D246" s="1" t="s">
        <v>58</v>
      </c>
      <c r="E246" s="1" t="s">
        <v>1184</v>
      </c>
      <c r="F246" s="1"/>
      <c r="G246" s="1"/>
      <c r="H246" s="1" t="s">
        <v>1165</v>
      </c>
      <c r="I246" s="1" t="s">
        <v>1118</v>
      </c>
      <c r="J246" s="1" t="s">
        <v>116</v>
      </c>
      <c r="K246" s="1" t="s">
        <v>1185</v>
      </c>
      <c r="L246" s="1" t="s">
        <v>1186</v>
      </c>
      <c r="M246" s="1"/>
      <c r="N246" s="1" t="s">
        <v>1187</v>
      </c>
      <c r="O246" s="1">
        <v>0</v>
      </c>
    </row>
    <row r="247" spans="1:19">
      <c r="A247" s="1"/>
      <c r="B247" s="1" t="s">
        <v>38</v>
      </c>
      <c r="C247" s="1" t="s">
        <v>39</v>
      </c>
      <c r="D247" s="1" t="s">
        <v>58</v>
      </c>
      <c r="E247" s="1" t="s">
        <v>1188</v>
      </c>
      <c r="F247" s="1" t="s">
        <v>26</v>
      </c>
      <c r="G247" s="1"/>
      <c r="H247" s="1" t="s">
        <v>1165</v>
      </c>
      <c r="I247" s="1" t="s">
        <v>1118</v>
      </c>
      <c r="J247" s="1" t="s">
        <v>116</v>
      </c>
      <c r="K247" s="1" t="s">
        <v>1189</v>
      </c>
      <c r="L247" s="1" t="s">
        <v>1190</v>
      </c>
      <c r="M247" s="1" t="s">
        <v>1191</v>
      </c>
      <c r="N247" s="1">
        <v>0</v>
      </c>
    </row>
    <row r="248" spans="1:19">
      <c r="A248" s="1"/>
      <c r="B248" s="1" t="s">
        <v>38</v>
      </c>
      <c r="C248" s="1" t="s">
        <v>39</v>
      </c>
      <c r="D248" s="1" t="s">
        <v>58</v>
      </c>
      <c r="E248" s="1" t="s">
        <v>1192</v>
      </c>
      <c r="F248" s="1" t="s">
        <v>26</v>
      </c>
      <c r="G248" s="1"/>
      <c r="H248" s="1"/>
      <c r="I248" s="1"/>
      <c r="J248" s="1" t="s">
        <v>116</v>
      </c>
      <c r="K248" s="1" t="s">
        <v>1193</v>
      </c>
      <c r="L248" s="1" t="s">
        <v>1194</v>
      </c>
      <c r="M248" s="1" t="s">
        <v>1195</v>
      </c>
      <c r="N248" s="1">
        <v>0</v>
      </c>
    </row>
    <row r="249" spans="1:19">
      <c r="A249" s="1"/>
      <c r="B249" s="1" t="s">
        <v>38</v>
      </c>
      <c r="C249" s="1" t="s">
        <v>39</v>
      </c>
      <c r="D249" s="1" t="s">
        <v>58</v>
      </c>
      <c r="E249" s="1" t="s">
        <v>1196</v>
      </c>
      <c r="F249" s="1" t="s">
        <v>26</v>
      </c>
      <c r="G249" s="1"/>
      <c r="H249" s="1"/>
      <c r="I249" s="1"/>
      <c r="J249" s="1" t="s">
        <v>116</v>
      </c>
      <c r="K249" s="1" t="s">
        <v>1197</v>
      </c>
      <c r="L249" s="1" t="s">
        <v>1198</v>
      </c>
      <c r="M249" s="1" t="s">
        <v>1199</v>
      </c>
      <c r="N249" s="1">
        <v>0</v>
      </c>
    </row>
    <row r="250" spans="1:19">
      <c r="A250" s="1"/>
      <c r="B250" s="1" t="s">
        <v>38</v>
      </c>
      <c r="C250" s="1" t="s">
        <v>39</v>
      </c>
      <c r="D250" s="1" t="s">
        <v>58</v>
      </c>
      <c r="E250" s="1" t="s">
        <v>1200</v>
      </c>
      <c r="F250" s="1" t="s">
        <v>26</v>
      </c>
      <c r="G250" s="1"/>
      <c r="H250" s="1" t="s">
        <v>989</v>
      </c>
      <c r="I250" s="1" t="s">
        <v>116</v>
      </c>
      <c r="J250" s="1" t="s">
        <v>1201</v>
      </c>
      <c r="K250" s="1" t="s">
        <v>1202</v>
      </c>
      <c r="L250" s="1" t="s">
        <v>1203</v>
      </c>
      <c r="M250" s="1">
        <v>0</v>
      </c>
    </row>
    <row r="251" spans="1:19">
      <c r="A251" s="1"/>
      <c r="B251" s="1" t="s">
        <v>38</v>
      </c>
      <c r="C251" s="1" t="s">
        <v>39</v>
      </c>
      <c r="D251" s="1" t="s">
        <v>58</v>
      </c>
      <c r="E251" s="1" t="s">
        <v>1204</v>
      </c>
      <c r="F251" s="1"/>
      <c r="G251" s="1"/>
      <c r="H251" s="1" t="s">
        <v>114</v>
      </c>
      <c r="I251" s="1" t="s">
        <v>807</v>
      </c>
      <c r="J251" s="1" t="s">
        <v>116</v>
      </c>
      <c r="K251" s="1" t="s">
        <v>1205</v>
      </c>
      <c r="L251" s="1" t="s">
        <v>1206</v>
      </c>
      <c r="M251" s="1"/>
      <c r="N251" s="1" t="s">
        <v>1207</v>
      </c>
      <c r="O251" s="1"/>
      <c r="P251" s="1"/>
      <c r="Q251" s="1"/>
      <c r="R251" s="1"/>
      <c r="S251" s="1">
        <v>0</v>
      </c>
    </row>
    <row r="252" spans="1:19">
      <c r="A252" s="1"/>
      <c r="B252" s="1" t="s">
        <v>38</v>
      </c>
      <c r="C252" s="1" t="s">
        <v>39</v>
      </c>
      <c r="D252" s="1" t="s">
        <v>58</v>
      </c>
      <c r="E252" s="1" t="s">
        <v>1208</v>
      </c>
      <c r="F252" s="1"/>
      <c r="G252" s="1"/>
      <c r="H252" s="1"/>
      <c r="I252" s="1"/>
      <c r="J252" s="1" t="s">
        <v>116</v>
      </c>
      <c r="K252" s="1" t="s">
        <v>1209</v>
      </c>
      <c r="L252" s="1" t="s">
        <v>1210</v>
      </c>
      <c r="M252" s="1"/>
      <c r="N252" s="1" t="s">
        <v>1211</v>
      </c>
      <c r="O252" s="1">
        <v>0</v>
      </c>
    </row>
    <row r="253" spans="1:19">
      <c r="A253" s="1"/>
      <c r="B253" s="1" t="s">
        <v>38</v>
      </c>
      <c r="C253" s="1" t="s">
        <v>39</v>
      </c>
      <c r="D253" s="1" t="s">
        <v>58</v>
      </c>
      <c r="E253" s="1" t="s">
        <v>1212</v>
      </c>
      <c r="F253" s="1"/>
      <c r="G253" s="1"/>
      <c r="H253" s="1"/>
      <c r="I253" s="1"/>
      <c r="J253" s="1"/>
      <c r="K253" s="1" t="s">
        <v>116</v>
      </c>
      <c r="L253" s="1" t="s">
        <v>1213</v>
      </c>
      <c r="M253" s="1" t="s">
        <v>1214</v>
      </c>
      <c r="N253" s="1" t="s">
        <v>1215</v>
      </c>
      <c r="O253" s="1">
        <v>0</v>
      </c>
    </row>
    <row r="254" spans="1:19">
      <c r="A254" s="1"/>
      <c r="B254" s="1" t="s">
        <v>38</v>
      </c>
      <c r="C254" s="1" t="s">
        <v>39</v>
      </c>
      <c r="D254" s="1" t="s">
        <v>58</v>
      </c>
      <c r="E254" s="1" t="s">
        <v>1200</v>
      </c>
      <c r="F254" s="1"/>
      <c r="G254" s="1" t="s">
        <v>26</v>
      </c>
      <c r="H254" s="1"/>
      <c r="I254" s="1" t="s">
        <v>1216</v>
      </c>
      <c r="J254" s="1" t="s">
        <v>116</v>
      </c>
      <c r="K254" s="1" t="s">
        <v>1217</v>
      </c>
      <c r="L254" s="1" t="s">
        <v>1202</v>
      </c>
      <c r="M254" s="1" t="s">
        <v>1218</v>
      </c>
      <c r="N254" s="1" t="s">
        <v>1203</v>
      </c>
      <c r="O254" s="1">
        <v>0</v>
      </c>
    </row>
    <row r="255" spans="1:19">
      <c r="A255" s="1"/>
      <c r="B255" s="1"/>
      <c r="C255" s="1"/>
      <c r="D255" s="1"/>
      <c r="E255" s="1" t="s">
        <v>1196</v>
      </c>
      <c r="F255" s="1" t="s">
        <v>26</v>
      </c>
      <c r="G255" s="1"/>
      <c r="H255" s="1" t="s">
        <v>1219</v>
      </c>
      <c r="I255" s="1" t="s">
        <v>116</v>
      </c>
      <c r="J255" s="1" t="s">
        <v>1197</v>
      </c>
      <c r="K255" s="1" t="s">
        <v>1198</v>
      </c>
      <c r="L255" s="1"/>
      <c r="M255" s="1" t="s">
        <v>1199</v>
      </c>
      <c r="N255" s="1">
        <v>0</v>
      </c>
    </row>
    <row r="256" spans="1:19">
      <c r="A256" s="1"/>
      <c r="B256" s="1" t="s">
        <v>38</v>
      </c>
      <c r="C256" s="1" t="s">
        <v>39</v>
      </c>
      <c r="D256" s="1" t="s">
        <v>58</v>
      </c>
      <c r="E256" s="1" t="s">
        <v>1220</v>
      </c>
      <c r="F256" s="1" t="s">
        <v>26</v>
      </c>
      <c r="G256" s="1"/>
      <c r="H256" s="1" t="s">
        <v>956</v>
      </c>
      <c r="I256" s="1" t="s">
        <v>116</v>
      </c>
      <c r="J256" s="1" t="s">
        <v>1221</v>
      </c>
      <c r="K256" s="1" t="s">
        <v>1222</v>
      </c>
      <c r="L256" s="1"/>
      <c r="M256" s="1" t="s">
        <v>1223</v>
      </c>
      <c r="N256" s="1">
        <v>0</v>
      </c>
    </row>
    <row r="257" spans="1:22">
      <c r="A257" s="1"/>
      <c r="B257" s="1" t="s">
        <v>38</v>
      </c>
      <c r="C257" s="1" t="s">
        <v>39</v>
      </c>
      <c r="D257" s="1" t="s">
        <v>58</v>
      </c>
      <c r="E257" s="1" t="s">
        <v>1192</v>
      </c>
      <c r="F257" s="1"/>
      <c r="G257" s="1" t="s">
        <v>26</v>
      </c>
      <c r="H257" s="1"/>
      <c r="I257" s="1" t="s">
        <v>956</v>
      </c>
      <c r="J257" s="1" t="s">
        <v>116</v>
      </c>
      <c r="K257" s="1" t="s">
        <v>1224</v>
      </c>
      <c r="L257" s="1" t="s">
        <v>1194</v>
      </c>
      <c r="M257" s="1" t="s">
        <v>1195</v>
      </c>
      <c r="N257" s="1"/>
      <c r="O257" s="1"/>
      <c r="P257" s="1"/>
      <c r="Q257" s="1"/>
      <c r="R257" s="1"/>
      <c r="S257" s="1"/>
      <c r="T257" s="1"/>
      <c r="U257" s="1">
        <v>0</v>
      </c>
    </row>
    <row r="258" spans="1:22">
      <c r="A258" s="1"/>
      <c r="B258" s="1" t="s">
        <v>38</v>
      </c>
      <c r="C258" s="1" t="s">
        <v>39</v>
      </c>
      <c r="D258" s="1" t="s">
        <v>58</v>
      </c>
      <c r="E258" s="1" t="s">
        <v>1180</v>
      </c>
      <c r="F258" s="1"/>
      <c r="G258" s="1" t="s">
        <v>26</v>
      </c>
      <c r="H258" s="1"/>
      <c r="I258" s="1"/>
      <c r="J258" s="1"/>
      <c r="K258" s="1" t="s">
        <v>116</v>
      </c>
      <c r="L258" s="1"/>
      <c r="M258" s="1"/>
      <c r="N258" s="1"/>
      <c r="O258" s="1"/>
      <c r="P258" s="1"/>
      <c r="Q258" s="1"/>
      <c r="R258" s="1"/>
      <c r="S258" s="1"/>
      <c r="T258" s="1"/>
      <c r="U258" s="1"/>
      <c r="V258" s="1">
        <v>0</v>
      </c>
    </row>
    <row r="259" spans="1:22">
      <c r="A259" s="1"/>
      <c r="B259" s="1" t="s">
        <v>38</v>
      </c>
      <c r="C259" s="1"/>
      <c r="D259" s="1" t="s">
        <v>58</v>
      </c>
      <c r="E259" s="1"/>
      <c r="F259" s="1" t="s">
        <v>133</v>
      </c>
      <c r="G259" s="1" t="s">
        <v>26</v>
      </c>
      <c r="H259" s="1"/>
      <c r="I259" s="1"/>
      <c r="J259" s="1"/>
      <c r="K259" s="1" t="s">
        <v>116</v>
      </c>
      <c r="L259" s="1"/>
      <c r="M259" s="1" t="s">
        <v>1225</v>
      </c>
      <c r="N259" s="1" t="s">
        <v>1226</v>
      </c>
      <c r="O259" s="1" t="s">
        <v>1227</v>
      </c>
      <c r="P259" s="1">
        <v>0</v>
      </c>
    </row>
    <row r="260" spans="1:22">
      <c r="A260" s="1" t="s">
        <v>1228</v>
      </c>
      <c r="B260" s="1" t="s">
        <v>38</v>
      </c>
      <c r="C260" s="1" t="s">
        <v>39</v>
      </c>
      <c r="D260" s="1" t="s">
        <v>58</v>
      </c>
      <c r="E260" s="1" t="s">
        <v>1229</v>
      </c>
      <c r="F260" s="1" t="s">
        <v>26</v>
      </c>
      <c r="G260" s="1" t="s">
        <v>26</v>
      </c>
      <c r="H260" s="1" t="s">
        <v>304</v>
      </c>
      <c r="I260" s="1" t="s">
        <v>371</v>
      </c>
      <c r="J260" s="1" t="s">
        <v>29</v>
      </c>
      <c r="K260" s="1" t="s">
        <v>30</v>
      </c>
      <c r="L260" s="1" t="s">
        <v>1230</v>
      </c>
      <c r="M260" s="1" t="s">
        <v>1231</v>
      </c>
      <c r="N260" s="1" t="s">
        <v>1232</v>
      </c>
      <c r="O260" s="1" t="s">
        <v>1233</v>
      </c>
      <c r="P260" s="1" t="s">
        <v>35</v>
      </c>
      <c r="Q260" s="1" t="s">
        <v>36</v>
      </c>
      <c r="R260" s="1" t="s">
        <v>1234</v>
      </c>
      <c r="S260" s="1">
        <v>0</v>
      </c>
    </row>
    <row r="261" spans="1:22">
      <c r="A261" s="1" t="s">
        <v>22</v>
      </c>
      <c r="B261" s="1" t="s">
        <v>38</v>
      </c>
      <c r="C261" s="1" t="s">
        <v>39</v>
      </c>
      <c r="D261" s="1" t="s">
        <v>58</v>
      </c>
      <c r="E261" s="1" t="s">
        <v>1235</v>
      </c>
      <c r="F261" s="1" t="s">
        <v>26</v>
      </c>
      <c r="G261" s="1" t="s">
        <v>26</v>
      </c>
      <c r="H261" s="1" t="s">
        <v>182</v>
      </c>
      <c r="I261" s="1" t="s">
        <v>84</v>
      </c>
      <c r="J261" s="1" t="s">
        <v>29</v>
      </c>
      <c r="K261" s="1" t="s">
        <v>30</v>
      </c>
      <c r="L261" s="1" t="s">
        <v>1236</v>
      </c>
      <c r="M261" s="1" t="s">
        <v>1237</v>
      </c>
      <c r="N261" s="1" t="s">
        <v>1238</v>
      </c>
      <c r="O261" s="1" t="s">
        <v>1239</v>
      </c>
      <c r="P261" s="1"/>
      <c r="Q261" s="1" t="s">
        <v>35</v>
      </c>
      <c r="R261" s="1" t="s">
        <v>36</v>
      </c>
      <c r="S261" s="1" t="s">
        <v>1240</v>
      </c>
      <c r="T261" s="1">
        <v>0</v>
      </c>
    </row>
    <row r="262" spans="1:22">
      <c r="A262" s="1" t="s">
        <v>1241</v>
      </c>
      <c r="B262" s="1" t="s">
        <v>38</v>
      </c>
      <c r="C262" s="1" t="s">
        <v>39</v>
      </c>
      <c r="D262" s="1" t="s">
        <v>58</v>
      </c>
      <c r="E262" s="1" t="s">
        <v>149</v>
      </c>
      <c r="F262" s="1" t="s">
        <v>26</v>
      </c>
      <c r="G262" s="1" t="s">
        <v>26</v>
      </c>
      <c r="H262" s="1" t="s">
        <v>1242</v>
      </c>
      <c r="I262" s="1" t="s">
        <v>1243</v>
      </c>
      <c r="J262" s="1" t="s">
        <v>29</v>
      </c>
      <c r="K262" s="1" t="s">
        <v>30</v>
      </c>
      <c r="L262" s="1" t="s">
        <v>1244</v>
      </c>
      <c r="M262" s="1" t="s">
        <v>1245</v>
      </c>
      <c r="N262" s="1" t="s">
        <v>1246</v>
      </c>
      <c r="O262" s="1" t="s">
        <v>1247</v>
      </c>
      <c r="P262" s="1"/>
      <c r="Q262" s="1" t="s">
        <v>35</v>
      </c>
      <c r="R262" s="1" t="s">
        <v>36</v>
      </c>
      <c r="S262" s="1" t="s">
        <v>1248</v>
      </c>
      <c r="T262" s="1">
        <v>0</v>
      </c>
    </row>
    <row r="263" spans="1:22">
      <c r="A263" s="1" t="s">
        <v>1249</v>
      </c>
      <c r="B263" s="1" t="s">
        <v>38</v>
      </c>
      <c r="C263" s="1" t="s">
        <v>39</v>
      </c>
      <c r="D263" s="1" t="s">
        <v>58</v>
      </c>
      <c r="E263" s="1" t="s">
        <v>1235</v>
      </c>
      <c r="F263" s="1" t="s">
        <v>26</v>
      </c>
      <c r="G263" s="1" t="s">
        <v>26</v>
      </c>
      <c r="H263" s="1" t="s">
        <v>1249</v>
      </c>
      <c r="I263" s="1" t="s">
        <v>76</v>
      </c>
      <c r="J263" s="1" t="s">
        <v>29</v>
      </c>
      <c r="K263" s="1" t="s">
        <v>30</v>
      </c>
      <c r="L263" s="1" t="s">
        <v>1250</v>
      </c>
      <c r="M263" s="1" t="s">
        <v>1251</v>
      </c>
      <c r="N263" s="1" t="s">
        <v>1252</v>
      </c>
      <c r="O263" s="1" t="s">
        <v>1253</v>
      </c>
      <c r="P263" s="1"/>
      <c r="Q263" s="1" t="s">
        <v>35</v>
      </c>
      <c r="R263" s="1" t="s">
        <v>36</v>
      </c>
      <c r="S263" s="1" t="s">
        <v>1254</v>
      </c>
      <c r="T263" s="1">
        <v>0</v>
      </c>
    </row>
    <row r="264" spans="1:22">
      <c r="A264" s="1" t="s">
        <v>887</v>
      </c>
      <c r="B264" s="1" t="s">
        <v>38</v>
      </c>
      <c r="C264" s="1" t="s">
        <v>39</v>
      </c>
      <c r="D264" s="1" t="s">
        <v>58</v>
      </c>
      <c r="E264" s="1" t="s">
        <v>1235</v>
      </c>
      <c r="F264" s="1" t="s">
        <v>26</v>
      </c>
      <c r="G264" s="1" t="s">
        <v>26</v>
      </c>
      <c r="H264" s="1" t="s">
        <v>887</v>
      </c>
      <c r="I264" s="1" t="s">
        <v>96</v>
      </c>
      <c r="J264" s="1" t="s">
        <v>889</v>
      </c>
      <c r="K264" s="1" t="s">
        <v>890</v>
      </c>
      <c r="L264" s="1" t="s">
        <v>1255</v>
      </c>
      <c r="M264" s="1" t="s">
        <v>1256</v>
      </c>
      <c r="N264" s="1" t="s">
        <v>1257</v>
      </c>
      <c r="O264" s="1" t="s">
        <v>1258</v>
      </c>
      <c r="P264" s="1" t="s">
        <v>1259</v>
      </c>
      <c r="Q264" s="1"/>
      <c r="R264" s="1" t="s">
        <v>35</v>
      </c>
      <c r="S264" s="1" t="s">
        <v>902</v>
      </c>
      <c r="T264" s="1" t="s">
        <v>1260</v>
      </c>
      <c r="U264" s="1">
        <v>0</v>
      </c>
    </row>
    <row r="265" spans="1:22">
      <c r="A265" s="1" t="s">
        <v>180</v>
      </c>
      <c r="B265" s="1" t="s">
        <v>111</v>
      </c>
      <c r="C265" s="1" t="s">
        <v>39</v>
      </c>
      <c r="D265" s="1" t="s">
        <v>58</v>
      </c>
      <c r="E265" s="1"/>
      <c r="F265" s="1" t="s">
        <v>26</v>
      </c>
      <c r="G265" s="1" t="s">
        <v>26</v>
      </c>
      <c r="H265" s="1" t="s">
        <v>1261</v>
      </c>
      <c r="I265" s="1" t="s">
        <v>863</v>
      </c>
      <c r="J265" s="1" t="s">
        <v>29</v>
      </c>
      <c r="K265" s="1" t="s">
        <v>183</v>
      </c>
      <c r="L265" s="1" t="s">
        <v>1262</v>
      </c>
      <c r="M265" s="1" t="s">
        <v>1263</v>
      </c>
      <c r="N265" s="1" t="s">
        <v>1264</v>
      </c>
      <c r="O265" s="1" t="s">
        <v>1265</v>
      </c>
      <c r="P265" s="1" t="s">
        <v>35</v>
      </c>
      <c r="Q265" s="1" t="s">
        <v>36</v>
      </c>
      <c r="R265" s="1" t="s">
        <v>1266</v>
      </c>
      <c r="S265" s="1">
        <v>0</v>
      </c>
    </row>
    <row r="266" spans="1:22">
      <c r="A266" s="1" t="s">
        <v>887</v>
      </c>
      <c r="B266" s="1" t="s">
        <v>38</v>
      </c>
      <c r="C266" s="2">
        <v>43922</v>
      </c>
      <c r="D266" s="1" t="s">
        <v>58</v>
      </c>
      <c r="E266" s="1" t="s">
        <v>1235</v>
      </c>
      <c r="F266" s="1" t="s">
        <v>26</v>
      </c>
      <c r="G266" s="1" t="s">
        <v>26</v>
      </c>
      <c r="H266" s="1" t="s">
        <v>887</v>
      </c>
      <c r="I266" s="1" t="s">
        <v>96</v>
      </c>
      <c r="J266" s="1" t="s">
        <v>1267</v>
      </c>
      <c r="K266" s="1" t="s">
        <v>890</v>
      </c>
      <c r="L266" s="1" t="s">
        <v>1268</v>
      </c>
      <c r="M266" s="1" t="s">
        <v>1269</v>
      </c>
      <c r="N266" s="1" t="s">
        <v>1270</v>
      </c>
      <c r="O266" s="1" t="s">
        <v>1271</v>
      </c>
      <c r="P266" s="1" t="s">
        <v>1272</v>
      </c>
      <c r="Q266" s="1"/>
      <c r="R266" s="1" t="s">
        <v>35</v>
      </c>
      <c r="S266" s="1" t="s">
        <v>1273</v>
      </c>
      <c r="T266" s="1">
        <v>0</v>
      </c>
    </row>
    <row r="267" spans="1:22">
      <c r="A267" s="1" t="s">
        <v>375</v>
      </c>
      <c r="B267" s="1" t="s">
        <v>38</v>
      </c>
      <c r="C267" s="2">
        <v>43928</v>
      </c>
      <c r="D267" s="1" t="s">
        <v>58</v>
      </c>
      <c r="E267" s="1"/>
      <c r="F267" s="1" t="s">
        <v>26</v>
      </c>
      <c r="G267" s="1" t="s">
        <v>60</v>
      </c>
      <c r="H267" s="1" t="s">
        <v>1274</v>
      </c>
      <c r="I267" s="1" t="s">
        <v>1275</v>
      </c>
      <c r="J267" s="1" t="s">
        <v>1276</v>
      </c>
      <c r="K267" s="1" t="s">
        <v>183</v>
      </c>
      <c r="L267" s="1" t="s">
        <v>1277</v>
      </c>
      <c r="M267" s="1" t="s">
        <v>1278</v>
      </c>
      <c r="N267" s="1" t="s">
        <v>1279</v>
      </c>
      <c r="O267" s="1"/>
      <c r="P267" s="1" t="s">
        <v>1280</v>
      </c>
      <c r="Q267" s="1" t="s">
        <v>1281</v>
      </c>
      <c r="R267" s="1" t="s">
        <v>35</v>
      </c>
      <c r="S267" s="1" t="s">
        <v>120</v>
      </c>
      <c r="T267" s="1" t="s">
        <v>1282</v>
      </c>
      <c r="U267" s="1">
        <v>0</v>
      </c>
    </row>
    <row r="268" spans="1:22">
      <c r="A268" s="1" t="s">
        <v>1283</v>
      </c>
      <c r="B268" s="1" t="s">
        <v>38</v>
      </c>
      <c r="C268" s="2">
        <v>43928</v>
      </c>
      <c r="D268" s="1" t="s">
        <v>58</v>
      </c>
      <c r="E268" s="1"/>
      <c r="F268" s="1" t="s">
        <v>26</v>
      </c>
      <c r="G268" s="1" t="s">
        <v>26</v>
      </c>
      <c r="H268" s="1" t="s">
        <v>1284</v>
      </c>
      <c r="I268" s="1" t="s">
        <v>1285</v>
      </c>
      <c r="J268" s="1" t="s">
        <v>889</v>
      </c>
      <c r="K268" s="1" t="s">
        <v>183</v>
      </c>
      <c r="L268" s="1" t="s">
        <v>1286</v>
      </c>
      <c r="M268" s="1" t="s">
        <v>1287</v>
      </c>
      <c r="N268" s="1" t="s">
        <v>1288</v>
      </c>
      <c r="O268" s="1" t="s">
        <v>1289</v>
      </c>
      <c r="P268" s="1" t="s">
        <v>1290</v>
      </c>
      <c r="Q268" s="1" t="s">
        <v>1291</v>
      </c>
      <c r="R268" s="1" t="s">
        <v>35</v>
      </c>
      <c r="S268" s="1" t="s">
        <v>1292</v>
      </c>
      <c r="T268" s="1">
        <v>0</v>
      </c>
    </row>
    <row r="269" spans="1:22">
      <c r="A269" s="1" t="s">
        <v>82</v>
      </c>
      <c r="B269" s="1" t="s">
        <v>38</v>
      </c>
      <c r="C269" s="2">
        <v>43928</v>
      </c>
      <c r="D269" s="1" t="s">
        <v>58</v>
      </c>
      <c r="E269" s="1"/>
      <c r="F269" s="1" t="s">
        <v>26</v>
      </c>
      <c r="G269" s="1" t="s">
        <v>60</v>
      </c>
      <c r="H269" s="1" t="s">
        <v>1293</v>
      </c>
      <c r="I269" s="1" t="s">
        <v>1294</v>
      </c>
      <c r="J269" s="1" t="s">
        <v>135</v>
      </c>
      <c r="K269" s="1" t="s">
        <v>183</v>
      </c>
      <c r="L269" s="1" t="s">
        <v>1295</v>
      </c>
      <c r="M269" s="1" t="s">
        <v>1296</v>
      </c>
      <c r="N269" s="1" t="s">
        <v>1297</v>
      </c>
      <c r="O269" s="1"/>
      <c r="P269" s="1" t="s">
        <v>1298</v>
      </c>
      <c r="Q269" s="1" t="s">
        <v>1299</v>
      </c>
      <c r="R269" s="1" t="s">
        <v>35</v>
      </c>
      <c r="S269" s="1" t="s">
        <v>1292</v>
      </c>
      <c r="T269" s="1">
        <v>0</v>
      </c>
    </row>
    <row r="270" spans="1:22">
      <c r="A270" s="1" t="s">
        <v>1300</v>
      </c>
      <c r="B270" s="1" t="s">
        <v>38</v>
      </c>
      <c r="C270" s="2">
        <v>43928</v>
      </c>
      <c r="D270" s="1" t="s">
        <v>58</v>
      </c>
      <c r="E270" s="1"/>
      <c r="F270" s="1" t="s">
        <v>26</v>
      </c>
      <c r="G270" s="1" t="s">
        <v>60</v>
      </c>
      <c r="H270" s="1" t="s">
        <v>1301</v>
      </c>
      <c r="I270" s="1" t="s">
        <v>1302</v>
      </c>
      <c r="J270" s="1" t="s">
        <v>1303</v>
      </c>
      <c r="K270" s="1" t="s">
        <v>183</v>
      </c>
      <c r="L270" s="1" t="s">
        <v>1304</v>
      </c>
      <c r="M270" s="1" t="s">
        <v>1305</v>
      </c>
      <c r="N270" s="1" t="s">
        <v>1306</v>
      </c>
      <c r="O270" s="1" t="s">
        <v>1307</v>
      </c>
      <c r="P270" s="1" t="s">
        <v>1308</v>
      </c>
      <c r="Q270" s="1" t="s">
        <v>35</v>
      </c>
      <c r="R270" s="1" t="s">
        <v>1292</v>
      </c>
      <c r="S270" s="1" t="s">
        <v>1309</v>
      </c>
      <c r="T270" s="1">
        <v>0</v>
      </c>
    </row>
    <row r="271" spans="1:22">
      <c r="A271" s="1" t="s">
        <v>950</v>
      </c>
      <c r="B271" s="1" t="s">
        <v>38</v>
      </c>
      <c r="C271" s="2">
        <v>43928</v>
      </c>
      <c r="D271" s="1" t="s">
        <v>58</v>
      </c>
      <c r="E271" s="1"/>
      <c r="F271" s="1" t="s">
        <v>26</v>
      </c>
      <c r="G271" s="1" t="s">
        <v>26</v>
      </c>
      <c r="H271" s="1" t="s">
        <v>1310</v>
      </c>
      <c r="I271" s="1" t="s">
        <v>1311</v>
      </c>
      <c r="J271" s="1" t="s">
        <v>1312</v>
      </c>
      <c r="K271" s="1" t="s">
        <v>183</v>
      </c>
      <c r="L271" s="1" t="s">
        <v>1313</v>
      </c>
      <c r="M271" s="1" t="s">
        <v>1314</v>
      </c>
      <c r="N271" s="1" t="s">
        <v>1315</v>
      </c>
      <c r="O271" s="1" t="s">
        <v>1316</v>
      </c>
      <c r="P271" s="1" t="s">
        <v>1317</v>
      </c>
      <c r="Q271" s="1" t="s">
        <v>1318</v>
      </c>
      <c r="R271" s="1" t="s">
        <v>35</v>
      </c>
      <c r="S271" s="1" t="s">
        <v>120</v>
      </c>
      <c r="T271" s="1">
        <v>0</v>
      </c>
    </row>
    <row r="272" spans="1:22">
      <c r="A272" s="1" t="s">
        <v>1319</v>
      </c>
      <c r="B272" s="1" t="s">
        <v>38</v>
      </c>
      <c r="C272" s="2">
        <v>43929</v>
      </c>
      <c r="D272" s="1" t="s">
        <v>58</v>
      </c>
      <c r="E272" s="1"/>
      <c r="F272" s="1" t="s">
        <v>26</v>
      </c>
      <c r="G272" s="1" t="s">
        <v>26</v>
      </c>
      <c r="H272" s="1" t="s">
        <v>1320</v>
      </c>
      <c r="I272" s="1" t="s">
        <v>1321</v>
      </c>
      <c r="J272" s="1" t="s">
        <v>1276</v>
      </c>
      <c r="K272" s="1" t="s">
        <v>183</v>
      </c>
      <c r="L272" s="1" t="s">
        <v>1322</v>
      </c>
      <c r="M272" s="1" t="s">
        <v>1323</v>
      </c>
      <c r="N272" s="1" t="s">
        <v>1324</v>
      </c>
      <c r="O272" s="1" t="s">
        <v>1325</v>
      </c>
      <c r="P272" s="1" t="s">
        <v>1326</v>
      </c>
      <c r="Q272" s="1" t="s">
        <v>1327</v>
      </c>
      <c r="R272" s="1" t="s">
        <v>35</v>
      </c>
      <c r="S272" s="1" t="s">
        <v>1292</v>
      </c>
      <c r="T272" s="1">
        <v>0</v>
      </c>
    </row>
    <row r="273" spans="1:21">
      <c r="A273" s="1" t="s">
        <v>22</v>
      </c>
      <c r="B273" s="1" t="s">
        <v>38</v>
      </c>
      <c r="C273" s="2">
        <v>43929</v>
      </c>
      <c r="D273" s="1" t="s">
        <v>58</v>
      </c>
      <c r="E273" s="1"/>
      <c r="F273" s="1" t="s">
        <v>26</v>
      </c>
      <c r="G273" s="1" t="s">
        <v>26</v>
      </c>
      <c r="H273" s="1" t="s">
        <v>22</v>
      </c>
      <c r="I273" s="1" t="s">
        <v>1328</v>
      </c>
      <c r="J273" s="1" t="s">
        <v>135</v>
      </c>
      <c r="K273" s="1" t="s">
        <v>183</v>
      </c>
      <c r="L273" s="1" t="s">
        <v>1329</v>
      </c>
      <c r="M273" s="1" t="s">
        <v>1330</v>
      </c>
      <c r="N273" s="1" t="s">
        <v>1331</v>
      </c>
      <c r="O273" s="1" t="s">
        <v>1332</v>
      </c>
      <c r="P273" s="1" t="s">
        <v>1333</v>
      </c>
      <c r="Q273" s="1" t="s">
        <v>1334</v>
      </c>
      <c r="R273" s="1" t="s">
        <v>35</v>
      </c>
      <c r="S273" s="1" t="s">
        <v>1292</v>
      </c>
      <c r="T273" s="1">
        <v>0</v>
      </c>
    </row>
    <row r="274" spans="1:21">
      <c r="A274" s="1" t="s">
        <v>1335</v>
      </c>
      <c r="B274" s="1" t="s">
        <v>38</v>
      </c>
      <c r="C274" s="2">
        <v>43929</v>
      </c>
      <c r="D274" s="1" t="s">
        <v>58</v>
      </c>
      <c r="E274" s="1"/>
      <c r="F274" s="1" t="s">
        <v>26</v>
      </c>
      <c r="G274" s="1" t="s">
        <v>26</v>
      </c>
      <c r="H274" s="1" t="s">
        <v>1336</v>
      </c>
      <c r="I274" s="1" t="s">
        <v>1337</v>
      </c>
      <c r="J274" s="1" t="s">
        <v>1338</v>
      </c>
      <c r="K274" s="1" t="s">
        <v>183</v>
      </c>
      <c r="L274" s="1" t="s">
        <v>1339</v>
      </c>
      <c r="M274" s="1" t="s">
        <v>1340</v>
      </c>
      <c r="N274" s="1" t="s">
        <v>1341</v>
      </c>
      <c r="O274" s="1" t="s">
        <v>1342</v>
      </c>
      <c r="P274" s="1" t="s">
        <v>66</v>
      </c>
      <c r="Q274" s="1"/>
      <c r="R274" s="1"/>
      <c r="S274" s="1" t="s">
        <v>35</v>
      </c>
      <c r="T274" s="1" t="s">
        <v>120</v>
      </c>
      <c r="U274" s="1">
        <v>0</v>
      </c>
    </row>
    <row r="275" spans="1:21">
      <c r="A275" s="1" t="s">
        <v>1343</v>
      </c>
      <c r="B275" s="1" t="s">
        <v>38</v>
      </c>
      <c r="C275" s="2">
        <v>43930</v>
      </c>
      <c r="D275" s="1" t="s">
        <v>58</v>
      </c>
      <c r="E275" s="1"/>
      <c r="F275" s="1" t="s">
        <v>26</v>
      </c>
      <c r="G275" s="1" t="s">
        <v>26</v>
      </c>
      <c r="H275" s="1" t="s">
        <v>1343</v>
      </c>
      <c r="I275" s="1" t="s">
        <v>1344</v>
      </c>
      <c r="J275" s="1" t="s">
        <v>1345</v>
      </c>
      <c r="K275" s="1" t="s">
        <v>183</v>
      </c>
      <c r="L275" s="1" t="s">
        <v>1346</v>
      </c>
      <c r="M275" s="1" t="s">
        <v>1347</v>
      </c>
      <c r="N275" s="1" t="s">
        <v>1348</v>
      </c>
      <c r="O275" s="1" t="s">
        <v>1349</v>
      </c>
      <c r="P275" s="1" t="s">
        <v>1350</v>
      </c>
      <c r="Q275" s="1" t="s">
        <v>1351</v>
      </c>
      <c r="R275" s="1" t="s">
        <v>575</v>
      </c>
      <c r="S275" s="1" t="s">
        <v>1292</v>
      </c>
      <c r="T275" s="1">
        <v>0</v>
      </c>
    </row>
    <row r="276" spans="1:21">
      <c r="A276" s="1" t="s">
        <v>57</v>
      </c>
      <c r="B276" s="1" t="s">
        <v>38</v>
      </c>
      <c r="C276" s="1" t="s">
        <v>39</v>
      </c>
      <c r="D276" s="1" t="s">
        <v>58</v>
      </c>
      <c r="E276" s="1"/>
      <c r="F276" s="1" t="s">
        <v>1352</v>
      </c>
      <c r="G276" s="1" t="s">
        <v>26</v>
      </c>
      <c r="H276" s="1" t="s">
        <v>1353</v>
      </c>
      <c r="I276" s="1" t="s">
        <v>61</v>
      </c>
      <c r="J276" s="1" t="s">
        <v>1354</v>
      </c>
      <c r="K276" s="1" t="s">
        <v>183</v>
      </c>
      <c r="L276" s="1" t="s">
        <v>1355</v>
      </c>
      <c r="M276" s="1" t="s">
        <v>1356</v>
      </c>
      <c r="N276" s="1" t="s">
        <v>1357</v>
      </c>
      <c r="O276" s="1" t="s">
        <v>1358</v>
      </c>
      <c r="P276" s="1" t="s">
        <v>1359</v>
      </c>
      <c r="Q276" s="1" t="s">
        <v>1360</v>
      </c>
      <c r="R276" s="1" t="s">
        <v>35</v>
      </c>
      <c r="S276" s="1" t="s">
        <v>120</v>
      </c>
      <c r="T276" s="1" t="s">
        <v>1361</v>
      </c>
      <c r="U276" s="1">
        <v>0</v>
      </c>
    </row>
    <row r="277" spans="1:21">
      <c r="A277" s="1" t="s">
        <v>1241</v>
      </c>
      <c r="B277" s="1" t="s">
        <v>38</v>
      </c>
      <c r="C277" s="1" t="s">
        <v>39</v>
      </c>
      <c r="D277" s="1" t="s">
        <v>58</v>
      </c>
      <c r="E277" s="1"/>
      <c r="F277" s="1" t="s">
        <v>1352</v>
      </c>
      <c r="G277" s="1" t="s">
        <v>26</v>
      </c>
      <c r="H277" s="1" t="s">
        <v>60</v>
      </c>
      <c r="I277" s="1" t="s">
        <v>607</v>
      </c>
      <c r="J277" s="1" t="s">
        <v>1362</v>
      </c>
      <c r="K277" s="1" t="s">
        <v>183</v>
      </c>
      <c r="L277" s="1" t="s">
        <v>1363</v>
      </c>
      <c r="M277" s="1" t="s">
        <v>1364</v>
      </c>
      <c r="N277" s="1" t="s">
        <v>1365</v>
      </c>
      <c r="O277" s="1" t="s">
        <v>1366</v>
      </c>
      <c r="P277" s="1" t="s">
        <v>1367</v>
      </c>
      <c r="Q277" s="1" t="s">
        <v>1368</v>
      </c>
      <c r="R277" s="1" t="s">
        <v>60</v>
      </c>
      <c r="S277" s="1" t="s">
        <v>60</v>
      </c>
      <c r="T277" s="1"/>
      <c r="U277"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537"/>
  <sheetViews>
    <sheetView workbookViewId="0">
      <selection activeCell="A19" sqref="A19"/>
    </sheetView>
  </sheetViews>
  <sheetFormatPr defaultRowHeight="14.5"/>
  <cols>
    <col min="1" max="1" width="167.26953125" bestFit="1" customWidth="1"/>
  </cols>
  <sheetData>
    <row r="1" spans="1:1">
      <c r="A1" s="38" t="s">
        <v>7</v>
      </c>
    </row>
    <row r="2" spans="1:1">
      <c r="A2" t="s">
        <v>1369</v>
      </c>
    </row>
    <row r="3" spans="1:1">
      <c r="A3" t="s">
        <v>1370</v>
      </c>
    </row>
    <row r="4" spans="1:1">
      <c r="A4" t="s">
        <v>1371</v>
      </c>
    </row>
    <row r="5" spans="1:1">
      <c r="A5" t="s">
        <v>1372</v>
      </c>
    </row>
    <row r="6" spans="1:1">
      <c r="A6" t="s">
        <v>1373</v>
      </c>
    </row>
    <row r="7" spans="1:1">
      <c r="A7" s="5" t="s">
        <v>1374</v>
      </c>
    </row>
    <row r="8" spans="1:1">
      <c r="A8" t="s">
        <v>1375</v>
      </c>
    </row>
    <row r="9" spans="1:1">
      <c r="A9" t="s">
        <v>1376</v>
      </c>
    </row>
    <row r="10" spans="1:1">
      <c r="A10" t="s">
        <v>1377</v>
      </c>
    </row>
    <row r="11" spans="1:1">
      <c r="A11" t="s">
        <v>1378</v>
      </c>
    </row>
    <row r="12" spans="1:1">
      <c r="A12" t="s">
        <v>1379</v>
      </c>
    </row>
    <row r="13" spans="1:1">
      <c r="A13" t="s">
        <v>1380</v>
      </c>
    </row>
    <row r="14" spans="1:1">
      <c r="A14" t="s">
        <v>1381</v>
      </c>
    </row>
    <row r="15" spans="1:1">
      <c r="A15" t="s">
        <v>1382</v>
      </c>
    </row>
    <row r="16" spans="1:1">
      <c r="A16" t="s">
        <v>1383</v>
      </c>
    </row>
    <row r="17" spans="1:1">
      <c r="A17" t="s">
        <v>1384</v>
      </c>
    </row>
    <row r="18" spans="1:1">
      <c r="A18" t="s">
        <v>1385</v>
      </c>
    </row>
    <row r="19" spans="1:1">
      <c r="A19" t="s">
        <v>1386</v>
      </c>
    </row>
    <row r="20" spans="1:1">
      <c r="A20" t="s">
        <v>1387</v>
      </c>
    </row>
    <row r="21" spans="1:1">
      <c r="A21" t="s">
        <v>1388</v>
      </c>
    </row>
    <row r="22" spans="1:1">
      <c r="A22" t="s">
        <v>1389</v>
      </c>
    </row>
    <row r="23" spans="1:1">
      <c r="A23" t="s">
        <v>1390</v>
      </c>
    </row>
    <row r="24" spans="1:1">
      <c r="A24" t="s">
        <v>1391</v>
      </c>
    </row>
    <row r="25" spans="1:1">
      <c r="A25" t="s">
        <v>1392</v>
      </c>
    </row>
    <row r="26" spans="1:1">
      <c r="A26" t="s">
        <v>1393</v>
      </c>
    </row>
    <row r="27" spans="1:1">
      <c r="A27" t="s">
        <v>1394</v>
      </c>
    </row>
    <row r="28" spans="1:1">
      <c r="A28" t="s">
        <v>1395</v>
      </c>
    </row>
    <row r="29" spans="1:1">
      <c r="A29" t="s">
        <v>1396</v>
      </c>
    </row>
    <row r="30" spans="1:1">
      <c r="A30" t="s">
        <v>1397</v>
      </c>
    </row>
    <row r="31" spans="1:1">
      <c r="A31" t="s">
        <v>1398</v>
      </c>
    </row>
    <row r="32" spans="1:1">
      <c r="A32" t="s">
        <v>1399</v>
      </c>
    </row>
    <row r="33" spans="1:1">
      <c r="A33" t="s">
        <v>1400</v>
      </c>
    </row>
    <row r="34" spans="1:1">
      <c r="A34" t="s">
        <v>1401</v>
      </c>
    </row>
    <row r="35" spans="1:1">
      <c r="A35" t="s">
        <v>1402</v>
      </c>
    </row>
    <row r="36" spans="1:1">
      <c r="A36" t="s">
        <v>1403</v>
      </c>
    </row>
    <row r="37" spans="1:1">
      <c r="A37" t="s">
        <v>1404</v>
      </c>
    </row>
    <row r="38" spans="1:1">
      <c r="A38" s="5" t="s">
        <v>1405</v>
      </c>
    </row>
    <row r="39" spans="1:1">
      <c r="A39" s="5" t="s">
        <v>1406</v>
      </c>
    </row>
    <row r="40" spans="1:1">
      <c r="A40" s="5" t="s">
        <v>1407</v>
      </c>
    </row>
    <row r="41" spans="1:1">
      <c r="A41" s="5" t="s">
        <v>1408</v>
      </c>
    </row>
    <row r="42" spans="1:1">
      <c r="A42" s="5" t="s">
        <v>1409</v>
      </c>
    </row>
    <row r="43" spans="1:1">
      <c r="A43" s="5" t="s">
        <v>1410</v>
      </c>
    </row>
    <row r="44" spans="1:1">
      <c r="A44" s="5" t="s">
        <v>1411</v>
      </c>
    </row>
    <row r="45" spans="1:1">
      <c r="A45" s="5" t="s">
        <v>1412</v>
      </c>
    </row>
    <row r="46" spans="1:1">
      <c r="A46" t="s">
        <v>1413</v>
      </c>
    </row>
    <row r="47" spans="1:1">
      <c r="A47" t="s">
        <v>1414</v>
      </c>
    </row>
    <row r="48" spans="1:1">
      <c r="A48" t="s">
        <v>1415</v>
      </c>
    </row>
    <row r="49" spans="1:1">
      <c r="A49" t="s">
        <v>1416</v>
      </c>
    </row>
    <row r="50" spans="1:1">
      <c r="A50" t="s">
        <v>1417</v>
      </c>
    </row>
    <row r="51" spans="1:1">
      <c r="A51" t="s">
        <v>1418</v>
      </c>
    </row>
    <row r="52" spans="1:1">
      <c r="A52" s="5" t="s">
        <v>1419</v>
      </c>
    </row>
    <row r="53" spans="1:1">
      <c r="A53" t="s">
        <v>1420</v>
      </c>
    </row>
    <row r="54" spans="1:1">
      <c r="A54" t="s">
        <v>1421</v>
      </c>
    </row>
    <row r="55" spans="1:1">
      <c r="A55" t="s">
        <v>1422</v>
      </c>
    </row>
    <row r="56" spans="1:1">
      <c r="A56" t="s">
        <v>1423</v>
      </c>
    </row>
    <row r="57" spans="1:1">
      <c r="A57" t="s">
        <v>1424</v>
      </c>
    </row>
    <row r="58" spans="1:1">
      <c r="A58" t="s">
        <v>1425</v>
      </c>
    </row>
    <row r="59" spans="1:1">
      <c r="A59" t="s">
        <v>1426</v>
      </c>
    </row>
    <row r="60" spans="1:1">
      <c r="A60" t="s">
        <v>1427</v>
      </c>
    </row>
    <row r="61" spans="1:1">
      <c r="A61" t="s">
        <v>1428</v>
      </c>
    </row>
    <row r="62" spans="1:1">
      <c r="A62" t="s">
        <v>1429</v>
      </c>
    </row>
    <row r="63" spans="1:1">
      <c r="A63" t="s">
        <v>1430</v>
      </c>
    </row>
    <row r="64" spans="1:1">
      <c r="A64" t="s">
        <v>1431</v>
      </c>
    </row>
    <row r="65" spans="1:1">
      <c r="A65" t="s">
        <v>1432</v>
      </c>
    </row>
    <row r="66" spans="1:1">
      <c r="A66" t="s">
        <v>1433</v>
      </c>
    </row>
    <row r="67" spans="1:1">
      <c r="A67" t="s">
        <v>1434</v>
      </c>
    </row>
    <row r="68" spans="1:1">
      <c r="A68" t="s">
        <v>1435</v>
      </c>
    </row>
    <row r="69" spans="1:1">
      <c r="A69" t="s">
        <v>1436</v>
      </c>
    </row>
    <row r="70" spans="1:1">
      <c r="A70" t="s">
        <v>1437</v>
      </c>
    </row>
    <row r="71" spans="1:1">
      <c r="A71" t="s">
        <v>1438</v>
      </c>
    </row>
    <row r="72" spans="1:1">
      <c r="A72" t="s">
        <v>1439</v>
      </c>
    </row>
    <row r="73" spans="1:1">
      <c r="A73" t="s">
        <v>1440</v>
      </c>
    </row>
    <row r="74" spans="1:1">
      <c r="A74" t="s">
        <v>1441</v>
      </c>
    </row>
    <row r="75" spans="1:1">
      <c r="A75" t="s">
        <v>1442</v>
      </c>
    </row>
    <row r="76" spans="1:1">
      <c r="A76" s="5" t="s">
        <v>1443</v>
      </c>
    </row>
    <row r="77" spans="1:1">
      <c r="A77" t="s">
        <v>1444</v>
      </c>
    </row>
    <row r="78" spans="1:1">
      <c r="A78" t="s">
        <v>1445</v>
      </c>
    </row>
    <row r="79" spans="1:1">
      <c r="A79" t="s">
        <v>1446</v>
      </c>
    </row>
    <row r="80" spans="1:1">
      <c r="A80" t="s">
        <v>1447</v>
      </c>
    </row>
    <row r="81" spans="1:1">
      <c r="A81" t="s">
        <v>1448</v>
      </c>
    </row>
    <row r="82" spans="1:1">
      <c r="A82" s="5" t="s">
        <v>1449</v>
      </c>
    </row>
    <row r="83" spans="1:1">
      <c r="A83" s="5" t="s">
        <v>1450</v>
      </c>
    </row>
    <row r="84" spans="1:1">
      <c r="A84" s="5" t="s">
        <v>1451</v>
      </c>
    </row>
    <row r="85" spans="1:1">
      <c r="A85" t="s">
        <v>1452</v>
      </c>
    </row>
    <row r="86" spans="1:1">
      <c r="A86" s="5" t="s">
        <v>1452</v>
      </c>
    </row>
    <row r="87" spans="1:1">
      <c r="A87" t="s">
        <v>1453</v>
      </c>
    </row>
    <row r="88" spans="1:1">
      <c r="A88" t="s">
        <v>1454</v>
      </c>
    </row>
    <row r="89" spans="1:1">
      <c r="A89" t="s">
        <v>1455</v>
      </c>
    </row>
    <row r="90" spans="1:1">
      <c r="A90" t="s">
        <v>1456</v>
      </c>
    </row>
    <row r="91" spans="1:1">
      <c r="A91" t="s">
        <v>1457</v>
      </c>
    </row>
    <row r="92" spans="1:1">
      <c r="A92" t="s">
        <v>1458</v>
      </c>
    </row>
    <row r="93" spans="1:1">
      <c r="A93" t="s">
        <v>1458</v>
      </c>
    </row>
    <row r="94" spans="1:1">
      <c r="A94" t="s">
        <v>1459</v>
      </c>
    </row>
    <row r="95" spans="1:1">
      <c r="A95" t="s">
        <v>1459</v>
      </c>
    </row>
    <row r="96" spans="1:1">
      <c r="A96" t="s">
        <v>1460</v>
      </c>
    </row>
    <row r="97" spans="1:1">
      <c r="A97" t="s">
        <v>1461</v>
      </c>
    </row>
    <row r="98" spans="1:1">
      <c r="A98" t="s">
        <v>1462</v>
      </c>
    </row>
    <row r="99" spans="1:1">
      <c r="A99" t="s">
        <v>1463</v>
      </c>
    </row>
    <row r="100" spans="1:1">
      <c r="A100" t="s">
        <v>1464</v>
      </c>
    </row>
    <row r="101" spans="1:1">
      <c r="A101" t="s">
        <v>1465</v>
      </c>
    </row>
    <row r="102" spans="1:1">
      <c r="A102" t="s">
        <v>1466</v>
      </c>
    </row>
    <row r="103" spans="1:1">
      <c r="A103" t="s">
        <v>1467</v>
      </c>
    </row>
    <row r="104" spans="1:1">
      <c r="A104" t="s">
        <v>1468</v>
      </c>
    </row>
    <row r="105" spans="1:1">
      <c r="A105" t="s">
        <v>1469</v>
      </c>
    </row>
    <row r="106" spans="1:1">
      <c r="A106" t="s">
        <v>1470</v>
      </c>
    </row>
    <row r="107" spans="1:1">
      <c r="A107" t="s">
        <v>1471</v>
      </c>
    </row>
    <row r="108" spans="1:1">
      <c r="A108" t="s">
        <v>1472</v>
      </c>
    </row>
    <row r="109" spans="1:1">
      <c r="A109" t="s">
        <v>1473</v>
      </c>
    </row>
    <row r="110" spans="1:1">
      <c r="A110" t="s">
        <v>1474</v>
      </c>
    </row>
    <row r="111" spans="1:1">
      <c r="A111" t="s">
        <v>1475</v>
      </c>
    </row>
    <row r="112" spans="1:1">
      <c r="A112" t="s">
        <v>1476</v>
      </c>
    </row>
    <row r="113" spans="1:1">
      <c r="A113" t="s">
        <v>1477</v>
      </c>
    </row>
    <row r="114" spans="1:1">
      <c r="A114" t="s">
        <v>1478</v>
      </c>
    </row>
    <row r="115" spans="1:1">
      <c r="A115" t="s">
        <v>1479</v>
      </c>
    </row>
    <row r="116" spans="1:1">
      <c r="A116" t="s">
        <v>1480</v>
      </c>
    </row>
    <row r="117" spans="1:1">
      <c r="A117" t="s">
        <v>1481</v>
      </c>
    </row>
    <row r="118" spans="1:1">
      <c r="A118" t="s">
        <v>1482</v>
      </c>
    </row>
    <row r="119" spans="1:1">
      <c r="A119" t="s">
        <v>1483</v>
      </c>
    </row>
    <row r="120" spans="1:1">
      <c r="A120" t="s">
        <v>1484</v>
      </c>
    </row>
    <row r="121" spans="1:1">
      <c r="A121" t="s">
        <v>1485</v>
      </c>
    </row>
    <row r="122" spans="1:1">
      <c r="A122" t="s">
        <v>1486</v>
      </c>
    </row>
    <row r="123" spans="1:1">
      <c r="A123" t="s">
        <v>1487</v>
      </c>
    </row>
    <row r="124" spans="1:1">
      <c r="A124" t="s">
        <v>1488</v>
      </c>
    </row>
    <row r="125" spans="1:1">
      <c r="A125" t="s">
        <v>1489</v>
      </c>
    </row>
    <row r="126" spans="1:1">
      <c r="A126" t="s">
        <v>1490</v>
      </c>
    </row>
    <row r="127" spans="1:1">
      <c r="A127" t="s">
        <v>1491</v>
      </c>
    </row>
    <row r="128" spans="1:1">
      <c r="A128" t="s">
        <v>1492</v>
      </c>
    </row>
    <row r="129" spans="1:1">
      <c r="A129" t="s">
        <v>1493</v>
      </c>
    </row>
    <row r="130" spans="1:1">
      <c r="A130" t="s">
        <v>1494</v>
      </c>
    </row>
    <row r="131" spans="1:1">
      <c r="A131" t="s">
        <v>1495</v>
      </c>
    </row>
    <row r="132" spans="1:1">
      <c r="A132" t="s">
        <v>1496</v>
      </c>
    </row>
    <row r="133" spans="1:1">
      <c r="A133" t="s">
        <v>1497</v>
      </c>
    </row>
    <row r="134" spans="1:1">
      <c r="A134" t="s">
        <v>1498</v>
      </c>
    </row>
    <row r="135" spans="1:1">
      <c r="A135" t="s">
        <v>1499</v>
      </c>
    </row>
    <row r="136" spans="1:1">
      <c r="A136" t="s">
        <v>1500</v>
      </c>
    </row>
    <row r="137" spans="1:1">
      <c r="A137" t="s">
        <v>1501</v>
      </c>
    </row>
    <row r="138" spans="1:1">
      <c r="A138" t="s">
        <v>1502</v>
      </c>
    </row>
    <row r="139" spans="1:1">
      <c r="A139" t="s">
        <v>1503</v>
      </c>
    </row>
    <row r="140" spans="1:1">
      <c r="A140" t="s">
        <v>1504</v>
      </c>
    </row>
    <row r="141" spans="1:1">
      <c r="A141" t="s">
        <v>1505</v>
      </c>
    </row>
    <row r="142" spans="1:1">
      <c r="A142" t="s">
        <v>1506</v>
      </c>
    </row>
    <row r="143" spans="1:1">
      <c r="A143" t="s">
        <v>1507</v>
      </c>
    </row>
    <row r="144" spans="1:1">
      <c r="A144" t="s">
        <v>1508</v>
      </c>
    </row>
    <row r="145" spans="1:1">
      <c r="A145" t="s">
        <v>1509</v>
      </c>
    </row>
    <row r="146" spans="1:1">
      <c r="A146" t="s">
        <v>1510</v>
      </c>
    </row>
    <row r="147" spans="1:1">
      <c r="A147" t="s">
        <v>1511</v>
      </c>
    </row>
    <row r="148" spans="1:1">
      <c r="A148" t="s">
        <v>1512</v>
      </c>
    </row>
    <row r="149" spans="1:1">
      <c r="A149" t="s">
        <v>1513</v>
      </c>
    </row>
    <row r="150" spans="1:1">
      <c r="A150" t="s">
        <v>1514</v>
      </c>
    </row>
    <row r="151" spans="1:1">
      <c r="A151" t="s">
        <v>1515</v>
      </c>
    </row>
    <row r="152" spans="1:1">
      <c r="A152" t="s">
        <v>1516</v>
      </c>
    </row>
    <row r="153" spans="1:1">
      <c r="A153" t="s">
        <v>1517</v>
      </c>
    </row>
    <row r="154" spans="1:1">
      <c r="A154" t="s">
        <v>1518</v>
      </c>
    </row>
    <row r="155" spans="1:1">
      <c r="A155" t="s">
        <v>1519</v>
      </c>
    </row>
    <row r="156" spans="1:1">
      <c r="A156" t="s">
        <v>1520</v>
      </c>
    </row>
    <row r="157" spans="1:1">
      <c r="A157" t="s">
        <v>1521</v>
      </c>
    </row>
    <row r="158" spans="1:1">
      <c r="A158" t="s">
        <v>1522</v>
      </c>
    </row>
    <row r="159" spans="1:1">
      <c r="A159" t="s">
        <v>1523</v>
      </c>
    </row>
    <row r="160" spans="1:1">
      <c r="A160" t="s">
        <v>1524</v>
      </c>
    </row>
    <row r="161" spans="1:1">
      <c r="A161" t="s">
        <v>1525</v>
      </c>
    </row>
    <row r="162" spans="1:1">
      <c r="A162" t="s">
        <v>1526</v>
      </c>
    </row>
    <row r="163" spans="1:1">
      <c r="A163" t="s">
        <v>1527</v>
      </c>
    </row>
    <row r="164" spans="1:1">
      <c r="A164" t="s">
        <v>1528</v>
      </c>
    </row>
    <row r="165" spans="1:1">
      <c r="A165" t="s">
        <v>1529</v>
      </c>
    </row>
    <row r="166" spans="1:1">
      <c r="A166" t="s">
        <v>1530</v>
      </c>
    </row>
    <row r="167" spans="1:1">
      <c r="A167" t="s">
        <v>1531</v>
      </c>
    </row>
    <row r="168" spans="1:1">
      <c r="A168" t="s">
        <v>1532</v>
      </c>
    </row>
    <row r="169" spans="1:1">
      <c r="A169" t="s">
        <v>1533</v>
      </c>
    </row>
    <row r="170" spans="1:1">
      <c r="A170" t="s">
        <v>1534</v>
      </c>
    </row>
    <row r="171" spans="1:1">
      <c r="A171" t="s">
        <v>1535</v>
      </c>
    </row>
    <row r="172" spans="1:1">
      <c r="A172" t="s">
        <v>1536</v>
      </c>
    </row>
    <row r="173" spans="1:1">
      <c r="A173" t="s">
        <v>1537</v>
      </c>
    </row>
    <row r="174" spans="1:1">
      <c r="A174" t="s">
        <v>1538</v>
      </c>
    </row>
    <row r="175" spans="1:1">
      <c r="A175" t="s">
        <v>1539</v>
      </c>
    </row>
    <row r="176" spans="1:1">
      <c r="A176" t="s">
        <v>1540</v>
      </c>
    </row>
    <row r="177" spans="1:1">
      <c r="A177" t="s">
        <v>1541</v>
      </c>
    </row>
    <row r="178" spans="1:1">
      <c r="A178" t="s">
        <v>1542</v>
      </c>
    </row>
    <row r="179" spans="1:1">
      <c r="A179" t="s">
        <v>1543</v>
      </c>
    </row>
    <row r="180" spans="1:1">
      <c r="A180" t="s">
        <v>1544</v>
      </c>
    </row>
    <row r="181" spans="1:1">
      <c r="A181" t="s">
        <v>1545</v>
      </c>
    </row>
    <row r="182" spans="1:1">
      <c r="A182" t="s">
        <v>1546</v>
      </c>
    </row>
    <row r="183" spans="1:1">
      <c r="A183" t="s">
        <v>1547</v>
      </c>
    </row>
    <row r="184" spans="1:1">
      <c r="A184" t="s">
        <v>1548</v>
      </c>
    </row>
    <row r="185" spans="1:1">
      <c r="A185" t="s">
        <v>1549</v>
      </c>
    </row>
    <row r="186" spans="1:1">
      <c r="A186" t="s">
        <v>1550</v>
      </c>
    </row>
    <row r="187" spans="1:1">
      <c r="A187" t="s">
        <v>1551</v>
      </c>
    </row>
    <row r="188" spans="1:1">
      <c r="A188" t="s">
        <v>1552</v>
      </c>
    </row>
    <row r="189" spans="1:1">
      <c r="A189" t="s">
        <v>1553</v>
      </c>
    </row>
    <row r="190" spans="1:1">
      <c r="A190" t="s">
        <v>1554</v>
      </c>
    </row>
    <row r="191" spans="1:1">
      <c r="A191" t="s">
        <v>1555</v>
      </c>
    </row>
    <row r="192" spans="1:1">
      <c r="A192" t="s">
        <v>1556</v>
      </c>
    </row>
    <row r="193" spans="1:1">
      <c r="A193" t="s">
        <v>1557</v>
      </c>
    </row>
    <row r="194" spans="1:1">
      <c r="A194" t="s">
        <v>1558</v>
      </c>
    </row>
    <row r="195" spans="1:1">
      <c r="A195" t="s">
        <v>1559</v>
      </c>
    </row>
    <row r="196" spans="1:1">
      <c r="A196" t="s">
        <v>1560</v>
      </c>
    </row>
    <row r="197" spans="1:1">
      <c r="A197" t="s">
        <v>1561</v>
      </c>
    </row>
    <row r="198" spans="1:1">
      <c r="A198" t="s">
        <v>1562</v>
      </c>
    </row>
    <row r="199" spans="1:1">
      <c r="A199" t="s">
        <v>1563</v>
      </c>
    </row>
    <row r="200" spans="1:1">
      <c r="A200" t="s">
        <v>1564</v>
      </c>
    </row>
    <row r="201" spans="1:1">
      <c r="A201" t="s">
        <v>1565</v>
      </c>
    </row>
    <row r="202" spans="1:1">
      <c r="A202" t="s">
        <v>1566</v>
      </c>
    </row>
    <row r="203" spans="1:1">
      <c r="A203" t="s">
        <v>1567</v>
      </c>
    </row>
    <row r="204" spans="1:1">
      <c r="A204" t="s">
        <v>1568</v>
      </c>
    </row>
    <row r="205" spans="1:1">
      <c r="A205" s="5" t="s">
        <v>1569</v>
      </c>
    </row>
    <row r="206" spans="1:1">
      <c r="A206" t="s">
        <v>1570</v>
      </c>
    </row>
    <row r="207" spans="1:1">
      <c r="A207" s="5" t="s">
        <v>1571</v>
      </c>
    </row>
    <row r="208" spans="1:1">
      <c r="A208" t="s">
        <v>1572</v>
      </c>
    </row>
    <row r="209" spans="1:1">
      <c r="A209" t="s">
        <v>1573</v>
      </c>
    </row>
    <row r="210" spans="1:1">
      <c r="A210" t="s">
        <v>1574</v>
      </c>
    </row>
    <row r="211" spans="1:1">
      <c r="A211" t="s">
        <v>1575</v>
      </c>
    </row>
    <row r="212" spans="1:1">
      <c r="A212" t="s">
        <v>1576</v>
      </c>
    </row>
    <row r="213" spans="1:1">
      <c r="A213" t="s">
        <v>1577</v>
      </c>
    </row>
    <row r="214" spans="1:1">
      <c r="A214" t="s">
        <v>1578</v>
      </c>
    </row>
    <row r="215" spans="1:1">
      <c r="A215" t="s">
        <v>1579</v>
      </c>
    </row>
    <row r="216" spans="1:1">
      <c r="A216" t="s">
        <v>1580</v>
      </c>
    </row>
    <row r="217" spans="1:1">
      <c r="A217" t="s">
        <v>1581</v>
      </c>
    </row>
    <row r="218" spans="1:1">
      <c r="A218" t="s">
        <v>1582</v>
      </c>
    </row>
    <row r="219" spans="1:1">
      <c r="A219" t="s">
        <v>1583</v>
      </c>
    </row>
    <row r="220" spans="1:1">
      <c r="A220" t="s">
        <v>1584</v>
      </c>
    </row>
    <row r="221" spans="1:1">
      <c r="A221" t="s">
        <v>1585</v>
      </c>
    </row>
    <row r="222" spans="1:1">
      <c r="A222" t="s">
        <v>1586</v>
      </c>
    </row>
    <row r="223" spans="1:1">
      <c r="A223" t="s">
        <v>1587</v>
      </c>
    </row>
    <row r="224" spans="1:1">
      <c r="A224" t="s">
        <v>1588</v>
      </c>
    </row>
    <row r="225" spans="1:1">
      <c r="A225" t="s">
        <v>1589</v>
      </c>
    </row>
    <row r="226" spans="1:1">
      <c r="A226" t="s">
        <v>1590</v>
      </c>
    </row>
    <row r="227" spans="1:1">
      <c r="A227" t="s">
        <v>1591</v>
      </c>
    </row>
    <row r="228" spans="1:1">
      <c r="A228" t="s">
        <v>1592</v>
      </c>
    </row>
    <row r="229" spans="1:1">
      <c r="A229" t="s">
        <v>1593</v>
      </c>
    </row>
    <row r="230" spans="1:1">
      <c r="A230" t="s">
        <v>1594</v>
      </c>
    </row>
    <row r="231" spans="1:1">
      <c r="A231" t="s">
        <v>1595</v>
      </c>
    </row>
    <row r="232" spans="1:1">
      <c r="A232" t="s">
        <v>1596</v>
      </c>
    </row>
    <row r="233" spans="1:1">
      <c r="A233" t="s">
        <v>1597</v>
      </c>
    </row>
    <row r="234" spans="1:1">
      <c r="A234" t="s">
        <v>1598</v>
      </c>
    </row>
    <row r="235" spans="1:1">
      <c r="A235" t="s">
        <v>1599</v>
      </c>
    </row>
    <row r="236" spans="1:1">
      <c r="A236" s="5" t="s">
        <v>1600</v>
      </c>
    </row>
    <row r="237" spans="1:1">
      <c r="A237" s="5" t="s">
        <v>1601</v>
      </c>
    </row>
    <row r="238" spans="1:1">
      <c r="A238" s="5" t="s">
        <v>1602</v>
      </c>
    </row>
    <row r="239" spans="1:1">
      <c r="A239" s="5" t="s">
        <v>1603</v>
      </c>
    </row>
    <row r="240" spans="1:1">
      <c r="A240" s="5" t="s">
        <v>1604</v>
      </c>
    </row>
    <row r="241" spans="1:1">
      <c r="A241" s="5" t="s">
        <v>1605</v>
      </c>
    </row>
    <row r="242" spans="1:1">
      <c r="A242" t="s">
        <v>1606</v>
      </c>
    </row>
    <row r="243" spans="1:1">
      <c r="A243" t="s">
        <v>1607</v>
      </c>
    </row>
    <row r="244" spans="1:1">
      <c r="A244" t="s">
        <v>1608</v>
      </c>
    </row>
    <row r="245" spans="1:1">
      <c r="A245" t="s">
        <v>1609</v>
      </c>
    </row>
    <row r="246" spans="1:1">
      <c r="A246" t="s">
        <v>1610</v>
      </c>
    </row>
    <row r="247" spans="1:1">
      <c r="A247" t="s">
        <v>1611</v>
      </c>
    </row>
    <row r="248" spans="1:1">
      <c r="A248" s="5" t="s">
        <v>1612</v>
      </c>
    </row>
    <row r="249" spans="1:1">
      <c r="A249" s="5" t="s">
        <v>1613</v>
      </c>
    </row>
    <row r="250" spans="1:1">
      <c r="A250" s="5" t="s">
        <v>1614</v>
      </c>
    </row>
    <row r="251" spans="1:1">
      <c r="A251" t="s">
        <v>1615</v>
      </c>
    </row>
    <row r="252" spans="1:1">
      <c r="A252" s="5" t="s">
        <v>1616</v>
      </c>
    </row>
    <row r="253" spans="1:1">
      <c r="A253" s="5" t="s">
        <v>1617</v>
      </c>
    </row>
    <row r="254" spans="1:1">
      <c r="A254" t="s">
        <v>1618</v>
      </c>
    </row>
    <row r="255" spans="1:1">
      <c r="A255" t="s">
        <v>1619</v>
      </c>
    </row>
    <row r="256" spans="1:1">
      <c r="A256" t="s">
        <v>1620</v>
      </c>
    </row>
    <row r="257" spans="1:1">
      <c r="A257" t="s">
        <v>1621</v>
      </c>
    </row>
    <row r="258" spans="1:1">
      <c r="A258" s="5" t="s">
        <v>1622</v>
      </c>
    </row>
    <row r="259" spans="1:1">
      <c r="A259" t="s">
        <v>1623</v>
      </c>
    </row>
    <row r="260" spans="1:1">
      <c r="A260" s="5" t="s">
        <v>1624</v>
      </c>
    </row>
    <row r="261" spans="1:1">
      <c r="A261" t="s">
        <v>1625</v>
      </c>
    </row>
    <row r="262" spans="1:1">
      <c r="A262" t="s">
        <v>1626</v>
      </c>
    </row>
    <row r="263" spans="1:1">
      <c r="A263" t="s">
        <v>1627</v>
      </c>
    </row>
    <row r="264" spans="1:1">
      <c r="A264" t="s">
        <v>1628</v>
      </c>
    </row>
    <row r="265" spans="1:1">
      <c r="A265" t="s">
        <v>1629</v>
      </c>
    </row>
    <row r="266" spans="1:1">
      <c r="A266" t="s">
        <v>1630</v>
      </c>
    </row>
    <row r="267" spans="1:1">
      <c r="A267" s="5" t="s">
        <v>1631</v>
      </c>
    </row>
    <row r="268" spans="1:1">
      <c r="A268" t="s">
        <v>1632</v>
      </c>
    </row>
    <row r="269" spans="1:1">
      <c r="A269" t="s">
        <v>1633</v>
      </c>
    </row>
    <row r="270" spans="1:1">
      <c r="A270" t="s">
        <v>1634</v>
      </c>
    </row>
    <row r="271" spans="1:1">
      <c r="A271" t="s">
        <v>1635</v>
      </c>
    </row>
    <row r="272" spans="1:1">
      <c r="A272" t="s">
        <v>1636</v>
      </c>
    </row>
    <row r="273" spans="1:1">
      <c r="A273" t="s">
        <v>1637</v>
      </c>
    </row>
    <row r="274" spans="1:1">
      <c r="A274" t="s">
        <v>1638</v>
      </c>
    </row>
    <row r="275" spans="1:1">
      <c r="A275" t="s">
        <v>1639</v>
      </c>
    </row>
    <row r="276" spans="1:1">
      <c r="A276" t="s">
        <v>1640</v>
      </c>
    </row>
    <row r="277" spans="1:1">
      <c r="A277" t="s">
        <v>1641</v>
      </c>
    </row>
    <row r="278" spans="1:1">
      <c r="A278" t="s">
        <v>1642</v>
      </c>
    </row>
    <row r="279" spans="1:1">
      <c r="A279" t="s">
        <v>1643</v>
      </c>
    </row>
    <row r="280" spans="1:1">
      <c r="A280" t="s">
        <v>1644</v>
      </c>
    </row>
    <row r="281" spans="1:1">
      <c r="A281" t="s">
        <v>1645</v>
      </c>
    </row>
    <row r="282" spans="1:1">
      <c r="A282" t="s">
        <v>1646</v>
      </c>
    </row>
    <row r="283" spans="1:1">
      <c r="A283" t="s">
        <v>1647</v>
      </c>
    </row>
    <row r="284" spans="1:1">
      <c r="A284" t="s">
        <v>1648</v>
      </c>
    </row>
    <row r="285" spans="1:1">
      <c r="A285" t="s">
        <v>1649</v>
      </c>
    </row>
    <row r="286" spans="1:1">
      <c r="A286" t="s">
        <v>1650</v>
      </c>
    </row>
    <row r="287" spans="1:1">
      <c r="A287" t="s">
        <v>1651</v>
      </c>
    </row>
    <row r="288" spans="1:1">
      <c r="A288" t="s">
        <v>1652</v>
      </c>
    </row>
    <row r="289" spans="1:1">
      <c r="A289" t="s">
        <v>1653</v>
      </c>
    </row>
    <row r="290" spans="1:1">
      <c r="A290" t="s">
        <v>1654</v>
      </c>
    </row>
    <row r="291" spans="1:1">
      <c r="A291" t="s">
        <v>1655</v>
      </c>
    </row>
    <row r="292" spans="1:1">
      <c r="A292" t="s">
        <v>1656</v>
      </c>
    </row>
    <row r="293" spans="1:1">
      <c r="A293" t="s">
        <v>1657</v>
      </c>
    </row>
    <row r="294" spans="1:1">
      <c r="A294" t="s">
        <v>1658</v>
      </c>
    </row>
    <row r="295" spans="1:1">
      <c r="A295" t="s">
        <v>1659</v>
      </c>
    </row>
    <row r="296" spans="1:1">
      <c r="A296" t="s">
        <v>1660</v>
      </c>
    </row>
    <row r="297" spans="1:1">
      <c r="A297" t="s">
        <v>1661</v>
      </c>
    </row>
    <row r="298" spans="1:1">
      <c r="A298" t="s">
        <v>1662</v>
      </c>
    </row>
    <row r="299" spans="1:1">
      <c r="A299" t="s">
        <v>1663</v>
      </c>
    </row>
    <row r="300" spans="1:1">
      <c r="A300" t="s">
        <v>1664</v>
      </c>
    </row>
    <row r="301" spans="1:1">
      <c r="A301" s="5" t="s">
        <v>1665</v>
      </c>
    </row>
    <row r="302" spans="1:1">
      <c r="A302" t="s">
        <v>1666</v>
      </c>
    </row>
    <row r="303" spans="1:1">
      <c r="A303" s="5" t="s">
        <v>1667</v>
      </c>
    </row>
    <row r="304" spans="1:1">
      <c r="A304" s="5" t="s">
        <v>1668</v>
      </c>
    </row>
    <row r="305" spans="1:1">
      <c r="A305" t="s">
        <v>1669</v>
      </c>
    </row>
    <row r="306" spans="1:1">
      <c r="A306" t="s">
        <v>1670</v>
      </c>
    </row>
    <row r="307" spans="1:1">
      <c r="A307" s="5" t="s">
        <v>1671</v>
      </c>
    </row>
    <row r="308" spans="1:1">
      <c r="A308" t="s">
        <v>1672</v>
      </c>
    </row>
    <row r="309" spans="1:1">
      <c r="A309" t="s">
        <v>1673</v>
      </c>
    </row>
    <row r="310" spans="1:1">
      <c r="A310" s="5" t="s">
        <v>1674</v>
      </c>
    </row>
    <row r="311" spans="1:1">
      <c r="A311" t="s">
        <v>1675</v>
      </c>
    </row>
    <row r="312" spans="1:1">
      <c r="A312" t="s">
        <v>1676</v>
      </c>
    </row>
    <row r="313" spans="1:1">
      <c r="A313" t="s">
        <v>1677</v>
      </c>
    </row>
    <row r="314" spans="1:1">
      <c r="A314" t="s">
        <v>1678</v>
      </c>
    </row>
    <row r="315" spans="1:1">
      <c r="A315" t="s">
        <v>1679</v>
      </c>
    </row>
    <row r="316" spans="1:1">
      <c r="A316" t="s">
        <v>1680</v>
      </c>
    </row>
    <row r="317" spans="1:1">
      <c r="A317" s="5" t="s">
        <v>1681</v>
      </c>
    </row>
    <row r="318" spans="1:1">
      <c r="A318" t="s">
        <v>1682</v>
      </c>
    </row>
    <row r="319" spans="1:1">
      <c r="A319" t="s">
        <v>1683</v>
      </c>
    </row>
    <row r="320" spans="1:1">
      <c r="A320" t="s">
        <v>1684</v>
      </c>
    </row>
    <row r="321" spans="1:1">
      <c r="A321" t="s">
        <v>1685</v>
      </c>
    </row>
    <row r="322" spans="1:1">
      <c r="A322" t="s">
        <v>1686</v>
      </c>
    </row>
    <row r="323" spans="1:1">
      <c r="A323" t="s">
        <v>1687</v>
      </c>
    </row>
    <row r="324" spans="1:1">
      <c r="A324" t="s">
        <v>1688</v>
      </c>
    </row>
    <row r="325" spans="1:1">
      <c r="A325" t="s">
        <v>1689</v>
      </c>
    </row>
    <row r="326" spans="1:1">
      <c r="A326" t="s">
        <v>1690</v>
      </c>
    </row>
    <row r="327" spans="1:1">
      <c r="A327" t="s">
        <v>1691</v>
      </c>
    </row>
    <row r="328" spans="1:1">
      <c r="A328" t="s">
        <v>1692</v>
      </c>
    </row>
    <row r="329" spans="1:1">
      <c r="A329" t="s">
        <v>1693</v>
      </c>
    </row>
    <row r="330" spans="1:1">
      <c r="A330" t="s">
        <v>1694</v>
      </c>
    </row>
    <row r="331" spans="1:1">
      <c r="A331" t="s">
        <v>1695</v>
      </c>
    </row>
    <row r="332" spans="1:1">
      <c r="A332" t="s">
        <v>1696</v>
      </c>
    </row>
    <row r="333" spans="1:1">
      <c r="A333" t="s">
        <v>1697</v>
      </c>
    </row>
    <row r="334" spans="1:1">
      <c r="A334" t="s">
        <v>1698</v>
      </c>
    </row>
    <row r="335" spans="1:1">
      <c r="A335" t="s">
        <v>1699</v>
      </c>
    </row>
    <row r="336" spans="1:1">
      <c r="A336" t="s">
        <v>1700</v>
      </c>
    </row>
    <row r="337" spans="1:1">
      <c r="A337" t="s">
        <v>1701</v>
      </c>
    </row>
    <row r="338" spans="1:1">
      <c r="A338" t="s">
        <v>1702</v>
      </c>
    </row>
    <row r="339" spans="1:1">
      <c r="A339" t="s">
        <v>1703</v>
      </c>
    </row>
    <row r="340" spans="1:1">
      <c r="A340" t="s">
        <v>1704</v>
      </c>
    </row>
    <row r="341" spans="1:1">
      <c r="A341" t="s">
        <v>1705</v>
      </c>
    </row>
    <row r="342" spans="1:1">
      <c r="A342" t="s">
        <v>1706</v>
      </c>
    </row>
    <row r="343" spans="1:1">
      <c r="A343" t="s">
        <v>1707</v>
      </c>
    </row>
    <row r="344" spans="1:1">
      <c r="A344" t="s">
        <v>1708</v>
      </c>
    </row>
    <row r="345" spans="1:1">
      <c r="A345" t="s">
        <v>1709</v>
      </c>
    </row>
    <row r="346" spans="1:1">
      <c r="A346" t="s">
        <v>1710</v>
      </c>
    </row>
    <row r="347" spans="1:1">
      <c r="A347" t="s">
        <v>1711</v>
      </c>
    </row>
    <row r="348" spans="1:1">
      <c r="A348" t="s">
        <v>1712</v>
      </c>
    </row>
    <row r="349" spans="1:1">
      <c r="A349" t="s">
        <v>1713</v>
      </c>
    </row>
    <row r="350" spans="1:1">
      <c r="A350" t="s">
        <v>1714</v>
      </c>
    </row>
    <row r="351" spans="1:1">
      <c r="A351" t="s">
        <v>1715</v>
      </c>
    </row>
    <row r="352" spans="1:1">
      <c r="A352" t="s">
        <v>1716</v>
      </c>
    </row>
    <row r="353" spans="1:1">
      <c r="A353" t="s">
        <v>1717</v>
      </c>
    </row>
    <row r="354" spans="1:1">
      <c r="A354" t="s">
        <v>1718</v>
      </c>
    </row>
    <row r="355" spans="1:1">
      <c r="A355" t="s">
        <v>1719</v>
      </c>
    </row>
    <row r="356" spans="1:1">
      <c r="A356" t="s">
        <v>1720</v>
      </c>
    </row>
    <row r="357" spans="1:1">
      <c r="A357" t="s">
        <v>1721</v>
      </c>
    </row>
    <row r="358" spans="1:1">
      <c r="A358" t="s">
        <v>1722</v>
      </c>
    </row>
    <row r="359" spans="1:1">
      <c r="A359" t="s">
        <v>1723</v>
      </c>
    </row>
    <row r="360" spans="1:1">
      <c r="A360" t="s">
        <v>1724</v>
      </c>
    </row>
    <row r="361" spans="1:1">
      <c r="A361" t="s">
        <v>1725</v>
      </c>
    </row>
    <row r="362" spans="1:1">
      <c r="A362" t="s">
        <v>1726</v>
      </c>
    </row>
    <row r="363" spans="1:1">
      <c r="A363" t="s">
        <v>1727</v>
      </c>
    </row>
    <row r="364" spans="1:1">
      <c r="A364" t="s">
        <v>1728</v>
      </c>
    </row>
    <row r="365" spans="1:1">
      <c r="A365" t="s">
        <v>1729</v>
      </c>
    </row>
    <row r="366" spans="1:1">
      <c r="A366" t="s">
        <v>1730</v>
      </c>
    </row>
    <row r="367" spans="1:1">
      <c r="A367" t="s">
        <v>1731</v>
      </c>
    </row>
    <row r="368" spans="1:1">
      <c r="A368" t="s">
        <v>1732</v>
      </c>
    </row>
    <row r="369" spans="1:1">
      <c r="A369" t="s">
        <v>1733</v>
      </c>
    </row>
    <row r="370" spans="1:1">
      <c r="A370" t="s">
        <v>1734</v>
      </c>
    </row>
    <row r="371" spans="1:1">
      <c r="A371" t="s">
        <v>1735</v>
      </c>
    </row>
    <row r="372" spans="1:1">
      <c r="A372" t="s">
        <v>1736</v>
      </c>
    </row>
    <row r="373" spans="1:1">
      <c r="A373" t="s">
        <v>1737</v>
      </c>
    </row>
    <row r="374" spans="1:1">
      <c r="A374" t="s">
        <v>1738</v>
      </c>
    </row>
    <row r="375" spans="1:1">
      <c r="A375" t="s">
        <v>1739</v>
      </c>
    </row>
    <row r="376" spans="1:1">
      <c r="A376" t="s">
        <v>1740</v>
      </c>
    </row>
    <row r="377" spans="1:1">
      <c r="A377" t="s">
        <v>1741</v>
      </c>
    </row>
    <row r="378" spans="1:1">
      <c r="A378" t="s">
        <v>1742</v>
      </c>
    </row>
    <row r="379" spans="1:1">
      <c r="A379" t="s">
        <v>1743</v>
      </c>
    </row>
    <row r="380" spans="1:1">
      <c r="A380" t="s">
        <v>1744</v>
      </c>
    </row>
    <row r="381" spans="1:1">
      <c r="A381" t="s">
        <v>1745</v>
      </c>
    </row>
    <row r="382" spans="1:1">
      <c r="A382" t="s">
        <v>1746</v>
      </c>
    </row>
    <row r="383" spans="1:1">
      <c r="A383" t="s">
        <v>1747</v>
      </c>
    </row>
    <row r="384" spans="1:1">
      <c r="A384" t="s">
        <v>1748</v>
      </c>
    </row>
    <row r="385" spans="1:1">
      <c r="A385" t="s">
        <v>1749</v>
      </c>
    </row>
    <row r="386" spans="1:1">
      <c r="A386" t="s">
        <v>1750</v>
      </c>
    </row>
    <row r="387" spans="1:1">
      <c r="A387" t="s">
        <v>1751</v>
      </c>
    </row>
    <row r="388" spans="1:1">
      <c r="A388" t="s">
        <v>1752</v>
      </c>
    </row>
    <row r="389" spans="1:1">
      <c r="A389" t="s">
        <v>1753</v>
      </c>
    </row>
    <row r="390" spans="1:1">
      <c r="A390" t="s">
        <v>1754</v>
      </c>
    </row>
    <row r="391" spans="1:1">
      <c r="A391" t="s">
        <v>1755</v>
      </c>
    </row>
    <row r="392" spans="1:1">
      <c r="A392" t="s">
        <v>1756</v>
      </c>
    </row>
    <row r="393" spans="1:1">
      <c r="A393" t="s">
        <v>1757</v>
      </c>
    </row>
    <row r="394" spans="1:1">
      <c r="A394" t="s">
        <v>1758</v>
      </c>
    </row>
    <row r="395" spans="1:1">
      <c r="A395" t="s">
        <v>1759</v>
      </c>
    </row>
    <row r="396" spans="1:1">
      <c r="A396" t="s">
        <v>1760</v>
      </c>
    </row>
    <row r="397" spans="1:1">
      <c r="A397" t="s">
        <v>1761</v>
      </c>
    </row>
    <row r="398" spans="1:1">
      <c r="A398" t="s">
        <v>1762</v>
      </c>
    </row>
    <row r="399" spans="1:1">
      <c r="A399" t="s">
        <v>1763</v>
      </c>
    </row>
    <row r="400" spans="1:1">
      <c r="A400" t="s">
        <v>1764</v>
      </c>
    </row>
    <row r="401" spans="1:1">
      <c r="A401" t="s">
        <v>1765</v>
      </c>
    </row>
    <row r="402" spans="1:1">
      <c r="A402" t="s">
        <v>1766</v>
      </c>
    </row>
    <row r="403" spans="1:1">
      <c r="A403" t="s">
        <v>1767</v>
      </c>
    </row>
    <row r="404" spans="1:1">
      <c r="A404" t="s">
        <v>1768</v>
      </c>
    </row>
    <row r="405" spans="1:1">
      <c r="A405" t="s">
        <v>1769</v>
      </c>
    </row>
    <row r="406" spans="1:1">
      <c r="A406" t="s">
        <v>1770</v>
      </c>
    </row>
    <row r="407" spans="1:1">
      <c r="A407" t="s">
        <v>1771</v>
      </c>
    </row>
    <row r="408" spans="1:1">
      <c r="A408" t="s">
        <v>1772</v>
      </c>
    </row>
    <row r="409" spans="1:1">
      <c r="A409" t="s">
        <v>1773</v>
      </c>
    </row>
    <row r="410" spans="1:1">
      <c r="A410" t="s">
        <v>1774</v>
      </c>
    </row>
    <row r="411" spans="1:1">
      <c r="A411" t="s">
        <v>1775</v>
      </c>
    </row>
    <row r="412" spans="1:1">
      <c r="A412" t="s">
        <v>1776</v>
      </c>
    </row>
    <row r="413" spans="1:1">
      <c r="A413" t="s">
        <v>1777</v>
      </c>
    </row>
    <row r="414" spans="1:1">
      <c r="A414" t="s">
        <v>1778</v>
      </c>
    </row>
    <row r="415" spans="1:1">
      <c r="A415" t="s">
        <v>1779</v>
      </c>
    </row>
    <row r="416" spans="1:1">
      <c r="A416" t="s">
        <v>1780</v>
      </c>
    </row>
    <row r="417" spans="1:1">
      <c r="A417" t="s">
        <v>1781</v>
      </c>
    </row>
    <row r="418" spans="1:1">
      <c r="A418" t="s">
        <v>1782</v>
      </c>
    </row>
    <row r="419" spans="1:1">
      <c r="A419" t="s">
        <v>1783</v>
      </c>
    </row>
    <row r="420" spans="1:1">
      <c r="A420" t="s">
        <v>1784</v>
      </c>
    </row>
    <row r="421" spans="1:1">
      <c r="A421" t="s">
        <v>1785</v>
      </c>
    </row>
    <row r="422" spans="1:1">
      <c r="A422" t="s">
        <v>1786</v>
      </c>
    </row>
    <row r="423" spans="1:1">
      <c r="A423" t="s">
        <v>1787</v>
      </c>
    </row>
    <row r="424" spans="1:1">
      <c r="A424" t="s">
        <v>1788</v>
      </c>
    </row>
    <row r="425" spans="1:1">
      <c r="A425" t="s">
        <v>1789</v>
      </c>
    </row>
    <row r="426" spans="1:1">
      <c r="A426" t="s">
        <v>1790</v>
      </c>
    </row>
    <row r="427" spans="1:1">
      <c r="A427" t="s">
        <v>1791</v>
      </c>
    </row>
    <row r="428" spans="1:1">
      <c r="A428" t="s">
        <v>1792</v>
      </c>
    </row>
    <row r="429" spans="1:1">
      <c r="A429" t="s">
        <v>1793</v>
      </c>
    </row>
    <row r="430" spans="1:1">
      <c r="A430" t="s">
        <v>1794</v>
      </c>
    </row>
    <row r="431" spans="1:1">
      <c r="A431" t="s">
        <v>1795</v>
      </c>
    </row>
    <row r="432" spans="1:1">
      <c r="A432" t="s">
        <v>1796</v>
      </c>
    </row>
    <row r="433" spans="1:1">
      <c r="A433" t="s">
        <v>1797</v>
      </c>
    </row>
    <row r="434" spans="1:1">
      <c r="A434" t="s">
        <v>1798</v>
      </c>
    </row>
    <row r="435" spans="1:1">
      <c r="A435" t="s">
        <v>1799</v>
      </c>
    </row>
    <row r="436" spans="1:1">
      <c r="A436" t="s">
        <v>1800</v>
      </c>
    </row>
    <row r="437" spans="1:1">
      <c r="A437" t="s">
        <v>1801</v>
      </c>
    </row>
    <row r="438" spans="1:1">
      <c r="A438" t="s">
        <v>1802</v>
      </c>
    </row>
    <row r="439" spans="1:1">
      <c r="A439" t="s">
        <v>1803</v>
      </c>
    </row>
    <row r="440" spans="1:1">
      <c r="A440" t="s">
        <v>1804</v>
      </c>
    </row>
    <row r="441" spans="1:1">
      <c r="A441" t="s">
        <v>1805</v>
      </c>
    </row>
    <row r="442" spans="1:1">
      <c r="A442" t="s">
        <v>1806</v>
      </c>
    </row>
    <row r="443" spans="1:1">
      <c r="A443" t="s">
        <v>1807</v>
      </c>
    </row>
    <row r="444" spans="1:1">
      <c r="A444" t="s">
        <v>1808</v>
      </c>
    </row>
    <row r="445" spans="1:1">
      <c r="A445" t="s">
        <v>1809</v>
      </c>
    </row>
    <row r="446" spans="1:1">
      <c r="A446" t="s">
        <v>1810</v>
      </c>
    </row>
    <row r="447" spans="1:1">
      <c r="A447" t="s">
        <v>1811</v>
      </c>
    </row>
    <row r="448" spans="1:1">
      <c r="A448" t="s">
        <v>1812</v>
      </c>
    </row>
    <row r="449" spans="1:1">
      <c r="A449" t="s">
        <v>1813</v>
      </c>
    </row>
    <row r="450" spans="1:1">
      <c r="A450" t="s">
        <v>1814</v>
      </c>
    </row>
    <row r="451" spans="1:1">
      <c r="A451" t="s">
        <v>1815</v>
      </c>
    </row>
    <row r="452" spans="1:1">
      <c r="A452" t="s">
        <v>1816</v>
      </c>
    </row>
    <row r="453" spans="1:1">
      <c r="A453" t="s">
        <v>1817</v>
      </c>
    </row>
    <row r="454" spans="1:1">
      <c r="A454" t="s">
        <v>1818</v>
      </c>
    </row>
    <row r="455" spans="1:1">
      <c r="A455" t="s">
        <v>1819</v>
      </c>
    </row>
    <row r="456" spans="1:1">
      <c r="A456" t="s">
        <v>1820</v>
      </c>
    </row>
    <row r="457" spans="1:1">
      <c r="A457" t="s">
        <v>1821</v>
      </c>
    </row>
    <row r="458" spans="1:1">
      <c r="A458" t="s">
        <v>1822</v>
      </c>
    </row>
    <row r="459" spans="1:1">
      <c r="A459" t="s">
        <v>1823</v>
      </c>
    </row>
    <row r="460" spans="1:1">
      <c r="A460" t="s">
        <v>1824</v>
      </c>
    </row>
    <row r="461" spans="1:1">
      <c r="A461" t="s">
        <v>1825</v>
      </c>
    </row>
    <row r="462" spans="1:1">
      <c r="A462" t="s">
        <v>1826</v>
      </c>
    </row>
    <row r="463" spans="1:1">
      <c r="A463" t="s">
        <v>1827</v>
      </c>
    </row>
    <row r="464" spans="1:1">
      <c r="A464" t="s">
        <v>1828</v>
      </c>
    </row>
    <row r="466" spans="1:1">
      <c r="A466" t="s">
        <v>1829</v>
      </c>
    </row>
    <row r="467" spans="1:1">
      <c r="A467" t="s">
        <v>1830</v>
      </c>
    </row>
    <row r="468" spans="1:1">
      <c r="A468" t="s">
        <v>1831</v>
      </c>
    </row>
    <row r="469" spans="1:1">
      <c r="A469" t="s">
        <v>1832</v>
      </c>
    </row>
    <row r="470" spans="1:1">
      <c r="A470" t="s">
        <v>1833</v>
      </c>
    </row>
    <row r="471" spans="1:1">
      <c r="A471" t="s">
        <v>1834</v>
      </c>
    </row>
    <row r="472" spans="1:1">
      <c r="A472" t="s">
        <v>1835</v>
      </c>
    </row>
    <row r="473" spans="1:1">
      <c r="A473" t="s">
        <v>1836</v>
      </c>
    </row>
    <row r="474" spans="1:1">
      <c r="A474" t="s">
        <v>1837</v>
      </c>
    </row>
    <row r="475" spans="1:1">
      <c r="A475" t="s">
        <v>1838</v>
      </c>
    </row>
    <row r="476" spans="1:1">
      <c r="A476" t="s">
        <v>1839</v>
      </c>
    </row>
    <row r="477" spans="1:1">
      <c r="A477" t="s">
        <v>1840</v>
      </c>
    </row>
    <row r="478" spans="1:1">
      <c r="A478" t="s">
        <v>1841</v>
      </c>
    </row>
    <row r="479" spans="1:1">
      <c r="A479" t="s">
        <v>1842</v>
      </c>
    </row>
    <row r="480" spans="1:1">
      <c r="A480" t="s">
        <v>1843</v>
      </c>
    </row>
    <row r="481" spans="1:1">
      <c r="A481" t="s">
        <v>1844</v>
      </c>
    </row>
    <row r="482" spans="1:1">
      <c r="A482" t="s">
        <v>1845</v>
      </c>
    </row>
    <row r="483" spans="1:1">
      <c r="A483" t="s">
        <v>1846</v>
      </c>
    </row>
    <row r="484" spans="1:1">
      <c r="A484" t="s">
        <v>1847</v>
      </c>
    </row>
    <row r="485" spans="1:1">
      <c r="A485" t="s">
        <v>1848</v>
      </c>
    </row>
    <row r="486" spans="1:1">
      <c r="A486" t="s">
        <v>1849</v>
      </c>
    </row>
    <row r="487" spans="1:1">
      <c r="A487" t="s">
        <v>1850</v>
      </c>
    </row>
    <row r="488" spans="1:1">
      <c r="A488" t="s">
        <v>1851</v>
      </c>
    </row>
    <row r="489" spans="1:1">
      <c r="A489" t="s">
        <v>1852</v>
      </c>
    </row>
    <row r="490" spans="1:1">
      <c r="A490" t="s">
        <v>1853</v>
      </c>
    </row>
    <row r="491" spans="1:1">
      <c r="A491" t="s">
        <v>1854</v>
      </c>
    </row>
    <row r="492" spans="1:1">
      <c r="A492" t="s">
        <v>1855</v>
      </c>
    </row>
    <row r="493" spans="1:1">
      <c r="A493" t="s">
        <v>1856</v>
      </c>
    </row>
    <row r="494" spans="1:1">
      <c r="A494" t="s">
        <v>1857</v>
      </c>
    </row>
    <row r="495" spans="1:1">
      <c r="A495" t="s">
        <v>1858</v>
      </c>
    </row>
    <row r="496" spans="1:1">
      <c r="A496" t="s">
        <v>1859</v>
      </c>
    </row>
    <row r="497" spans="1:1">
      <c r="A497" t="s">
        <v>1860</v>
      </c>
    </row>
    <row r="498" spans="1:1">
      <c r="A498" t="s">
        <v>1861</v>
      </c>
    </row>
    <row r="499" spans="1:1">
      <c r="A499" t="s">
        <v>1862</v>
      </c>
    </row>
    <row r="500" spans="1:1">
      <c r="A500" t="s">
        <v>1863</v>
      </c>
    </row>
    <row r="501" spans="1:1">
      <c r="A501" t="s">
        <v>1864</v>
      </c>
    </row>
    <row r="502" spans="1:1">
      <c r="A502" t="s">
        <v>1865</v>
      </c>
    </row>
    <row r="503" spans="1:1">
      <c r="A503" t="s">
        <v>1866</v>
      </c>
    </row>
    <row r="504" spans="1:1">
      <c r="A504" t="s">
        <v>1867</v>
      </c>
    </row>
    <row r="505" spans="1:1">
      <c r="A505" t="s">
        <v>1868</v>
      </c>
    </row>
    <row r="506" spans="1:1">
      <c r="A506" t="s">
        <v>1869</v>
      </c>
    </row>
    <row r="507" spans="1:1">
      <c r="A507" t="s">
        <v>1870</v>
      </c>
    </row>
    <row r="508" spans="1:1">
      <c r="A508" t="s">
        <v>1871</v>
      </c>
    </row>
    <row r="509" spans="1:1">
      <c r="A509" t="s">
        <v>1872</v>
      </c>
    </row>
    <row r="510" spans="1:1">
      <c r="A510" t="s">
        <v>1873</v>
      </c>
    </row>
    <row r="511" spans="1:1">
      <c r="A511" t="s">
        <v>1874</v>
      </c>
    </row>
    <row r="512" spans="1:1">
      <c r="A512" t="s">
        <v>1875</v>
      </c>
    </row>
    <row r="513" spans="1:1">
      <c r="A513" t="s">
        <v>1876</v>
      </c>
    </row>
    <row r="514" spans="1:1">
      <c r="A514" t="s">
        <v>1877</v>
      </c>
    </row>
    <row r="515" spans="1:1">
      <c r="A515" t="s">
        <v>1878</v>
      </c>
    </row>
    <row r="516" spans="1:1">
      <c r="A516" t="s">
        <v>1879</v>
      </c>
    </row>
    <row r="517" spans="1:1">
      <c r="A517" t="s">
        <v>1880</v>
      </c>
    </row>
    <row r="518" spans="1:1">
      <c r="A518" t="s">
        <v>1881</v>
      </c>
    </row>
    <row r="519" spans="1:1">
      <c r="A519" t="s">
        <v>1882</v>
      </c>
    </row>
    <row r="520" spans="1:1">
      <c r="A520" t="s">
        <v>1883</v>
      </c>
    </row>
    <row r="521" spans="1:1">
      <c r="A521" t="s">
        <v>1884</v>
      </c>
    </row>
    <row r="522" spans="1:1">
      <c r="A522" t="s">
        <v>1885</v>
      </c>
    </row>
    <row r="523" spans="1:1">
      <c r="A523" t="s">
        <v>1886</v>
      </c>
    </row>
    <row r="524" spans="1:1">
      <c r="A524" t="s">
        <v>1887</v>
      </c>
    </row>
    <row r="525" spans="1:1">
      <c r="A525" t="s">
        <v>1888</v>
      </c>
    </row>
    <row r="526" spans="1:1">
      <c r="A526" t="s">
        <v>1889</v>
      </c>
    </row>
    <row r="527" spans="1:1">
      <c r="A527" t="s">
        <v>1890</v>
      </c>
    </row>
    <row r="528" spans="1:1">
      <c r="A528" t="s">
        <v>1891</v>
      </c>
    </row>
    <row r="529" spans="1:1">
      <c r="A529" t="s">
        <v>1892</v>
      </c>
    </row>
    <row r="530" spans="1:1">
      <c r="A530" t="s">
        <v>1893</v>
      </c>
    </row>
    <row r="531" spans="1:1">
      <c r="A531" t="s">
        <v>1894</v>
      </c>
    </row>
    <row r="532" spans="1:1">
      <c r="A532" t="s">
        <v>1895</v>
      </c>
    </row>
    <row r="533" spans="1:1">
      <c r="A533" t="s">
        <v>1896</v>
      </c>
    </row>
    <row r="534" spans="1:1">
      <c r="A534" t="s">
        <v>1897</v>
      </c>
    </row>
    <row r="535" spans="1:1">
      <c r="A535" t="s">
        <v>1898</v>
      </c>
    </row>
    <row r="536" spans="1:1">
      <c r="A536" t="s">
        <v>1899</v>
      </c>
    </row>
    <row r="537" spans="1:1">
      <c r="A537" t="s">
        <v>1900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941E-3838-4C4A-8714-76EFF43DD8B3}">
  <sheetPr>
    <tabColor rgb="FFFF0000"/>
  </sheetPr>
  <dimension ref="A1:A22"/>
  <sheetViews>
    <sheetView workbookViewId="0">
      <selection activeCell="A23" sqref="A23"/>
    </sheetView>
  </sheetViews>
  <sheetFormatPr defaultRowHeight="14.5"/>
  <cols>
    <col min="1" max="1" width="189.453125" customWidth="1"/>
  </cols>
  <sheetData>
    <row r="1" spans="1:1">
      <c r="A1" s="14" t="s">
        <v>1901</v>
      </c>
    </row>
    <row r="2" spans="1:1">
      <c r="A2" s="52" t="s">
        <v>1902</v>
      </c>
    </row>
    <row r="3" spans="1:1">
      <c r="A3" t="s">
        <v>1903</v>
      </c>
    </row>
    <row r="4" spans="1:1">
      <c r="A4" s="53" t="s">
        <v>1904</v>
      </c>
    </row>
    <row r="5" spans="1:1">
      <c r="A5" s="54" t="s">
        <v>1905</v>
      </c>
    </row>
    <row r="6" spans="1:1">
      <c r="A6" s="54" t="s">
        <v>1906</v>
      </c>
    </row>
    <row r="7" spans="1:1">
      <c r="A7" s="54" t="s">
        <v>1907</v>
      </c>
    </row>
    <row r="8" spans="1:1">
      <c r="A8" s="54" t="s">
        <v>1908</v>
      </c>
    </row>
    <row r="9" spans="1:1">
      <c r="A9" s="54" t="s">
        <v>1909</v>
      </c>
    </row>
    <row r="10" spans="1:1">
      <c r="A10" s="54" t="s">
        <v>1910</v>
      </c>
    </row>
    <row r="11" spans="1:1">
      <c r="A11" s="54" t="s">
        <v>1911</v>
      </c>
    </row>
    <row r="12" spans="1:1">
      <c r="A12" s="54" t="s">
        <v>1912</v>
      </c>
    </row>
    <row r="13" spans="1:1">
      <c r="A13" s="54" t="s">
        <v>1913</v>
      </c>
    </row>
    <row r="14" spans="1:1">
      <c r="A14" s="54" t="s">
        <v>1914</v>
      </c>
    </row>
    <row r="15" spans="1:1">
      <c r="A15" s="54" t="s">
        <v>1915</v>
      </c>
    </row>
    <row r="18" spans="1:1">
      <c r="A18" t="e" cm="1">
        <f t="array" ref="A18">SheetName</f>
        <v>#NAME?</v>
      </c>
    </row>
    <row r="19" spans="1:1">
      <c r="A19" t="str" cm="1">
        <f t="array" aca="1" ref="A19" ca="1">CELL("filename",A1)</f>
        <v>https://educationgovtnz-my.sharepoint.com/personal/sigals_moe_govt_nz/Documents/Documents/_REPOS/_SHARED_RESOURCE_REPOS/SysDelivery.Guidance/[06] Spreadsheets/10.Requirements Definition/[01.Baseline Service Delivery Stakeholder Requirements.xlsx]INSTRUCTIONS</v>
      </c>
    </row>
    <row r="20" spans="1:1" ht="18.5">
      <c r="A20" s="55" t="str" cm="1">
        <f t="array" aca="1" ref="A20" ca="1">_xlfn.TEXTAFTER(CELL("filename",A1),"]")</f>
        <v xml:space="preserve"> Spreadsheets/10.Requirements Definition/[01.Baseline Service Delivery Stakeholder Requirements.xlsx]INSTRUCTIONS</v>
      </c>
    </row>
    <row r="22" spans="1:1">
      <c r="A22" t="s">
        <v>1916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4F51A-AC27-412F-9B26-82BCDAB300F2}">
  <sheetPr codeName="Sheet5">
    <tabColor theme="1" tint="4.9989318521683403E-2"/>
  </sheetPr>
  <dimension ref="A1:I843"/>
  <sheetViews>
    <sheetView workbookViewId="0">
      <selection activeCell="K2" sqref="K2"/>
    </sheetView>
  </sheetViews>
  <sheetFormatPr defaultRowHeight="15" customHeight="1"/>
  <cols>
    <col min="1" max="1" width="11.54296875" bestFit="1" customWidth="1"/>
    <col min="2" max="2" width="14.81640625" bestFit="1" customWidth="1"/>
    <col min="3" max="3" width="13.26953125" bestFit="1" customWidth="1"/>
    <col min="4" max="4" width="18.54296875" bestFit="1" customWidth="1"/>
    <col min="5" max="5" width="40.81640625" bestFit="1" customWidth="1"/>
    <col min="6" max="6" width="68.54296875" bestFit="1" customWidth="1"/>
    <col min="7" max="7" width="25.7265625" bestFit="1" customWidth="1"/>
    <col min="9" max="9" width="15.81640625" bestFit="1" customWidth="1"/>
  </cols>
  <sheetData>
    <row r="1" spans="1:9" s="16" customFormat="1">
      <c r="A1" t="s">
        <v>1</v>
      </c>
      <c r="B1" t="s">
        <v>1917</v>
      </c>
      <c r="C1" t="s">
        <v>1918</v>
      </c>
      <c r="D1" s="16" t="s">
        <v>1919</v>
      </c>
      <c r="E1" s="16" t="s">
        <v>1920</v>
      </c>
      <c r="F1" s="16" t="s">
        <v>1921</v>
      </c>
      <c r="G1" s="16" t="s">
        <v>1922</v>
      </c>
      <c r="H1" s="16" t="s">
        <v>1923</v>
      </c>
      <c r="I1" s="16" t="s">
        <v>1924</v>
      </c>
    </row>
    <row r="2" spans="1:9">
      <c r="A2" t="s">
        <v>38</v>
      </c>
      <c r="B2" t="s">
        <v>60</v>
      </c>
      <c r="C2" t="s">
        <v>60</v>
      </c>
      <c r="D2" s="16" t="s">
        <v>1925</v>
      </c>
      <c r="E2" s="16" t="s">
        <v>1926</v>
      </c>
      <c r="F2" t="s">
        <v>1927</v>
      </c>
      <c r="G2" t="s">
        <v>1928</v>
      </c>
      <c r="I2" s="24"/>
    </row>
    <row r="3" spans="1:9">
      <c r="A3" t="s">
        <v>1929</v>
      </c>
      <c r="B3" t="s">
        <v>1930</v>
      </c>
      <c r="C3" t="s">
        <v>1930</v>
      </c>
      <c r="D3" t="s">
        <v>1931</v>
      </c>
      <c r="E3" t="s">
        <v>1932</v>
      </c>
      <c r="F3" t="s">
        <v>1933</v>
      </c>
      <c r="G3" t="s">
        <v>1934</v>
      </c>
      <c r="I3" s="24"/>
    </row>
    <row r="4" spans="1:9">
      <c r="A4" t="s">
        <v>111</v>
      </c>
      <c r="B4" t="s">
        <v>1935</v>
      </c>
      <c r="C4" t="s">
        <v>1936</v>
      </c>
      <c r="D4" t="s">
        <v>1937</v>
      </c>
      <c r="E4" t="s">
        <v>1938</v>
      </c>
      <c r="F4" t="s">
        <v>1939</v>
      </c>
      <c r="G4" t="s">
        <v>1940</v>
      </c>
      <c r="I4" s="24"/>
    </row>
    <row r="5" spans="1:9">
      <c r="A5" t="s">
        <v>1941</v>
      </c>
      <c r="B5" t="s">
        <v>1942</v>
      </c>
      <c r="C5" t="s">
        <v>1943</v>
      </c>
      <c r="D5" t="s">
        <v>1944</v>
      </c>
      <c r="E5" t="s">
        <v>1945</v>
      </c>
      <c r="F5" t="s">
        <v>1946</v>
      </c>
      <c r="G5" t="s">
        <v>1947</v>
      </c>
      <c r="I5" s="24"/>
    </row>
    <row r="6" spans="1:9">
      <c r="A6" t="s">
        <v>1948</v>
      </c>
      <c r="B6" t="s">
        <v>1949</v>
      </c>
      <c r="C6" t="s">
        <v>1950</v>
      </c>
      <c r="D6" t="s">
        <v>1951</v>
      </c>
      <c r="E6" t="s">
        <v>1952</v>
      </c>
      <c r="F6" t="s">
        <v>1953</v>
      </c>
      <c r="G6" t="s">
        <v>1954</v>
      </c>
      <c r="I6" s="24"/>
    </row>
    <row r="7" spans="1:9">
      <c r="A7" t="s">
        <v>1955</v>
      </c>
      <c r="B7" t="s">
        <v>1956</v>
      </c>
      <c r="C7" t="s">
        <v>133</v>
      </c>
      <c r="D7" t="s">
        <v>1957</v>
      </c>
      <c r="E7" t="s">
        <v>1958</v>
      </c>
      <c r="F7" t="s">
        <v>1959</v>
      </c>
      <c r="G7" t="s">
        <v>1960</v>
      </c>
      <c r="I7" s="24"/>
    </row>
    <row r="8" spans="1:9">
      <c r="A8" t="s">
        <v>165</v>
      </c>
      <c r="B8" t="s">
        <v>724</v>
      </c>
      <c r="D8" t="s">
        <v>1961</v>
      </c>
      <c r="E8" t="s">
        <v>1962</v>
      </c>
      <c r="F8" t="s">
        <v>1963</v>
      </c>
      <c r="G8" t="s">
        <v>1964</v>
      </c>
      <c r="I8" s="24"/>
    </row>
    <row r="9" spans="1:9">
      <c r="D9" t="s">
        <v>1965</v>
      </c>
      <c r="E9" t="s">
        <v>1966</v>
      </c>
      <c r="F9" t="s">
        <v>1967</v>
      </c>
      <c r="G9" t="s">
        <v>1968</v>
      </c>
      <c r="I9" s="24"/>
    </row>
    <row r="10" spans="1:9">
      <c r="D10" t="s">
        <v>1969</v>
      </c>
      <c r="E10" t="s">
        <v>1970</v>
      </c>
      <c r="F10" t="s">
        <v>1971</v>
      </c>
      <c r="G10" t="s">
        <v>1972</v>
      </c>
      <c r="I10" s="24"/>
    </row>
    <row r="11" spans="1:9">
      <c r="D11" t="s">
        <v>1973</v>
      </c>
      <c r="E11" t="s">
        <v>1974</v>
      </c>
      <c r="F11" t="s">
        <v>1975</v>
      </c>
      <c r="G11" t="s">
        <v>1976</v>
      </c>
      <c r="I11" s="24"/>
    </row>
    <row r="12" spans="1:9">
      <c r="D12" t="s">
        <v>1977</v>
      </c>
      <c r="E12" t="s">
        <v>1978</v>
      </c>
      <c r="F12" t="s">
        <v>1979</v>
      </c>
      <c r="I12" s="24"/>
    </row>
    <row r="13" spans="1:9">
      <c r="D13" t="s">
        <v>1980</v>
      </c>
      <c r="E13" t="s">
        <v>1981</v>
      </c>
      <c r="F13" t="s">
        <v>1982</v>
      </c>
      <c r="I13" s="24"/>
    </row>
    <row r="14" spans="1:9">
      <c r="D14" t="s">
        <v>1983</v>
      </c>
      <c r="E14" t="s">
        <v>1984</v>
      </c>
      <c r="F14" t="s">
        <v>1985</v>
      </c>
      <c r="I14" s="24"/>
    </row>
    <row r="15" spans="1:9">
      <c r="D15" t="s">
        <v>1986</v>
      </c>
      <c r="E15" t="s">
        <v>1987</v>
      </c>
      <c r="F15" t="s">
        <v>1988</v>
      </c>
      <c r="I15" s="24"/>
    </row>
    <row r="16" spans="1:9">
      <c r="D16" t="s">
        <v>1989</v>
      </c>
      <c r="E16" t="s">
        <v>1990</v>
      </c>
      <c r="F16" t="s">
        <v>1991</v>
      </c>
      <c r="I16" s="24"/>
    </row>
    <row r="17" spans="4:9">
      <c r="D17" t="s">
        <v>1992</v>
      </c>
      <c r="E17" t="s">
        <v>1993</v>
      </c>
      <c r="F17" t="s">
        <v>1994</v>
      </c>
      <c r="I17" s="24" t="s">
        <v>1995</v>
      </c>
    </row>
    <row r="18" spans="4:9">
      <c r="D18" t="s">
        <v>1996</v>
      </c>
      <c r="E18" t="s">
        <v>1997</v>
      </c>
      <c r="F18" t="s">
        <v>1998</v>
      </c>
      <c r="I18" s="24"/>
    </row>
    <row r="19" spans="4:9">
      <c r="D19" t="s">
        <v>1999</v>
      </c>
      <c r="E19" t="s">
        <v>2000</v>
      </c>
      <c r="F19" t="s">
        <v>2001</v>
      </c>
      <c r="I19" s="24"/>
    </row>
    <row r="20" spans="4:9">
      <c r="D20" t="s">
        <v>2002</v>
      </c>
      <c r="E20" t="s">
        <v>2003</v>
      </c>
      <c r="F20" t="s">
        <v>2004</v>
      </c>
      <c r="I20" s="24"/>
    </row>
    <row r="21" spans="4:9">
      <c r="E21" t="s">
        <v>2005</v>
      </c>
      <c r="F21" t="s">
        <v>2006</v>
      </c>
      <c r="I21" s="24"/>
    </row>
    <row r="22" spans="4:9">
      <c r="E22" t="s">
        <v>2007</v>
      </c>
      <c r="F22" t="s">
        <v>2008</v>
      </c>
      <c r="I22" s="24"/>
    </row>
    <row r="23" spans="4:9">
      <c r="E23" t="s">
        <v>2009</v>
      </c>
      <c r="F23" t="s">
        <v>2010</v>
      </c>
      <c r="I23" s="24"/>
    </row>
    <row r="24" spans="4:9">
      <c r="E24" t="s">
        <v>2011</v>
      </c>
      <c r="F24" t="s">
        <v>2012</v>
      </c>
      <c r="I24" s="24"/>
    </row>
    <row r="25" spans="4:9">
      <c r="E25" t="s">
        <v>2013</v>
      </c>
      <c r="F25" t="s">
        <v>2014</v>
      </c>
      <c r="I25" s="24"/>
    </row>
    <row r="26" spans="4:9">
      <c r="E26" t="s">
        <v>2015</v>
      </c>
      <c r="F26" t="s">
        <v>2016</v>
      </c>
      <c r="I26" s="24"/>
    </row>
    <row r="27" spans="4:9">
      <c r="E27" t="s">
        <v>2017</v>
      </c>
      <c r="F27" t="s">
        <v>2018</v>
      </c>
      <c r="I27" s="24"/>
    </row>
    <row r="28" spans="4:9">
      <c r="E28" t="s">
        <v>2019</v>
      </c>
      <c r="F28" t="s">
        <v>2020</v>
      </c>
      <c r="I28" s="24"/>
    </row>
    <row r="29" spans="4:9">
      <c r="E29" t="s">
        <v>2021</v>
      </c>
      <c r="F29" t="s">
        <v>2022</v>
      </c>
      <c r="I29" s="24"/>
    </row>
    <row r="30" spans="4:9">
      <c r="E30" t="s">
        <v>2023</v>
      </c>
      <c r="F30" t="s">
        <v>2024</v>
      </c>
      <c r="I30" s="24"/>
    </row>
    <row r="31" spans="4:9">
      <c r="E31" t="s">
        <v>2025</v>
      </c>
      <c r="F31" t="s">
        <v>2026</v>
      </c>
      <c r="I31" s="24"/>
    </row>
    <row r="32" spans="4:9">
      <c r="E32" t="s">
        <v>2027</v>
      </c>
      <c r="F32" t="s">
        <v>2028</v>
      </c>
      <c r="I32" s="24"/>
    </row>
    <row r="33" spans="5:9">
      <c r="E33" t="s">
        <v>2029</v>
      </c>
      <c r="F33" t="s">
        <v>2030</v>
      </c>
      <c r="I33" s="24"/>
    </row>
    <row r="34" spans="5:9">
      <c r="E34" t="s">
        <v>2031</v>
      </c>
      <c r="F34" t="s">
        <v>2032</v>
      </c>
      <c r="I34" s="24"/>
    </row>
    <row r="35" spans="5:9">
      <c r="E35" t="s">
        <v>2033</v>
      </c>
      <c r="F35" t="s">
        <v>2034</v>
      </c>
      <c r="I35" s="24"/>
    </row>
    <row r="36" spans="5:9">
      <c r="E36" t="s">
        <v>2035</v>
      </c>
      <c r="F36" t="s">
        <v>2036</v>
      </c>
      <c r="I36" s="24"/>
    </row>
    <row r="37" spans="5:9">
      <c r="E37" t="s">
        <v>2037</v>
      </c>
      <c r="F37" t="s">
        <v>2038</v>
      </c>
      <c r="I37" s="24"/>
    </row>
    <row r="38" spans="5:9">
      <c r="E38" t="s">
        <v>2039</v>
      </c>
      <c r="F38" t="s">
        <v>2040</v>
      </c>
      <c r="I38" s="24"/>
    </row>
    <row r="39" spans="5:9">
      <c r="E39" t="s">
        <v>2041</v>
      </c>
      <c r="F39" t="s">
        <v>2042</v>
      </c>
      <c r="I39" s="24"/>
    </row>
    <row r="40" spans="5:9">
      <c r="E40" t="s">
        <v>2043</v>
      </c>
      <c r="F40" t="s">
        <v>2044</v>
      </c>
      <c r="I40" s="24"/>
    </row>
    <row r="41" spans="5:9">
      <c r="E41" t="s">
        <v>2045</v>
      </c>
      <c r="F41" t="s">
        <v>2046</v>
      </c>
      <c r="I41" s="24"/>
    </row>
    <row r="42" spans="5:9">
      <c r="E42" t="s">
        <v>2047</v>
      </c>
      <c r="F42" t="s">
        <v>2048</v>
      </c>
      <c r="I42" s="24"/>
    </row>
    <row r="43" spans="5:9">
      <c r="E43" t="s">
        <v>2049</v>
      </c>
      <c r="F43" t="s">
        <v>2050</v>
      </c>
      <c r="I43" s="24"/>
    </row>
    <row r="44" spans="5:9">
      <c r="E44" t="s">
        <v>2051</v>
      </c>
      <c r="F44" t="s">
        <v>2052</v>
      </c>
      <c r="I44" s="24"/>
    </row>
    <row r="45" spans="5:9">
      <c r="E45" t="s">
        <v>2053</v>
      </c>
      <c r="F45" t="s">
        <v>2054</v>
      </c>
      <c r="I45" s="24"/>
    </row>
    <row r="46" spans="5:9">
      <c r="E46" t="s">
        <v>2055</v>
      </c>
      <c r="F46" t="s">
        <v>2056</v>
      </c>
      <c r="I46" s="24"/>
    </row>
    <row r="47" spans="5:9">
      <c r="E47" t="s">
        <v>2057</v>
      </c>
      <c r="F47" t="s">
        <v>2058</v>
      </c>
      <c r="I47" s="24"/>
    </row>
    <row r="48" spans="5:9">
      <c r="E48" t="s">
        <v>2059</v>
      </c>
      <c r="F48" t="s">
        <v>2060</v>
      </c>
      <c r="I48" s="24"/>
    </row>
    <row r="49" spans="5:9">
      <c r="E49" t="s">
        <v>2061</v>
      </c>
      <c r="F49" t="s">
        <v>2062</v>
      </c>
      <c r="I49" s="24"/>
    </row>
    <row r="50" spans="5:9">
      <c r="E50" t="s">
        <v>2063</v>
      </c>
      <c r="F50" t="s">
        <v>2064</v>
      </c>
      <c r="I50" s="24"/>
    </row>
    <row r="51" spans="5:9">
      <c r="E51" t="s">
        <v>2065</v>
      </c>
      <c r="F51" t="s">
        <v>2066</v>
      </c>
      <c r="I51" s="24"/>
    </row>
    <row r="52" spans="5:9">
      <c r="E52" t="s">
        <v>2067</v>
      </c>
      <c r="F52" t="s">
        <v>2068</v>
      </c>
      <c r="I52" s="24"/>
    </row>
    <row r="53" spans="5:9">
      <c r="E53" t="s">
        <v>2069</v>
      </c>
      <c r="F53" t="s">
        <v>2070</v>
      </c>
      <c r="I53" s="24"/>
    </row>
    <row r="54" spans="5:9">
      <c r="E54" t="s">
        <v>2071</v>
      </c>
      <c r="F54" t="s">
        <v>2072</v>
      </c>
      <c r="I54" s="24"/>
    </row>
    <row r="55" spans="5:9">
      <c r="E55" t="s">
        <v>2073</v>
      </c>
      <c r="F55" t="s">
        <v>2074</v>
      </c>
      <c r="I55" s="24"/>
    </row>
    <row r="56" spans="5:9">
      <c r="E56" t="s">
        <v>2075</v>
      </c>
      <c r="F56" t="s">
        <v>2076</v>
      </c>
      <c r="I56" s="24"/>
    </row>
    <row r="57" spans="5:9">
      <c r="E57" t="s">
        <v>2077</v>
      </c>
      <c r="F57" t="s">
        <v>2078</v>
      </c>
      <c r="I57" s="24"/>
    </row>
    <row r="58" spans="5:9">
      <c r="E58" t="s">
        <v>2079</v>
      </c>
      <c r="F58" t="s">
        <v>2080</v>
      </c>
      <c r="I58" s="24"/>
    </row>
    <row r="59" spans="5:9">
      <c r="E59" t="s">
        <v>2081</v>
      </c>
      <c r="F59" t="s">
        <v>2082</v>
      </c>
      <c r="I59" s="24"/>
    </row>
    <row r="60" spans="5:9">
      <c r="E60" t="s">
        <v>2083</v>
      </c>
      <c r="F60" t="s">
        <v>2084</v>
      </c>
      <c r="I60" s="24"/>
    </row>
    <row r="61" spans="5:9">
      <c r="E61" t="s">
        <v>2085</v>
      </c>
      <c r="F61" t="s">
        <v>2086</v>
      </c>
      <c r="I61" s="24"/>
    </row>
    <row r="62" spans="5:9">
      <c r="E62" t="s">
        <v>2087</v>
      </c>
      <c r="F62" t="s">
        <v>2088</v>
      </c>
      <c r="I62" s="24"/>
    </row>
    <row r="63" spans="5:9">
      <c r="E63" t="s">
        <v>2089</v>
      </c>
      <c r="F63" t="s">
        <v>2090</v>
      </c>
      <c r="I63" s="24"/>
    </row>
    <row r="64" spans="5:9">
      <c r="E64" t="s">
        <v>2091</v>
      </c>
      <c r="F64" t="s">
        <v>2092</v>
      </c>
      <c r="I64" s="24"/>
    </row>
    <row r="65" spans="5:9">
      <c r="E65" t="s">
        <v>2093</v>
      </c>
      <c r="F65" t="s">
        <v>2094</v>
      </c>
      <c r="I65" s="24"/>
    </row>
    <row r="66" spans="5:9">
      <c r="E66" t="s">
        <v>2095</v>
      </c>
      <c r="F66" t="s">
        <v>2096</v>
      </c>
      <c r="I66" s="24"/>
    </row>
    <row r="67" spans="5:9">
      <c r="E67" t="s">
        <v>2097</v>
      </c>
      <c r="F67" t="s">
        <v>2098</v>
      </c>
      <c r="I67" s="24"/>
    </row>
    <row r="68" spans="5:9">
      <c r="E68" t="s">
        <v>2099</v>
      </c>
      <c r="F68" t="s">
        <v>2100</v>
      </c>
      <c r="I68" s="24"/>
    </row>
    <row r="69" spans="5:9">
      <c r="E69" t="s">
        <v>2101</v>
      </c>
      <c r="F69" t="s">
        <v>2102</v>
      </c>
      <c r="I69" s="24"/>
    </row>
    <row r="70" spans="5:9">
      <c r="E70" t="s">
        <v>2103</v>
      </c>
      <c r="F70" t="s">
        <v>2104</v>
      </c>
      <c r="I70" s="24"/>
    </row>
    <row r="71" spans="5:9">
      <c r="E71" t="s">
        <v>2105</v>
      </c>
      <c r="F71" t="s">
        <v>2106</v>
      </c>
      <c r="I71" s="24"/>
    </row>
    <row r="72" spans="5:9">
      <c r="E72" t="s">
        <v>2107</v>
      </c>
      <c r="F72" t="s">
        <v>2108</v>
      </c>
      <c r="I72" s="24"/>
    </row>
    <row r="73" spans="5:9">
      <c r="E73" t="s">
        <v>2109</v>
      </c>
      <c r="F73" t="s">
        <v>2110</v>
      </c>
      <c r="I73" s="24"/>
    </row>
    <row r="74" spans="5:9">
      <c r="E74" t="s">
        <v>2111</v>
      </c>
      <c r="F74" t="s">
        <v>2112</v>
      </c>
      <c r="I74" s="24"/>
    </row>
    <row r="75" spans="5:9">
      <c r="E75" t="s">
        <v>2113</v>
      </c>
      <c r="F75" t="s">
        <v>2114</v>
      </c>
      <c r="I75" s="24"/>
    </row>
    <row r="76" spans="5:9">
      <c r="E76" t="s">
        <v>2115</v>
      </c>
      <c r="F76" t="s">
        <v>2116</v>
      </c>
      <c r="I76" s="24"/>
    </row>
    <row r="77" spans="5:9">
      <c r="E77" t="s">
        <v>2117</v>
      </c>
      <c r="F77" t="s">
        <v>2118</v>
      </c>
      <c r="I77" s="24"/>
    </row>
    <row r="78" spans="5:9">
      <c r="E78" t="s">
        <v>2119</v>
      </c>
      <c r="F78" t="s">
        <v>2120</v>
      </c>
      <c r="I78" s="24"/>
    </row>
    <row r="79" spans="5:9">
      <c r="E79" t="s">
        <v>2121</v>
      </c>
      <c r="F79" t="s">
        <v>2122</v>
      </c>
      <c r="I79" s="24"/>
    </row>
    <row r="80" spans="5:9">
      <c r="E80" t="s">
        <v>2123</v>
      </c>
      <c r="F80" t="s">
        <v>2124</v>
      </c>
      <c r="I80" s="24"/>
    </row>
    <row r="81" spans="5:9">
      <c r="E81" t="s">
        <v>2125</v>
      </c>
      <c r="F81" t="s">
        <v>2126</v>
      </c>
      <c r="I81" s="24"/>
    </row>
    <row r="82" spans="5:9">
      <c r="E82" t="s">
        <v>2127</v>
      </c>
      <c r="F82" t="s">
        <v>2128</v>
      </c>
      <c r="I82" s="24"/>
    </row>
    <row r="83" spans="5:9">
      <c r="E83" t="s">
        <v>2129</v>
      </c>
      <c r="F83" t="s">
        <v>2130</v>
      </c>
      <c r="I83" s="24"/>
    </row>
    <row r="84" spans="5:9">
      <c r="E84" t="s">
        <v>2131</v>
      </c>
      <c r="F84" t="s">
        <v>2132</v>
      </c>
      <c r="I84" s="24"/>
    </row>
    <row r="85" spans="5:9">
      <c r="E85" t="s">
        <v>2133</v>
      </c>
      <c r="I85" s="24"/>
    </row>
    <row r="86" spans="5:9">
      <c r="E86" t="s">
        <v>2134</v>
      </c>
      <c r="I86" s="24"/>
    </row>
    <row r="87" spans="5:9">
      <c r="E87" t="s">
        <v>2135</v>
      </c>
      <c r="I87" s="24"/>
    </row>
    <row r="88" spans="5:9">
      <c r="E88" t="s">
        <v>2136</v>
      </c>
      <c r="I88" s="24"/>
    </row>
    <row r="89" spans="5:9">
      <c r="E89" t="s">
        <v>2137</v>
      </c>
      <c r="I89" s="24"/>
    </row>
    <row r="90" spans="5:9">
      <c r="E90" t="s">
        <v>2138</v>
      </c>
      <c r="I90" s="24"/>
    </row>
    <row r="91" spans="5:9">
      <c r="E91" t="s">
        <v>2139</v>
      </c>
      <c r="I91" s="24"/>
    </row>
    <row r="92" spans="5:9">
      <c r="E92" t="s">
        <v>2140</v>
      </c>
      <c r="I92" s="24"/>
    </row>
    <row r="93" spans="5:9">
      <c r="E93" t="s">
        <v>2141</v>
      </c>
      <c r="I93" s="24"/>
    </row>
    <row r="94" spans="5:9">
      <c r="E94" t="s">
        <v>2142</v>
      </c>
      <c r="I94" s="24"/>
    </row>
    <row r="95" spans="5:9">
      <c r="E95" t="s">
        <v>2143</v>
      </c>
      <c r="I95" s="24"/>
    </row>
    <row r="96" spans="5:9">
      <c r="E96" t="s">
        <v>2144</v>
      </c>
      <c r="I96" s="24"/>
    </row>
    <row r="97" spans="4:9">
      <c r="E97" t="s">
        <v>2145</v>
      </c>
      <c r="I97" s="24"/>
    </row>
    <row r="98" spans="4:9">
      <c r="D98" t="s">
        <v>2146</v>
      </c>
      <c r="E98" t="s">
        <v>2147</v>
      </c>
      <c r="I98" s="24"/>
    </row>
    <row r="99" spans="4:9">
      <c r="E99" t="s">
        <v>2148</v>
      </c>
      <c r="I99" s="24"/>
    </row>
    <row r="100" spans="4:9">
      <c r="E100" t="s">
        <v>2149</v>
      </c>
      <c r="I100" s="24"/>
    </row>
    <row r="101" spans="4:9">
      <c r="E101" t="s">
        <v>2150</v>
      </c>
      <c r="I101" s="24"/>
    </row>
    <row r="102" spans="4:9">
      <c r="E102" t="s">
        <v>2151</v>
      </c>
      <c r="I102" s="24"/>
    </row>
    <row r="103" spans="4:9">
      <c r="E103" t="s">
        <v>2152</v>
      </c>
      <c r="I103" s="24"/>
    </row>
    <row r="104" spans="4:9">
      <c r="E104" t="s">
        <v>2153</v>
      </c>
      <c r="I104" s="24"/>
    </row>
    <row r="105" spans="4:9">
      <c r="E105" t="s">
        <v>2154</v>
      </c>
      <c r="I105" s="24"/>
    </row>
    <row r="106" spans="4:9">
      <c r="E106" t="s">
        <v>2155</v>
      </c>
      <c r="I106" s="24"/>
    </row>
    <row r="107" spans="4:9">
      <c r="E107" t="s">
        <v>2156</v>
      </c>
      <c r="I107" s="24"/>
    </row>
    <row r="108" spans="4:9">
      <c r="E108" t="s">
        <v>2157</v>
      </c>
      <c r="I108" s="24"/>
    </row>
    <row r="109" spans="4:9">
      <c r="E109" t="s">
        <v>2158</v>
      </c>
      <c r="I109" s="24"/>
    </row>
    <row r="110" spans="4:9">
      <c r="E110" t="s">
        <v>2159</v>
      </c>
      <c r="I110" s="24"/>
    </row>
    <row r="111" spans="4:9">
      <c r="E111" t="s">
        <v>2160</v>
      </c>
      <c r="I111" s="24"/>
    </row>
    <row r="112" spans="4:9">
      <c r="E112" t="s">
        <v>2161</v>
      </c>
      <c r="I112" s="24"/>
    </row>
    <row r="113" spans="5:9">
      <c r="E113" t="s">
        <v>2162</v>
      </c>
      <c r="I113" s="24"/>
    </row>
    <row r="114" spans="5:9">
      <c r="E114" t="s">
        <v>2163</v>
      </c>
      <c r="I114" s="24"/>
    </row>
    <row r="115" spans="5:9">
      <c r="E115" t="s">
        <v>2164</v>
      </c>
      <c r="I115" s="24"/>
    </row>
    <row r="116" spans="5:9">
      <c r="E116" t="s">
        <v>2165</v>
      </c>
      <c r="I116" s="24"/>
    </row>
    <row r="117" spans="5:9">
      <c r="E117" t="s">
        <v>2166</v>
      </c>
      <c r="I117" s="24"/>
    </row>
    <row r="118" spans="5:9">
      <c r="E118" t="s">
        <v>2167</v>
      </c>
      <c r="I118" s="24"/>
    </row>
    <row r="119" spans="5:9">
      <c r="E119" t="s">
        <v>2168</v>
      </c>
      <c r="I119" s="24"/>
    </row>
    <row r="120" spans="5:9">
      <c r="E120" t="s">
        <v>2169</v>
      </c>
      <c r="I120" s="24"/>
    </row>
    <row r="121" spans="5:9">
      <c r="E121" t="s">
        <v>2170</v>
      </c>
      <c r="I121" s="24"/>
    </row>
    <row r="122" spans="5:9">
      <c r="E122" t="s">
        <v>2171</v>
      </c>
      <c r="I122" s="24"/>
    </row>
    <row r="123" spans="5:9">
      <c r="E123" t="s">
        <v>2172</v>
      </c>
      <c r="I123" s="24"/>
    </row>
    <row r="124" spans="5:9">
      <c r="E124" t="s">
        <v>2173</v>
      </c>
      <c r="I124" s="24"/>
    </row>
    <row r="125" spans="5:9">
      <c r="E125" t="s">
        <v>2174</v>
      </c>
      <c r="I125" s="24"/>
    </row>
    <row r="126" spans="5:9">
      <c r="E126" t="s">
        <v>2175</v>
      </c>
      <c r="I126" s="24"/>
    </row>
    <row r="127" spans="5:9">
      <c r="E127" t="s">
        <v>2176</v>
      </c>
      <c r="I127" s="24"/>
    </row>
    <row r="128" spans="5:9">
      <c r="E128" t="s">
        <v>2177</v>
      </c>
      <c r="I128" s="24"/>
    </row>
    <row r="129" spans="5:9">
      <c r="E129" t="s">
        <v>2178</v>
      </c>
      <c r="I129" s="24"/>
    </row>
    <row r="130" spans="5:9">
      <c r="E130" t="s">
        <v>2179</v>
      </c>
      <c r="I130" s="24"/>
    </row>
    <row r="131" spans="5:9">
      <c r="E131" t="s">
        <v>2180</v>
      </c>
      <c r="I131" s="24"/>
    </row>
    <row r="132" spans="5:9">
      <c r="E132" t="s">
        <v>2181</v>
      </c>
      <c r="I132" s="24"/>
    </row>
    <row r="133" spans="5:9">
      <c r="E133" t="s">
        <v>2182</v>
      </c>
      <c r="I133" s="24"/>
    </row>
    <row r="134" spans="5:9">
      <c r="E134" t="s">
        <v>2183</v>
      </c>
      <c r="I134" s="24"/>
    </row>
    <row r="135" spans="5:9">
      <c r="E135" t="s">
        <v>2184</v>
      </c>
      <c r="I135" s="24"/>
    </row>
    <row r="136" spans="5:9">
      <c r="E136" t="s">
        <v>2185</v>
      </c>
      <c r="I136" s="24"/>
    </row>
    <row r="137" spans="5:9">
      <c r="E137" t="s">
        <v>2186</v>
      </c>
      <c r="I137" s="24"/>
    </row>
    <row r="138" spans="5:9">
      <c r="E138" t="s">
        <v>2187</v>
      </c>
      <c r="I138" s="24"/>
    </row>
    <row r="139" spans="5:9">
      <c r="E139" t="s">
        <v>2188</v>
      </c>
      <c r="I139" s="24"/>
    </row>
    <row r="140" spans="5:9">
      <c r="E140" t="s">
        <v>2189</v>
      </c>
      <c r="I140" s="24"/>
    </row>
    <row r="141" spans="5:9">
      <c r="E141" t="s">
        <v>2190</v>
      </c>
      <c r="I141" s="24"/>
    </row>
    <row r="142" spans="5:9">
      <c r="E142" t="s">
        <v>2191</v>
      </c>
      <c r="I142" s="24"/>
    </row>
    <row r="143" spans="5:9">
      <c r="E143" t="s">
        <v>2192</v>
      </c>
      <c r="I143" s="24"/>
    </row>
    <row r="144" spans="5:9">
      <c r="E144" t="s">
        <v>2193</v>
      </c>
      <c r="I144" s="24"/>
    </row>
    <row r="145" spans="5:9">
      <c r="E145" t="s">
        <v>2194</v>
      </c>
      <c r="I145" s="24"/>
    </row>
    <row r="146" spans="5:9">
      <c r="E146" t="s">
        <v>2195</v>
      </c>
      <c r="I146" s="24"/>
    </row>
    <row r="147" spans="5:9">
      <c r="E147" t="s">
        <v>2196</v>
      </c>
      <c r="I147" s="24"/>
    </row>
    <row r="148" spans="5:9">
      <c r="E148" t="s">
        <v>2197</v>
      </c>
      <c r="I148" s="24"/>
    </row>
    <row r="149" spans="5:9">
      <c r="E149" t="s">
        <v>2198</v>
      </c>
      <c r="I149" s="24"/>
    </row>
    <row r="150" spans="5:9">
      <c r="E150" t="s">
        <v>2199</v>
      </c>
      <c r="I150" s="24"/>
    </row>
    <row r="151" spans="5:9">
      <c r="E151" t="s">
        <v>2200</v>
      </c>
      <c r="I151" s="24"/>
    </row>
    <row r="152" spans="5:9">
      <c r="E152" t="s">
        <v>2201</v>
      </c>
      <c r="I152" s="24"/>
    </row>
    <row r="153" spans="5:9">
      <c r="E153" t="s">
        <v>2202</v>
      </c>
      <c r="I153" s="24"/>
    </row>
    <row r="154" spans="5:9">
      <c r="E154" t="s">
        <v>2203</v>
      </c>
      <c r="I154" s="24"/>
    </row>
    <row r="155" spans="5:9">
      <c r="E155" t="s">
        <v>2204</v>
      </c>
      <c r="I155" s="24"/>
    </row>
    <row r="156" spans="5:9">
      <c r="E156" t="s">
        <v>2205</v>
      </c>
      <c r="I156" s="24"/>
    </row>
    <row r="157" spans="5:9">
      <c r="E157" t="s">
        <v>2206</v>
      </c>
      <c r="I157" s="24"/>
    </row>
    <row r="158" spans="5:9">
      <c r="E158" t="s">
        <v>2207</v>
      </c>
      <c r="I158" s="24"/>
    </row>
    <row r="159" spans="5:9">
      <c r="E159" t="s">
        <v>2208</v>
      </c>
      <c r="I159" s="24"/>
    </row>
    <row r="160" spans="5:9">
      <c r="E160" t="s">
        <v>2209</v>
      </c>
      <c r="I160" s="24"/>
    </row>
    <row r="161" spans="5:9">
      <c r="E161" t="s">
        <v>2210</v>
      </c>
      <c r="I161" s="24"/>
    </row>
    <row r="162" spans="5:9">
      <c r="E162" t="s">
        <v>2211</v>
      </c>
      <c r="I162" s="24"/>
    </row>
    <row r="163" spans="5:9">
      <c r="E163" t="s">
        <v>2212</v>
      </c>
      <c r="I163" s="24"/>
    </row>
    <row r="164" spans="5:9">
      <c r="E164" t="s">
        <v>2213</v>
      </c>
      <c r="I164" s="24"/>
    </row>
    <row r="165" spans="5:9">
      <c r="E165" t="s">
        <v>2214</v>
      </c>
      <c r="I165" s="24"/>
    </row>
    <row r="166" spans="5:9">
      <c r="E166" t="s">
        <v>2215</v>
      </c>
      <c r="I166" s="24"/>
    </row>
    <row r="167" spans="5:9">
      <c r="E167" t="s">
        <v>2199</v>
      </c>
      <c r="I167" s="24"/>
    </row>
    <row r="168" spans="5:9">
      <c r="E168" t="s">
        <v>2216</v>
      </c>
      <c r="I168" s="24"/>
    </row>
    <row r="169" spans="5:9">
      <c r="E169" t="s">
        <v>2217</v>
      </c>
      <c r="I169" s="24"/>
    </row>
    <row r="170" spans="5:9">
      <c r="E170" t="s">
        <v>2218</v>
      </c>
      <c r="I170" s="24"/>
    </row>
    <row r="171" spans="5:9">
      <c r="E171" t="s">
        <v>2219</v>
      </c>
      <c r="I171" s="24"/>
    </row>
    <row r="172" spans="5:9">
      <c r="E172" t="s">
        <v>2220</v>
      </c>
      <c r="I172" s="24"/>
    </row>
    <row r="173" spans="5:9">
      <c r="E173" t="s">
        <v>2221</v>
      </c>
      <c r="I173" s="24"/>
    </row>
    <row r="174" spans="5:9">
      <c r="E174" t="s">
        <v>2222</v>
      </c>
      <c r="I174" s="24"/>
    </row>
    <row r="175" spans="5:9">
      <c r="E175" t="s">
        <v>2223</v>
      </c>
      <c r="I175" s="24"/>
    </row>
    <row r="176" spans="5:9">
      <c r="E176" t="s">
        <v>2224</v>
      </c>
      <c r="I176" s="24"/>
    </row>
    <row r="177" spans="5:9">
      <c r="E177" t="s">
        <v>2225</v>
      </c>
      <c r="I177" s="24"/>
    </row>
    <row r="178" spans="5:9">
      <c r="E178" t="s">
        <v>2226</v>
      </c>
      <c r="I178" s="24"/>
    </row>
    <row r="179" spans="5:9">
      <c r="E179" t="s">
        <v>2227</v>
      </c>
      <c r="I179" s="24"/>
    </row>
    <row r="180" spans="5:9">
      <c r="E180" t="s">
        <v>2228</v>
      </c>
      <c r="I180" s="24"/>
    </row>
    <row r="181" spans="5:9">
      <c r="E181" t="s">
        <v>2229</v>
      </c>
      <c r="I181" s="24"/>
    </row>
    <row r="182" spans="5:9">
      <c r="E182" t="s">
        <v>2230</v>
      </c>
      <c r="I182" s="24"/>
    </row>
    <row r="183" spans="5:9">
      <c r="E183" t="s">
        <v>2231</v>
      </c>
      <c r="I183" s="24"/>
    </row>
    <row r="184" spans="5:9">
      <c r="E184" t="s">
        <v>2232</v>
      </c>
      <c r="I184" s="24"/>
    </row>
    <row r="185" spans="5:9">
      <c r="E185" t="s">
        <v>2233</v>
      </c>
      <c r="I185" s="24"/>
    </row>
    <row r="186" spans="5:9">
      <c r="E186" t="s">
        <v>2234</v>
      </c>
      <c r="I186" s="24"/>
    </row>
    <row r="187" spans="5:9">
      <c r="E187" t="s">
        <v>2235</v>
      </c>
      <c r="I187" s="24"/>
    </row>
    <row r="188" spans="5:9">
      <c r="E188" t="s">
        <v>2236</v>
      </c>
      <c r="I188" s="24"/>
    </row>
    <row r="189" spans="5:9">
      <c r="E189" t="s">
        <v>2237</v>
      </c>
      <c r="I189" s="24"/>
    </row>
    <row r="190" spans="5:9">
      <c r="E190" t="s">
        <v>2238</v>
      </c>
      <c r="I190" s="24"/>
    </row>
    <row r="191" spans="5:9">
      <c r="E191" t="s">
        <v>2239</v>
      </c>
      <c r="I191" s="24"/>
    </row>
    <row r="192" spans="5:9">
      <c r="E192" t="s">
        <v>2240</v>
      </c>
      <c r="I192" s="24"/>
    </row>
    <row r="193" spans="5:9">
      <c r="E193" t="s">
        <v>2241</v>
      </c>
      <c r="I193" s="24"/>
    </row>
    <row r="194" spans="5:9">
      <c r="E194" t="s">
        <v>2242</v>
      </c>
      <c r="I194" s="24"/>
    </row>
    <row r="195" spans="5:9">
      <c r="E195" t="s">
        <v>2243</v>
      </c>
      <c r="I195" s="24"/>
    </row>
    <row r="196" spans="5:9">
      <c r="E196" t="s">
        <v>2244</v>
      </c>
      <c r="I196" s="24"/>
    </row>
    <row r="197" spans="5:9">
      <c r="E197" t="s">
        <v>2245</v>
      </c>
      <c r="I197" s="24"/>
    </row>
    <row r="198" spans="5:9">
      <c r="E198" s="25" t="s">
        <v>2246</v>
      </c>
      <c r="I198" s="24"/>
    </row>
    <row r="199" spans="5:9">
      <c r="E199" t="s">
        <v>2247</v>
      </c>
      <c r="I199" s="24"/>
    </row>
    <row r="200" spans="5:9">
      <c r="E200" t="s">
        <v>2248</v>
      </c>
      <c r="I200" s="24"/>
    </row>
    <row r="201" spans="5:9">
      <c r="E201" t="s">
        <v>2249</v>
      </c>
      <c r="I201" s="24"/>
    </row>
    <row r="202" spans="5:9">
      <c r="E202" t="s">
        <v>2250</v>
      </c>
      <c r="I202" s="24"/>
    </row>
    <row r="203" spans="5:9">
      <c r="E203" t="s">
        <v>2251</v>
      </c>
      <c r="I203" s="24"/>
    </row>
    <row r="204" spans="5:9">
      <c r="E204" t="s">
        <v>2252</v>
      </c>
      <c r="I204" s="24"/>
    </row>
    <row r="205" spans="5:9">
      <c r="E205" t="s">
        <v>2253</v>
      </c>
      <c r="I205" s="24"/>
    </row>
    <row r="206" spans="5:9">
      <c r="E206" t="s">
        <v>2254</v>
      </c>
      <c r="I206" s="24"/>
    </row>
    <row r="207" spans="5:9">
      <c r="E207" t="s">
        <v>2255</v>
      </c>
      <c r="I207" s="24"/>
    </row>
    <row r="208" spans="5:9">
      <c r="E208" t="s">
        <v>2256</v>
      </c>
      <c r="I208" s="24"/>
    </row>
    <row r="209" spans="5:9">
      <c r="E209" t="s">
        <v>2257</v>
      </c>
      <c r="I209" s="24"/>
    </row>
    <row r="210" spans="5:9">
      <c r="E210" t="s">
        <v>2258</v>
      </c>
      <c r="I210" s="24"/>
    </row>
    <row r="211" spans="5:9">
      <c r="E211" t="s">
        <v>2259</v>
      </c>
      <c r="I211" s="24"/>
    </row>
    <row r="212" spans="5:9">
      <c r="E212" t="s">
        <v>2260</v>
      </c>
      <c r="I212" s="24"/>
    </row>
    <row r="213" spans="5:9">
      <c r="E213" t="s">
        <v>2261</v>
      </c>
      <c r="I213" s="24"/>
    </row>
    <row r="214" spans="5:9">
      <c r="E214" t="s">
        <v>2262</v>
      </c>
      <c r="I214" s="24"/>
    </row>
    <row r="215" spans="5:9">
      <c r="E215" t="s">
        <v>2263</v>
      </c>
      <c r="I215" s="24"/>
    </row>
    <row r="216" spans="5:9">
      <c r="E216" t="s">
        <v>2264</v>
      </c>
      <c r="I216" s="24"/>
    </row>
    <row r="217" spans="5:9">
      <c r="E217" t="s">
        <v>2265</v>
      </c>
      <c r="I217" s="24"/>
    </row>
    <row r="218" spans="5:9">
      <c r="E218" t="s">
        <v>2266</v>
      </c>
      <c r="I218" s="24"/>
    </row>
    <row r="219" spans="5:9">
      <c r="E219" t="s">
        <v>2267</v>
      </c>
      <c r="I219" s="24"/>
    </row>
    <row r="220" spans="5:9">
      <c r="E220" t="s">
        <v>2268</v>
      </c>
      <c r="I220" s="24"/>
    </row>
    <row r="221" spans="5:9">
      <c r="E221" t="s">
        <v>2269</v>
      </c>
      <c r="I221" s="24"/>
    </row>
    <row r="222" spans="5:9">
      <c r="E222" t="s">
        <v>2270</v>
      </c>
      <c r="I222" s="24"/>
    </row>
    <row r="223" spans="5:9">
      <c r="E223" t="s">
        <v>2271</v>
      </c>
      <c r="I223" s="24"/>
    </row>
    <row r="224" spans="5:9">
      <c r="E224" t="s">
        <v>2272</v>
      </c>
      <c r="I224" s="24"/>
    </row>
    <row r="225" spans="5:9">
      <c r="E225" t="s">
        <v>2273</v>
      </c>
      <c r="I225" s="24"/>
    </row>
    <row r="226" spans="5:9">
      <c r="E226" t="s">
        <v>2274</v>
      </c>
      <c r="I226" s="24"/>
    </row>
    <row r="227" spans="5:9">
      <c r="E227" t="s">
        <v>2275</v>
      </c>
      <c r="I227" s="24"/>
    </row>
    <row r="228" spans="5:9">
      <c r="E228" t="s">
        <v>2276</v>
      </c>
      <c r="I228" s="24"/>
    </row>
    <row r="229" spans="5:9">
      <c r="E229" t="s">
        <v>2277</v>
      </c>
      <c r="I229" s="24"/>
    </row>
    <row r="230" spans="5:9">
      <c r="E230" t="s">
        <v>2278</v>
      </c>
      <c r="I230" s="24"/>
    </row>
    <row r="231" spans="5:9">
      <c r="E231" t="s">
        <v>2279</v>
      </c>
      <c r="I231" s="24"/>
    </row>
    <row r="232" spans="5:9">
      <c r="E232" t="s">
        <v>2280</v>
      </c>
      <c r="I232" s="24"/>
    </row>
    <row r="233" spans="5:9">
      <c r="E233" t="s">
        <v>2281</v>
      </c>
      <c r="I233" s="24"/>
    </row>
    <row r="234" spans="5:9">
      <c r="E234" t="s">
        <v>2282</v>
      </c>
      <c r="I234" s="24"/>
    </row>
    <row r="235" spans="5:9">
      <c r="I235" s="24"/>
    </row>
    <row r="236" spans="5:9">
      <c r="I236" s="24"/>
    </row>
    <row r="237" spans="5:9">
      <c r="I237" s="24"/>
    </row>
    <row r="238" spans="5:9">
      <c r="I238" s="24"/>
    </row>
    <row r="239" spans="5:9">
      <c r="I239" s="24"/>
    </row>
    <row r="240" spans="5:9">
      <c r="I240" s="24"/>
    </row>
    <row r="241" spans="9:9">
      <c r="I241" s="24"/>
    </row>
    <row r="242" spans="9:9">
      <c r="I242" s="24"/>
    </row>
    <row r="243" spans="9:9">
      <c r="I243" s="24"/>
    </row>
    <row r="244" spans="9:9">
      <c r="I244" s="24"/>
    </row>
    <row r="245" spans="9:9">
      <c r="I245" s="24"/>
    </row>
    <row r="246" spans="9:9">
      <c r="I246" s="24"/>
    </row>
    <row r="247" spans="9:9">
      <c r="I247" s="24"/>
    </row>
    <row r="248" spans="9:9">
      <c r="I248" s="24"/>
    </row>
    <row r="249" spans="9:9">
      <c r="I249" s="24"/>
    </row>
    <row r="250" spans="9:9">
      <c r="I250" s="24"/>
    </row>
    <row r="251" spans="9:9">
      <c r="I251" s="24"/>
    </row>
    <row r="252" spans="9:9">
      <c r="I252" s="24"/>
    </row>
    <row r="253" spans="9:9">
      <c r="I253" s="24"/>
    </row>
    <row r="254" spans="9:9">
      <c r="I254" s="24"/>
    </row>
    <row r="255" spans="9:9">
      <c r="I255" s="24"/>
    </row>
    <row r="256" spans="9:9">
      <c r="I256" s="24"/>
    </row>
    <row r="257" spans="9:9">
      <c r="I257" s="24"/>
    </row>
    <row r="258" spans="9:9">
      <c r="I258" s="24"/>
    </row>
    <row r="259" spans="9:9">
      <c r="I259" s="24"/>
    </row>
    <row r="260" spans="9:9">
      <c r="I260" s="24"/>
    </row>
    <row r="261" spans="9:9">
      <c r="I261" s="24"/>
    </row>
    <row r="262" spans="9:9">
      <c r="I262" s="24"/>
    </row>
    <row r="263" spans="9:9">
      <c r="I263" s="24"/>
    </row>
    <row r="264" spans="9:9">
      <c r="I264" s="24"/>
    </row>
    <row r="265" spans="9:9">
      <c r="I265" s="24"/>
    </row>
    <row r="266" spans="9:9">
      <c r="I266" s="24"/>
    </row>
    <row r="267" spans="9:9">
      <c r="I267" s="24"/>
    </row>
    <row r="268" spans="9:9">
      <c r="I268" s="24"/>
    </row>
    <row r="269" spans="9:9">
      <c r="I269" s="24"/>
    </row>
    <row r="270" spans="9:9">
      <c r="I270" s="24"/>
    </row>
    <row r="271" spans="9:9">
      <c r="I271" s="24"/>
    </row>
    <row r="272" spans="9:9">
      <c r="I272" s="24"/>
    </row>
    <row r="273" spans="9:9">
      <c r="I273" s="24"/>
    </row>
    <row r="274" spans="9:9">
      <c r="I274" s="24"/>
    </row>
    <row r="275" spans="9:9">
      <c r="I275" s="24"/>
    </row>
    <row r="276" spans="9:9">
      <c r="I276" s="24"/>
    </row>
    <row r="277" spans="9:9">
      <c r="I277" s="24"/>
    </row>
    <row r="278" spans="9:9">
      <c r="I278" s="24"/>
    </row>
    <row r="279" spans="9:9">
      <c r="I279" s="24"/>
    </row>
    <row r="280" spans="9:9">
      <c r="I280" s="24"/>
    </row>
    <row r="281" spans="9:9">
      <c r="I281" s="24"/>
    </row>
    <row r="282" spans="9:9">
      <c r="I282" s="24"/>
    </row>
    <row r="283" spans="9:9">
      <c r="I283" s="24"/>
    </row>
    <row r="284" spans="9:9">
      <c r="I284" s="24"/>
    </row>
    <row r="285" spans="9:9">
      <c r="I285" s="24"/>
    </row>
    <row r="286" spans="9:9">
      <c r="I286" s="24"/>
    </row>
    <row r="287" spans="9:9">
      <c r="I287" s="24"/>
    </row>
    <row r="288" spans="9:9">
      <c r="I288" s="24"/>
    </row>
    <row r="289" spans="9:9">
      <c r="I289" s="24"/>
    </row>
    <row r="290" spans="9:9">
      <c r="I290" s="24"/>
    </row>
    <row r="291" spans="9:9">
      <c r="I291" s="24"/>
    </row>
    <row r="292" spans="9:9">
      <c r="I292" s="24"/>
    </row>
    <row r="293" spans="9:9">
      <c r="I293" s="24"/>
    </row>
    <row r="294" spans="9:9">
      <c r="I294" s="24"/>
    </row>
    <row r="295" spans="9:9">
      <c r="I295" s="24"/>
    </row>
    <row r="296" spans="9:9">
      <c r="I296" s="24"/>
    </row>
    <row r="297" spans="9:9">
      <c r="I297" s="24"/>
    </row>
    <row r="298" spans="9:9">
      <c r="I298" s="24"/>
    </row>
    <row r="299" spans="9:9">
      <c r="I299" s="24"/>
    </row>
    <row r="300" spans="9:9">
      <c r="I300" s="24"/>
    </row>
    <row r="301" spans="9:9">
      <c r="I301" s="24"/>
    </row>
    <row r="302" spans="9:9">
      <c r="I302" s="24"/>
    </row>
    <row r="303" spans="9:9">
      <c r="I303" s="24"/>
    </row>
    <row r="304" spans="9:9">
      <c r="I304" s="24"/>
    </row>
    <row r="305" spans="9:9">
      <c r="I305" s="24"/>
    </row>
    <row r="306" spans="9:9">
      <c r="I306" s="24"/>
    </row>
    <row r="307" spans="9:9">
      <c r="I307" s="24"/>
    </row>
    <row r="308" spans="9:9">
      <c r="I308" s="24"/>
    </row>
    <row r="309" spans="9:9">
      <c r="I309" s="24"/>
    </row>
    <row r="310" spans="9:9">
      <c r="I310" s="24"/>
    </row>
    <row r="311" spans="9:9">
      <c r="I311" s="24"/>
    </row>
    <row r="312" spans="9:9">
      <c r="I312" s="24"/>
    </row>
    <row r="313" spans="9:9">
      <c r="I313" s="24"/>
    </row>
    <row r="314" spans="9:9">
      <c r="I314" s="24"/>
    </row>
    <row r="315" spans="9:9">
      <c r="I315" s="24"/>
    </row>
    <row r="316" spans="9:9">
      <c r="I316" s="24"/>
    </row>
    <row r="317" spans="9:9">
      <c r="I317" s="24"/>
    </row>
    <row r="318" spans="9:9">
      <c r="I318" s="24"/>
    </row>
    <row r="319" spans="9:9">
      <c r="I319" s="24"/>
    </row>
    <row r="320" spans="9:9">
      <c r="I320" s="24"/>
    </row>
    <row r="321" spans="9:9">
      <c r="I321" s="24"/>
    </row>
    <row r="322" spans="9:9">
      <c r="I322" s="24"/>
    </row>
    <row r="323" spans="9:9">
      <c r="I323" s="24"/>
    </row>
    <row r="324" spans="9:9">
      <c r="I324" s="24"/>
    </row>
    <row r="325" spans="9:9">
      <c r="I325" s="24"/>
    </row>
    <row r="326" spans="9:9">
      <c r="I326" s="24"/>
    </row>
    <row r="327" spans="9:9">
      <c r="I327" s="24"/>
    </row>
    <row r="328" spans="9:9">
      <c r="I328" s="24"/>
    </row>
    <row r="329" spans="9:9">
      <c r="I329" s="24"/>
    </row>
    <row r="330" spans="9:9">
      <c r="I330" s="24"/>
    </row>
    <row r="331" spans="9:9">
      <c r="I331" s="24"/>
    </row>
    <row r="332" spans="9:9">
      <c r="I332" s="24"/>
    </row>
    <row r="333" spans="9:9">
      <c r="I333" s="24"/>
    </row>
    <row r="334" spans="9:9">
      <c r="I334" s="24"/>
    </row>
    <row r="335" spans="9:9">
      <c r="I335" s="24"/>
    </row>
    <row r="336" spans="9:9">
      <c r="I336" s="24"/>
    </row>
    <row r="337" spans="9:9">
      <c r="I337" s="24"/>
    </row>
    <row r="338" spans="9:9">
      <c r="I338" s="24"/>
    </row>
    <row r="339" spans="9:9">
      <c r="I339" s="24"/>
    </row>
    <row r="340" spans="9:9">
      <c r="I340" s="24"/>
    </row>
    <row r="341" spans="9:9">
      <c r="I341" s="24"/>
    </row>
    <row r="342" spans="9:9">
      <c r="I342" s="24"/>
    </row>
    <row r="343" spans="9:9">
      <c r="I343" s="24"/>
    </row>
    <row r="344" spans="9:9">
      <c r="I344" s="24"/>
    </row>
    <row r="345" spans="9:9">
      <c r="I345" s="24"/>
    </row>
    <row r="346" spans="9:9">
      <c r="I346" s="24"/>
    </row>
    <row r="347" spans="9:9">
      <c r="I347" s="24"/>
    </row>
    <row r="348" spans="9:9">
      <c r="I348" s="24"/>
    </row>
    <row r="349" spans="9:9">
      <c r="I349" s="24"/>
    </row>
    <row r="350" spans="9:9">
      <c r="I350" s="24"/>
    </row>
    <row r="351" spans="9:9">
      <c r="I351" s="24"/>
    </row>
    <row r="352" spans="9:9">
      <c r="I352" s="24"/>
    </row>
    <row r="353" spans="9:9">
      <c r="I353" s="24"/>
    </row>
    <row r="354" spans="9:9">
      <c r="I354" s="24"/>
    </row>
    <row r="355" spans="9:9">
      <c r="I355" s="24"/>
    </row>
    <row r="356" spans="9:9">
      <c r="I356" s="24"/>
    </row>
    <row r="357" spans="9:9">
      <c r="I357" s="24"/>
    </row>
    <row r="358" spans="9:9">
      <c r="I358" s="24"/>
    </row>
    <row r="359" spans="9:9">
      <c r="I359" s="24"/>
    </row>
    <row r="360" spans="9:9">
      <c r="I360" s="24"/>
    </row>
    <row r="361" spans="9:9">
      <c r="I361" s="24"/>
    </row>
    <row r="362" spans="9:9">
      <c r="I362" s="24"/>
    </row>
    <row r="363" spans="9:9">
      <c r="I363" s="24"/>
    </row>
    <row r="364" spans="9:9">
      <c r="I364" s="24"/>
    </row>
    <row r="365" spans="9:9">
      <c r="I365" s="24"/>
    </row>
    <row r="366" spans="9:9">
      <c r="I366" s="24"/>
    </row>
    <row r="367" spans="9:9">
      <c r="I367" s="24"/>
    </row>
    <row r="368" spans="9:9">
      <c r="I368" s="24"/>
    </row>
    <row r="369" spans="9:9">
      <c r="I369" s="24"/>
    </row>
    <row r="370" spans="9:9">
      <c r="I370" s="24"/>
    </row>
    <row r="371" spans="9:9">
      <c r="I371" s="24"/>
    </row>
    <row r="372" spans="9:9">
      <c r="I372" s="24"/>
    </row>
    <row r="373" spans="9:9">
      <c r="I373" s="24"/>
    </row>
    <row r="374" spans="9:9">
      <c r="I374" s="24"/>
    </row>
    <row r="375" spans="9:9">
      <c r="I375" s="24"/>
    </row>
    <row r="376" spans="9:9">
      <c r="I376" s="24"/>
    </row>
    <row r="377" spans="9:9">
      <c r="I377" s="24"/>
    </row>
    <row r="378" spans="9:9">
      <c r="I378" s="24"/>
    </row>
    <row r="379" spans="9:9">
      <c r="I379" s="24"/>
    </row>
    <row r="380" spans="9:9">
      <c r="I380" s="24"/>
    </row>
    <row r="381" spans="9:9">
      <c r="I381" s="24"/>
    </row>
    <row r="382" spans="9:9">
      <c r="I382" s="24"/>
    </row>
    <row r="383" spans="9:9">
      <c r="I383" s="24"/>
    </row>
    <row r="384" spans="9:9">
      <c r="I384" s="24"/>
    </row>
    <row r="385" spans="9:9">
      <c r="I385" s="24"/>
    </row>
    <row r="386" spans="9:9">
      <c r="I386" s="24"/>
    </row>
    <row r="387" spans="9:9">
      <c r="I387" s="24"/>
    </row>
    <row r="388" spans="9:9">
      <c r="I388" s="24"/>
    </row>
    <row r="389" spans="9:9">
      <c r="I389" s="24"/>
    </row>
    <row r="390" spans="9:9">
      <c r="I390" s="24"/>
    </row>
    <row r="391" spans="9:9">
      <c r="I391" s="24"/>
    </row>
    <row r="392" spans="9:9">
      <c r="I392" s="24"/>
    </row>
    <row r="393" spans="9:9">
      <c r="I393" s="24"/>
    </row>
    <row r="394" spans="9:9">
      <c r="I394" s="24"/>
    </row>
    <row r="395" spans="9:9">
      <c r="I395" s="24"/>
    </row>
    <row r="396" spans="9:9">
      <c r="I396" s="24"/>
    </row>
    <row r="397" spans="9:9">
      <c r="I397" s="24"/>
    </row>
    <row r="398" spans="9:9">
      <c r="I398" s="24"/>
    </row>
    <row r="399" spans="9:9">
      <c r="I399" s="24"/>
    </row>
    <row r="400" spans="9:9">
      <c r="I400" s="24"/>
    </row>
    <row r="401" spans="9:9">
      <c r="I401" s="24"/>
    </row>
    <row r="402" spans="9:9">
      <c r="I402" s="24"/>
    </row>
    <row r="403" spans="9:9">
      <c r="I403" s="24"/>
    </row>
    <row r="404" spans="9:9">
      <c r="I404" s="24"/>
    </row>
    <row r="405" spans="9:9">
      <c r="I405" s="24"/>
    </row>
    <row r="406" spans="9:9">
      <c r="I406" s="24"/>
    </row>
    <row r="407" spans="9:9">
      <c r="I407" s="24"/>
    </row>
    <row r="408" spans="9:9">
      <c r="I408" s="24"/>
    </row>
    <row r="409" spans="9:9">
      <c r="I409" s="24"/>
    </row>
    <row r="410" spans="9:9">
      <c r="I410" s="24"/>
    </row>
    <row r="411" spans="9:9">
      <c r="I411" s="24"/>
    </row>
    <row r="412" spans="9:9">
      <c r="I412" s="24"/>
    </row>
    <row r="413" spans="9:9">
      <c r="I413" s="24"/>
    </row>
    <row r="414" spans="9:9">
      <c r="I414" s="24"/>
    </row>
    <row r="415" spans="9:9">
      <c r="I415" s="24"/>
    </row>
    <row r="416" spans="9:9">
      <c r="I416" s="24"/>
    </row>
    <row r="417" spans="9:9">
      <c r="I417" s="24"/>
    </row>
    <row r="418" spans="9:9">
      <c r="I418" s="24"/>
    </row>
    <row r="419" spans="9:9">
      <c r="I419" s="24"/>
    </row>
    <row r="420" spans="9:9">
      <c r="I420" s="24"/>
    </row>
    <row r="421" spans="9:9">
      <c r="I421" s="24"/>
    </row>
    <row r="422" spans="9:9">
      <c r="I422" s="24"/>
    </row>
    <row r="423" spans="9:9">
      <c r="I423" s="24"/>
    </row>
    <row r="424" spans="9:9">
      <c r="I424" s="24"/>
    </row>
    <row r="425" spans="9:9">
      <c r="I425" s="24"/>
    </row>
    <row r="426" spans="9:9">
      <c r="I426" s="24"/>
    </row>
    <row r="427" spans="9:9">
      <c r="I427" s="24"/>
    </row>
    <row r="428" spans="9:9">
      <c r="I428" s="24"/>
    </row>
    <row r="429" spans="9:9">
      <c r="I429" s="24"/>
    </row>
    <row r="430" spans="9:9">
      <c r="I430" s="24"/>
    </row>
    <row r="431" spans="9:9">
      <c r="I431" s="24"/>
    </row>
    <row r="432" spans="9:9">
      <c r="I432" s="24"/>
    </row>
    <row r="433" spans="9:9">
      <c r="I433" s="24"/>
    </row>
    <row r="434" spans="9:9">
      <c r="I434" s="24"/>
    </row>
    <row r="435" spans="9:9">
      <c r="I435" s="24"/>
    </row>
    <row r="436" spans="9:9">
      <c r="I436" s="24"/>
    </row>
    <row r="437" spans="9:9">
      <c r="I437" s="24"/>
    </row>
    <row r="438" spans="9:9">
      <c r="I438" s="24"/>
    </row>
    <row r="439" spans="9:9">
      <c r="I439" s="24"/>
    </row>
    <row r="440" spans="9:9">
      <c r="I440" s="24"/>
    </row>
    <row r="441" spans="9:9">
      <c r="I441" s="24"/>
    </row>
    <row r="442" spans="9:9">
      <c r="I442" s="24"/>
    </row>
    <row r="443" spans="9:9">
      <c r="I443" s="24"/>
    </row>
    <row r="444" spans="9:9">
      <c r="I444" s="24"/>
    </row>
    <row r="445" spans="9:9">
      <c r="I445" s="24"/>
    </row>
    <row r="446" spans="9:9">
      <c r="I446" s="24"/>
    </row>
    <row r="447" spans="9:9">
      <c r="I447" s="24"/>
    </row>
    <row r="448" spans="9:9">
      <c r="I448" s="24"/>
    </row>
    <row r="449" spans="9:9">
      <c r="I449" s="24"/>
    </row>
    <row r="450" spans="9:9">
      <c r="I450" s="24"/>
    </row>
    <row r="451" spans="9:9">
      <c r="I451" s="24"/>
    </row>
    <row r="452" spans="9:9">
      <c r="I452" s="24"/>
    </row>
    <row r="453" spans="9:9">
      <c r="I453" s="24"/>
    </row>
    <row r="454" spans="9:9">
      <c r="I454" s="24"/>
    </row>
    <row r="455" spans="9:9">
      <c r="I455" s="24"/>
    </row>
    <row r="456" spans="9:9">
      <c r="I456" s="24"/>
    </row>
    <row r="457" spans="9:9">
      <c r="I457" s="24"/>
    </row>
    <row r="458" spans="9:9">
      <c r="I458" s="24"/>
    </row>
    <row r="459" spans="9:9">
      <c r="I459" s="24"/>
    </row>
    <row r="460" spans="9:9">
      <c r="I460" s="24"/>
    </row>
    <row r="461" spans="9:9">
      <c r="I461" s="24"/>
    </row>
    <row r="462" spans="9:9">
      <c r="I462" s="24"/>
    </row>
    <row r="463" spans="9:9">
      <c r="I463" s="24"/>
    </row>
    <row r="464" spans="9:9">
      <c r="I464" s="24"/>
    </row>
    <row r="465" spans="9:9">
      <c r="I465" s="24"/>
    </row>
    <row r="466" spans="9:9">
      <c r="I466" s="24"/>
    </row>
    <row r="467" spans="9:9">
      <c r="I467" s="24"/>
    </row>
    <row r="468" spans="9:9">
      <c r="I468" s="24"/>
    </row>
    <row r="469" spans="9:9">
      <c r="I469" s="24"/>
    </row>
    <row r="470" spans="9:9">
      <c r="I470" s="24"/>
    </row>
    <row r="471" spans="9:9">
      <c r="I471" s="24"/>
    </row>
    <row r="472" spans="9:9">
      <c r="I472" s="24"/>
    </row>
    <row r="473" spans="9:9">
      <c r="I473" s="24"/>
    </row>
    <row r="474" spans="9:9">
      <c r="I474" s="24"/>
    </row>
    <row r="475" spans="9:9">
      <c r="I475" s="24"/>
    </row>
    <row r="476" spans="9:9">
      <c r="I476" s="24"/>
    </row>
    <row r="477" spans="9:9">
      <c r="I477" s="24"/>
    </row>
    <row r="478" spans="9:9">
      <c r="I478" s="24"/>
    </row>
    <row r="479" spans="9:9">
      <c r="I479" s="24"/>
    </row>
    <row r="480" spans="9:9">
      <c r="I480" s="24"/>
    </row>
    <row r="481" spans="9:9">
      <c r="I481" s="24"/>
    </row>
    <row r="482" spans="9:9">
      <c r="I482" s="24"/>
    </row>
    <row r="483" spans="9:9">
      <c r="I483" s="24"/>
    </row>
    <row r="484" spans="9:9">
      <c r="I484" s="24"/>
    </row>
    <row r="485" spans="9:9">
      <c r="I485" s="24"/>
    </row>
    <row r="486" spans="9:9">
      <c r="I486" s="24"/>
    </row>
    <row r="487" spans="9:9">
      <c r="I487" s="24"/>
    </row>
    <row r="488" spans="9:9">
      <c r="I488" s="24"/>
    </row>
    <row r="489" spans="9:9">
      <c r="I489" s="24"/>
    </row>
    <row r="490" spans="9:9">
      <c r="I490" s="24"/>
    </row>
    <row r="491" spans="9:9">
      <c r="I491" s="24"/>
    </row>
    <row r="492" spans="9:9">
      <c r="I492" s="24"/>
    </row>
    <row r="493" spans="9:9">
      <c r="I493" s="24"/>
    </row>
    <row r="494" spans="9:9">
      <c r="I494" s="24"/>
    </row>
    <row r="495" spans="9:9">
      <c r="I495" s="24"/>
    </row>
    <row r="496" spans="9:9">
      <c r="I496" s="24"/>
    </row>
    <row r="497" spans="9:9">
      <c r="I497" s="24"/>
    </row>
    <row r="498" spans="9:9">
      <c r="I498" s="24"/>
    </row>
    <row r="499" spans="9:9">
      <c r="I499" s="24"/>
    </row>
    <row r="500" spans="9:9">
      <c r="I500" s="24"/>
    </row>
    <row r="501" spans="9:9">
      <c r="I501" s="24"/>
    </row>
    <row r="502" spans="9:9">
      <c r="I502" s="24"/>
    </row>
    <row r="503" spans="9:9">
      <c r="I503" s="24"/>
    </row>
    <row r="504" spans="9:9">
      <c r="I504" s="24"/>
    </row>
    <row r="505" spans="9:9">
      <c r="I505" s="24"/>
    </row>
    <row r="506" spans="9:9">
      <c r="I506" s="24"/>
    </row>
    <row r="507" spans="9:9">
      <c r="I507" s="24"/>
    </row>
    <row r="508" spans="9:9">
      <c r="I508" s="24"/>
    </row>
    <row r="509" spans="9:9">
      <c r="I509" s="24"/>
    </row>
    <row r="510" spans="9:9">
      <c r="I510" s="24"/>
    </row>
    <row r="511" spans="9:9">
      <c r="I511" s="24"/>
    </row>
    <row r="512" spans="9:9">
      <c r="I512" s="24"/>
    </row>
    <row r="513" spans="9:9">
      <c r="I513" s="24"/>
    </row>
    <row r="514" spans="9:9">
      <c r="I514" s="24"/>
    </row>
    <row r="515" spans="9:9">
      <c r="I515" s="24"/>
    </row>
    <row r="516" spans="9:9">
      <c r="I516" s="24"/>
    </row>
    <row r="517" spans="9:9">
      <c r="I517" s="24"/>
    </row>
    <row r="518" spans="9:9">
      <c r="I518" s="24"/>
    </row>
    <row r="519" spans="9:9">
      <c r="I519" s="24"/>
    </row>
    <row r="520" spans="9:9">
      <c r="I520" s="24"/>
    </row>
    <row r="521" spans="9:9">
      <c r="I521" s="24"/>
    </row>
    <row r="522" spans="9:9">
      <c r="I522" s="24"/>
    </row>
    <row r="523" spans="9:9">
      <c r="I523" s="24"/>
    </row>
    <row r="524" spans="9:9">
      <c r="I524" s="24"/>
    </row>
    <row r="525" spans="9:9">
      <c r="I525" s="24"/>
    </row>
    <row r="526" spans="9:9">
      <c r="I526" s="24"/>
    </row>
    <row r="527" spans="9:9">
      <c r="I527" s="24"/>
    </row>
    <row r="528" spans="9:9">
      <c r="I528" s="24"/>
    </row>
    <row r="529" spans="9:9">
      <c r="I529" s="24"/>
    </row>
    <row r="530" spans="9:9">
      <c r="I530" s="24"/>
    </row>
    <row r="531" spans="9:9">
      <c r="I531" s="24"/>
    </row>
    <row r="532" spans="9:9">
      <c r="I532" s="24"/>
    </row>
    <row r="533" spans="9:9">
      <c r="I533" s="24"/>
    </row>
    <row r="534" spans="9:9">
      <c r="I534" s="24"/>
    </row>
    <row r="535" spans="9:9">
      <c r="I535" s="24"/>
    </row>
    <row r="536" spans="9:9">
      <c r="I536" s="24"/>
    </row>
    <row r="537" spans="9:9">
      <c r="I537" s="24"/>
    </row>
    <row r="538" spans="9:9">
      <c r="I538" s="24"/>
    </row>
    <row r="539" spans="9:9">
      <c r="I539" s="24"/>
    </row>
    <row r="540" spans="9:9">
      <c r="I540" s="24"/>
    </row>
    <row r="541" spans="9:9">
      <c r="I541" s="24"/>
    </row>
    <row r="542" spans="9:9">
      <c r="I542" s="24"/>
    </row>
    <row r="543" spans="9:9">
      <c r="I543" s="24"/>
    </row>
    <row r="544" spans="9:9">
      <c r="I544" s="24"/>
    </row>
    <row r="545" spans="9:9">
      <c r="I545" s="24"/>
    </row>
    <row r="546" spans="9:9">
      <c r="I546" s="24"/>
    </row>
    <row r="547" spans="9:9">
      <c r="I547" s="24"/>
    </row>
    <row r="548" spans="9:9">
      <c r="I548" s="24"/>
    </row>
    <row r="549" spans="9:9">
      <c r="I549" s="24"/>
    </row>
    <row r="550" spans="9:9">
      <c r="I550" s="24"/>
    </row>
    <row r="551" spans="9:9">
      <c r="I551" s="24"/>
    </row>
    <row r="552" spans="9:9">
      <c r="I552" s="24"/>
    </row>
    <row r="553" spans="9:9">
      <c r="I553" s="24"/>
    </row>
    <row r="554" spans="9:9">
      <c r="I554" s="24"/>
    </row>
    <row r="555" spans="9:9">
      <c r="I555" s="24"/>
    </row>
    <row r="556" spans="9:9">
      <c r="I556" s="24"/>
    </row>
    <row r="557" spans="9:9">
      <c r="I557" s="24"/>
    </row>
    <row r="558" spans="9:9">
      <c r="I558" s="24"/>
    </row>
    <row r="559" spans="9:9">
      <c r="I559" s="24"/>
    </row>
    <row r="560" spans="9:9">
      <c r="I560" s="24"/>
    </row>
    <row r="561" spans="9:9">
      <c r="I561" s="24"/>
    </row>
    <row r="562" spans="9:9">
      <c r="I562" s="24"/>
    </row>
    <row r="563" spans="9:9">
      <c r="I563" s="24"/>
    </row>
    <row r="564" spans="9:9">
      <c r="I564" s="24"/>
    </row>
    <row r="565" spans="9:9">
      <c r="I565" s="24"/>
    </row>
    <row r="566" spans="9:9">
      <c r="I566" s="24"/>
    </row>
    <row r="567" spans="9:9">
      <c r="I567" s="24"/>
    </row>
    <row r="568" spans="9:9">
      <c r="I568" s="24"/>
    </row>
    <row r="569" spans="9:9">
      <c r="I569" s="24"/>
    </row>
    <row r="570" spans="9:9">
      <c r="I570" s="24"/>
    </row>
    <row r="571" spans="9:9">
      <c r="I571" s="24"/>
    </row>
    <row r="572" spans="9:9">
      <c r="I572" s="24"/>
    </row>
    <row r="573" spans="9:9">
      <c r="I573" s="24"/>
    </row>
    <row r="574" spans="9:9">
      <c r="I574" s="24"/>
    </row>
    <row r="575" spans="9:9">
      <c r="I575" s="24"/>
    </row>
    <row r="576" spans="9:9">
      <c r="I576" s="24"/>
    </row>
    <row r="577" spans="9:9">
      <c r="I577" s="24"/>
    </row>
    <row r="578" spans="9:9">
      <c r="I578" s="24"/>
    </row>
    <row r="579" spans="9:9">
      <c r="I579" s="24"/>
    </row>
    <row r="580" spans="9:9">
      <c r="I580" s="24"/>
    </row>
    <row r="581" spans="9:9">
      <c r="I581" s="24"/>
    </row>
    <row r="582" spans="9:9">
      <c r="I582" s="24"/>
    </row>
    <row r="583" spans="9:9">
      <c r="I583" s="24"/>
    </row>
    <row r="584" spans="9:9">
      <c r="I584" s="24"/>
    </row>
    <row r="585" spans="9:9">
      <c r="I585" s="24"/>
    </row>
    <row r="586" spans="9:9">
      <c r="I586" s="24"/>
    </row>
    <row r="587" spans="9:9">
      <c r="I587" s="24"/>
    </row>
    <row r="588" spans="9:9">
      <c r="I588" s="24"/>
    </row>
    <row r="589" spans="9:9">
      <c r="I589" s="24"/>
    </row>
    <row r="590" spans="9:9">
      <c r="I590" s="24"/>
    </row>
    <row r="591" spans="9:9">
      <c r="I591" s="24"/>
    </row>
    <row r="592" spans="9:9">
      <c r="I592" s="24"/>
    </row>
    <row r="593" spans="9:9">
      <c r="I593" s="24"/>
    </row>
    <row r="594" spans="9:9">
      <c r="I594" s="24"/>
    </row>
    <row r="595" spans="9:9">
      <c r="I595" s="24"/>
    </row>
    <row r="596" spans="9:9">
      <c r="I596" s="24"/>
    </row>
    <row r="597" spans="9:9">
      <c r="I597" s="24"/>
    </row>
    <row r="598" spans="9:9">
      <c r="I598" s="24"/>
    </row>
    <row r="599" spans="9:9">
      <c r="I599" s="24"/>
    </row>
    <row r="600" spans="9:9">
      <c r="I600" s="24"/>
    </row>
    <row r="601" spans="9:9">
      <c r="I601" s="24"/>
    </row>
    <row r="602" spans="9:9">
      <c r="I602" s="24"/>
    </row>
    <row r="603" spans="9:9">
      <c r="I603" s="24"/>
    </row>
    <row r="604" spans="9:9">
      <c r="I604" s="24"/>
    </row>
    <row r="605" spans="9:9">
      <c r="I605" s="24"/>
    </row>
    <row r="606" spans="9:9">
      <c r="I606" s="24"/>
    </row>
    <row r="607" spans="9:9">
      <c r="I607" s="24"/>
    </row>
    <row r="608" spans="9:9">
      <c r="I608" s="24"/>
    </row>
    <row r="609" spans="9:9">
      <c r="I609" s="24"/>
    </row>
    <row r="610" spans="9:9">
      <c r="I610" s="24"/>
    </row>
    <row r="611" spans="9:9">
      <c r="I611" s="24"/>
    </row>
    <row r="612" spans="9:9">
      <c r="I612" s="24"/>
    </row>
    <row r="613" spans="9:9">
      <c r="I613" s="24"/>
    </row>
    <row r="614" spans="9:9">
      <c r="I614" s="24"/>
    </row>
    <row r="615" spans="9:9">
      <c r="I615" s="24"/>
    </row>
    <row r="616" spans="9:9">
      <c r="I616" s="24"/>
    </row>
    <row r="617" spans="9:9">
      <c r="I617" s="24"/>
    </row>
    <row r="618" spans="9:9">
      <c r="I618" s="24"/>
    </row>
    <row r="619" spans="9:9">
      <c r="I619" s="24"/>
    </row>
    <row r="620" spans="9:9">
      <c r="I620" s="24"/>
    </row>
    <row r="621" spans="9:9">
      <c r="I621" s="24"/>
    </row>
    <row r="622" spans="9:9">
      <c r="I622" s="24"/>
    </row>
    <row r="623" spans="9:9">
      <c r="I623" s="24"/>
    </row>
    <row r="624" spans="9:9">
      <c r="I624" s="24"/>
    </row>
    <row r="625" spans="9:9">
      <c r="I625" s="24"/>
    </row>
    <row r="626" spans="9:9">
      <c r="I626" s="24"/>
    </row>
    <row r="627" spans="9:9">
      <c r="I627" s="24"/>
    </row>
    <row r="628" spans="9:9">
      <c r="I628" s="24"/>
    </row>
    <row r="629" spans="9:9">
      <c r="I629" s="24"/>
    </row>
    <row r="630" spans="9:9">
      <c r="I630" s="24"/>
    </row>
    <row r="631" spans="9:9">
      <c r="I631" s="24"/>
    </row>
    <row r="632" spans="9:9">
      <c r="I632" s="24"/>
    </row>
    <row r="633" spans="9:9">
      <c r="I633" s="24"/>
    </row>
    <row r="634" spans="9:9">
      <c r="I634" s="24"/>
    </row>
    <row r="635" spans="9:9">
      <c r="I635" s="24"/>
    </row>
    <row r="636" spans="9:9">
      <c r="I636" s="24"/>
    </row>
    <row r="637" spans="9:9">
      <c r="I637" s="24"/>
    </row>
    <row r="638" spans="9:9">
      <c r="I638" s="24"/>
    </row>
    <row r="639" spans="9:9">
      <c r="I639" s="24"/>
    </row>
    <row r="640" spans="9:9">
      <c r="I640" s="24"/>
    </row>
    <row r="641" spans="9:9">
      <c r="I641" s="24"/>
    </row>
    <row r="642" spans="9:9">
      <c r="I642" s="24"/>
    </row>
    <row r="643" spans="9:9">
      <c r="I643" s="24"/>
    </row>
    <row r="644" spans="9:9">
      <c r="I644" s="24"/>
    </row>
    <row r="645" spans="9:9">
      <c r="I645" s="24"/>
    </row>
    <row r="646" spans="9:9">
      <c r="I646" s="24"/>
    </row>
    <row r="647" spans="9:9">
      <c r="I647" s="24"/>
    </row>
    <row r="648" spans="9:9">
      <c r="I648" s="24"/>
    </row>
    <row r="649" spans="9:9">
      <c r="I649" s="24"/>
    </row>
    <row r="650" spans="9:9">
      <c r="I650" s="24"/>
    </row>
    <row r="651" spans="9:9">
      <c r="I651" s="24"/>
    </row>
    <row r="652" spans="9:9">
      <c r="I652" s="24"/>
    </row>
    <row r="653" spans="9:9">
      <c r="I653" s="24"/>
    </row>
    <row r="654" spans="9:9">
      <c r="I654" s="24"/>
    </row>
    <row r="655" spans="9:9">
      <c r="I655" s="24"/>
    </row>
    <row r="656" spans="9:9">
      <c r="I656" s="24"/>
    </row>
    <row r="657" spans="9:9">
      <c r="I657" s="24"/>
    </row>
    <row r="658" spans="9:9">
      <c r="I658" s="24"/>
    </row>
    <row r="659" spans="9:9">
      <c r="I659" s="24"/>
    </row>
    <row r="660" spans="9:9">
      <c r="I660" s="24"/>
    </row>
    <row r="661" spans="9:9">
      <c r="I661" s="24"/>
    </row>
    <row r="662" spans="9:9">
      <c r="I662" s="24"/>
    </row>
    <row r="663" spans="9:9">
      <c r="I663" s="24"/>
    </row>
    <row r="664" spans="9:9">
      <c r="I664" s="24"/>
    </row>
    <row r="665" spans="9:9">
      <c r="I665" s="24"/>
    </row>
    <row r="666" spans="9:9">
      <c r="I666" s="24"/>
    </row>
    <row r="667" spans="9:9">
      <c r="I667" s="24"/>
    </row>
    <row r="668" spans="9:9">
      <c r="I668" s="24"/>
    </row>
    <row r="669" spans="9:9">
      <c r="I669" s="24"/>
    </row>
    <row r="670" spans="9:9">
      <c r="I670" s="24"/>
    </row>
    <row r="671" spans="9:9">
      <c r="I671" s="24"/>
    </row>
    <row r="672" spans="9:9">
      <c r="I672" s="24"/>
    </row>
    <row r="673" spans="9:9">
      <c r="I673" s="24"/>
    </row>
    <row r="674" spans="9:9">
      <c r="I674" s="24"/>
    </row>
    <row r="675" spans="9:9">
      <c r="I675" s="24"/>
    </row>
    <row r="676" spans="9:9">
      <c r="I676" s="24"/>
    </row>
    <row r="677" spans="9:9">
      <c r="I677" s="24"/>
    </row>
    <row r="678" spans="9:9">
      <c r="I678" s="24"/>
    </row>
    <row r="679" spans="9:9">
      <c r="I679" s="24"/>
    </row>
    <row r="680" spans="9:9">
      <c r="I680" s="24"/>
    </row>
    <row r="681" spans="9:9">
      <c r="I681" s="24"/>
    </row>
    <row r="682" spans="9:9">
      <c r="I682" s="24"/>
    </row>
    <row r="683" spans="9:9">
      <c r="I683" s="24"/>
    </row>
    <row r="684" spans="9:9">
      <c r="I684" s="24"/>
    </row>
    <row r="685" spans="9:9">
      <c r="I685" s="24"/>
    </row>
    <row r="686" spans="9:9">
      <c r="I686" s="24"/>
    </row>
    <row r="687" spans="9:9">
      <c r="I687" s="24"/>
    </row>
    <row r="688" spans="9:9">
      <c r="I688" s="24"/>
    </row>
    <row r="689" spans="9:9">
      <c r="I689" s="24"/>
    </row>
    <row r="690" spans="9:9">
      <c r="I690" s="24"/>
    </row>
    <row r="691" spans="9:9">
      <c r="I691" s="24"/>
    </row>
    <row r="692" spans="9:9">
      <c r="I692" s="24"/>
    </row>
    <row r="693" spans="9:9">
      <c r="I693" s="24"/>
    </row>
    <row r="694" spans="9:9">
      <c r="I694" s="24"/>
    </row>
    <row r="695" spans="9:9">
      <c r="I695" s="24"/>
    </row>
    <row r="696" spans="9:9">
      <c r="I696" s="24"/>
    </row>
    <row r="697" spans="9:9">
      <c r="I697" s="24"/>
    </row>
    <row r="698" spans="9:9">
      <c r="I698" s="24"/>
    </row>
    <row r="699" spans="9:9">
      <c r="I699" s="24"/>
    </row>
    <row r="700" spans="9:9">
      <c r="I700" s="24"/>
    </row>
    <row r="701" spans="9:9">
      <c r="I701" s="24"/>
    </row>
    <row r="702" spans="9:9">
      <c r="I702" s="24"/>
    </row>
    <row r="703" spans="9:9">
      <c r="I703" s="24"/>
    </row>
    <row r="704" spans="9:9">
      <c r="I704" s="24"/>
    </row>
    <row r="705" spans="9:9">
      <c r="I705" s="24"/>
    </row>
    <row r="706" spans="9:9">
      <c r="I706" s="24"/>
    </row>
    <row r="707" spans="9:9">
      <c r="I707" s="24"/>
    </row>
    <row r="708" spans="9:9">
      <c r="I708" s="24"/>
    </row>
    <row r="709" spans="9:9">
      <c r="I709" s="24"/>
    </row>
    <row r="710" spans="9:9">
      <c r="I710" s="24"/>
    </row>
    <row r="711" spans="9:9">
      <c r="I711" s="24"/>
    </row>
    <row r="712" spans="9:9">
      <c r="I712" s="24"/>
    </row>
    <row r="713" spans="9:9">
      <c r="I713" s="24"/>
    </row>
    <row r="714" spans="9:9">
      <c r="I714" s="24"/>
    </row>
    <row r="715" spans="9:9">
      <c r="I715" s="24"/>
    </row>
    <row r="716" spans="9:9">
      <c r="I716" s="24"/>
    </row>
    <row r="717" spans="9:9">
      <c r="I717" s="24"/>
    </row>
    <row r="718" spans="9:9">
      <c r="I718" s="24"/>
    </row>
    <row r="719" spans="9:9">
      <c r="I719" s="24"/>
    </row>
    <row r="720" spans="9:9">
      <c r="I720" s="24"/>
    </row>
    <row r="721" spans="9:9">
      <c r="I721" s="24"/>
    </row>
    <row r="722" spans="9:9">
      <c r="I722" s="24"/>
    </row>
    <row r="723" spans="9:9">
      <c r="I723" s="24"/>
    </row>
    <row r="724" spans="9:9">
      <c r="I724" s="24"/>
    </row>
    <row r="725" spans="9:9">
      <c r="I725" s="24"/>
    </row>
    <row r="726" spans="9:9">
      <c r="I726" s="24"/>
    </row>
    <row r="727" spans="9:9">
      <c r="I727" s="24"/>
    </row>
    <row r="728" spans="9:9">
      <c r="I728" s="24"/>
    </row>
    <row r="729" spans="9:9">
      <c r="I729" s="24"/>
    </row>
    <row r="730" spans="9:9">
      <c r="I730" s="24"/>
    </row>
    <row r="731" spans="9:9">
      <c r="I731" s="24"/>
    </row>
    <row r="732" spans="9:9">
      <c r="I732" s="24"/>
    </row>
    <row r="733" spans="9:9">
      <c r="I733" s="24"/>
    </row>
    <row r="734" spans="9:9">
      <c r="I734" s="24"/>
    </row>
    <row r="735" spans="9:9">
      <c r="I735" s="24"/>
    </row>
    <row r="736" spans="9:9">
      <c r="I736" s="24"/>
    </row>
    <row r="737" spans="9:9">
      <c r="I737" s="24"/>
    </row>
    <row r="738" spans="9:9">
      <c r="I738" s="24"/>
    </row>
    <row r="739" spans="9:9">
      <c r="I739" s="24"/>
    </row>
    <row r="740" spans="9:9">
      <c r="I740" s="24"/>
    </row>
    <row r="741" spans="9:9">
      <c r="I741" s="24"/>
    </row>
    <row r="742" spans="9:9">
      <c r="I742" s="24"/>
    </row>
    <row r="743" spans="9:9">
      <c r="I743" s="24"/>
    </row>
    <row r="744" spans="9:9">
      <c r="I744" s="24"/>
    </row>
    <row r="745" spans="9:9">
      <c r="I745" s="24"/>
    </row>
    <row r="746" spans="9:9">
      <c r="I746" s="24"/>
    </row>
    <row r="747" spans="9:9">
      <c r="I747" s="24"/>
    </row>
    <row r="748" spans="9:9">
      <c r="I748" s="24"/>
    </row>
    <row r="749" spans="9:9">
      <c r="I749" s="24"/>
    </row>
    <row r="750" spans="9:9">
      <c r="I750" s="24"/>
    </row>
    <row r="751" spans="9:9">
      <c r="I751" s="24"/>
    </row>
    <row r="752" spans="9:9">
      <c r="I752" s="24"/>
    </row>
    <row r="753" spans="9:9">
      <c r="I753" s="24"/>
    </row>
    <row r="754" spans="9:9">
      <c r="I754" s="24"/>
    </row>
    <row r="755" spans="9:9">
      <c r="I755" s="24"/>
    </row>
    <row r="756" spans="9:9">
      <c r="I756" s="24"/>
    </row>
    <row r="757" spans="9:9">
      <c r="I757" s="24"/>
    </row>
    <row r="758" spans="9:9">
      <c r="I758" s="24"/>
    </row>
    <row r="759" spans="9:9">
      <c r="I759" s="24"/>
    </row>
    <row r="760" spans="9:9">
      <c r="I760" s="24"/>
    </row>
    <row r="761" spans="9:9">
      <c r="I761" s="24"/>
    </row>
    <row r="762" spans="9:9">
      <c r="I762" s="24"/>
    </row>
    <row r="763" spans="9:9">
      <c r="I763" s="24"/>
    </row>
    <row r="764" spans="9:9">
      <c r="I764" s="24"/>
    </row>
    <row r="765" spans="9:9">
      <c r="I765" s="24"/>
    </row>
    <row r="766" spans="9:9">
      <c r="I766" s="24"/>
    </row>
    <row r="767" spans="9:9">
      <c r="I767" s="24"/>
    </row>
    <row r="768" spans="9:9">
      <c r="I768" s="24"/>
    </row>
    <row r="769" spans="9:9">
      <c r="I769" s="24"/>
    </row>
    <row r="770" spans="9:9">
      <c r="I770" s="24"/>
    </row>
    <row r="771" spans="9:9">
      <c r="I771" s="24"/>
    </row>
    <row r="772" spans="9:9">
      <c r="I772" s="24"/>
    </row>
    <row r="773" spans="9:9">
      <c r="I773" s="24"/>
    </row>
    <row r="774" spans="9:9">
      <c r="I774" s="24"/>
    </row>
    <row r="775" spans="9:9">
      <c r="I775" s="24"/>
    </row>
    <row r="776" spans="9:9">
      <c r="I776" s="24"/>
    </row>
    <row r="777" spans="9:9">
      <c r="I777" s="24"/>
    </row>
    <row r="778" spans="9:9">
      <c r="I778" s="24"/>
    </row>
    <row r="779" spans="9:9">
      <c r="I779" s="24"/>
    </row>
    <row r="780" spans="9:9">
      <c r="I780" s="24"/>
    </row>
    <row r="781" spans="9:9">
      <c r="I781" s="24"/>
    </row>
    <row r="782" spans="9:9">
      <c r="I782" s="24"/>
    </row>
    <row r="783" spans="9:9">
      <c r="I783" s="24"/>
    </row>
    <row r="784" spans="9:9">
      <c r="I784" s="24"/>
    </row>
    <row r="785" spans="9:9">
      <c r="I785" s="24"/>
    </row>
    <row r="786" spans="9:9">
      <c r="I786" s="24"/>
    </row>
    <row r="787" spans="9:9">
      <c r="I787" s="24"/>
    </row>
    <row r="788" spans="9:9">
      <c r="I788" s="24"/>
    </row>
    <row r="789" spans="9:9">
      <c r="I789" s="24"/>
    </row>
    <row r="790" spans="9:9">
      <c r="I790" s="24"/>
    </row>
    <row r="791" spans="9:9">
      <c r="I791" s="24"/>
    </row>
    <row r="792" spans="9:9">
      <c r="I792" s="24"/>
    </row>
    <row r="793" spans="9:9">
      <c r="I793" s="24"/>
    </row>
    <row r="794" spans="9:9">
      <c r="I794" s="24"/>
    </row>
    <row r="795" spans="9:9">
      <c r="I795" s="24"/>
    </row>
    <row r="796" spans="9:9">
      <c r="I796" s="24"/>
    </row>
    <row r="797" spans="9:9">
      <c r="I797" s="24"/>
    </row>
    <row r="798" spans="9:9">
      <c r="I798" s="24"/>
    </row>
    <row r="799" spans="9:9">
      <c r="I799" s="24"/>
    </row>
    <row r="800" spans="9:9">
      <c r="I800" s="24"/>
    </row>
    <row r="801" spans="9:9">
      <c r="I801" s="24"/>
    </row>
    <row r="802" spans="9:9">
      <c r="I802" s="24"/>
    </row>
    <row r="803" spans="9:9">
      <c r="I803" s="24"/>
    </row>
    <row r="804" spans="9:9">
      <c r="I804" s="24"/>
    </row>
    <row r="805" spans="9:9">
      <c r="I805" s="24"/>
    </row>
    <row r="806" spans="9:9">
      <c r="I806" s="24"/>
    </row>
    <row r="807" spans="9:9">
      <c r="I807" s="24"/>
    </row>
    <row r="808" spans="9:9">
      <c r="I808" s="24"/>
    </row>
    <row r="809" spans="9:9">
      <c r="I809" s="24"/>
    </row>
    <row r="810" spans="9:9">
      <c r="I810" s="24"/>
    </row>
    <row r="811" spans="9:9">
      <c r="I811" s="24"/>
    </row>
    <row r="812" spans="9:9">
      <c r="I812" s="24"/>
    </row>
    <row r="813" spans="9:9">
      <c r="I813" s="24"/>
    </row>
    <row r="814" spans="9:9">
      <c r="I814" s="24"/>
    </row>
    <row r="815" spans="9:9">
      <c r="I815" s="24"/>
    </row>
    <row r="816" spans="9:9">
      <c r="I816" s="24"/>
    </row>
    <row r="817" spans="9:9">
      <c r="I817" s="24"/>
    </row>
    <row r="818" spans="9:9">
      <c r="I818" s="24"/>
    </row>
    <row r="819" spans="9:9">
      <c r="I819" s="24"/>
    </row>
    <row r="820" spans="9:9">
      <c r="I820" s="24"/>
    </row>
    <row r="821" spans="9:9">
      <c r="I821" s="24"/>
    </row>
    <row r="822" spans="9:9">
      <c r="I822" s="24"/>
    </row>
    <row r="823" spans="9:9">
      <c r="I823" s="24"/>
    </row>
    <row r="824" spans="9:9">
      <c r="I824" s="24"/>
    </row>
    <row r="825" spans="9:9">
      <c r="I825" s="24"/>
    </row>
    <row r="826" spans="9:9">
      <c r="I826" s="24"/>
    </row>
    <row r="827" spans="9:9">
      <c r="I827" s="24"/>
    </row>
    <row r="828" spans="9:9">
      <c r="I828" s="24"/>
    </row>
    <row r="829" spans="9:9">
      <c r="I829" s="24"/>
    </row>
    <row r="830" spans="9:9">
      <c r="I830" s="24"/>
    </row>
    <row r="831" spans="9:9">
      <c r="I831" s="24"/>
    </row>
    <row r="832" spans="9:9">
      <c r="I832" s="24"/>
    </row>
    <row r="833" spans="9:9">
      <c r="I833" s="24"/>
    </row>
    <row r="834" spans="9:9">
      <c r="I834" s="24"/>
    </row>
    <row r="835" spans="9:9">
      <c r="I835" s="24"/>
    </row>
    <row r="836" spans="9:9">
      <c r="I836" s="24"/>
    </row>
    <row r="837" spans="9:9">
      <c r="I837" s="24"/>
    </row>
    <row r="838" spans="9:9">
      <c r="I838" s="24"/>
    </row>
    <row r="839" spans="9:9">
      <c r="I839" s="24"/>
    </row>
    <row r="840" spans="9:9">
      <c r="I840" s="24"/>
    </row>
    <row r="841" spans="9:9">
      <c r="I841" s="24"/>
    </row>
    <row r="842" spans="9:9">
      <c r="I842" s="24"/>
    </row>
    <row r="843" spans="9:9">
      <c r="I843" s="24"/>
    </row>
  </sheetData>
  <hyperlinks>
    <hyperlink ref="E74" r:id="rId1" display="D050.Endorsement/ITC-Infrastructure@CAB" xr:uid="{2541117A-496E-4F04-A77B-C4555A215D57}"/>
    <hyperlink ref="E76" r:id="rId2" display="051.Endorsement/ITC-Maintenance@CAB" xr:uid="{86CA3B4A-60D8-4FEE-A792-BE706A120A7F}"/>
    <hyperlink ref="E77" r:id="rId3" display="052.Endorsement/ITC-Operations@CAB" xr:uid="{1687B82A-D303-4172-BD81-8316A4031AC1}"/>
    <hyperlink ref="E82" r:id="rId4" display="057.Endorsement/ITC-Legal@CAB" xr:uid="{E6C8D430-5F6D-455C-9C59-A5F2EC79F3A9}"/>
    <hyperlink ref="E75" r:id="rId5" display="051.Endorsement/ITC-Maintenance@CAB" xr:uid="{2CBDB0A1-9D1C-4FF1-BB3C-97CAA965190F}"/>
    <hyperlink ref="E78" r:id="rId6" display="D306.Endorsement/ITC-Deployment@CAB" xr:uid="{272A6D38-EE2C-4AC1-ACCF-E92F1D68620C}"/>
    <hyperlink ref="E79" r:id="rId7" display="D307.Endorsement/ITC-Support@CAB" xr:uid="{403E9C76-E33C-4D43-A3D0-C194BDC32A25}"/>
    <hyperlink ref="E80" r:id="rId8" display="D308.Endorsement/ITC-Training@CAB" xr:uid="{91B12F09-BC1C-4933-8558-4CD198644606}"/>
    <hyperlink ref="E81" r:id="rId9" display="056.Endorsement/ITC-Identity@CAB" xr:uid="{2AA2B524-2479-43E9-A4DB-9C8885FB590A}"/>
    <hyperlink ref="E73" r:id="rId10" display="D050.Endorsement/ITC-Infrastructure@CAB" xr:uid="{03AFA364-7970-4B19-AEF9-053BC563EE74}"/>
  </hyperlinks>
  <pageMargins left="0.7" right="0.7" top="0.75" bottom="0.75" header="0.3" footer="0.3"/>
  <pageSetup paperSize="9" orientation="portrait" r:id="rId11"/>
  <tableParts count="8">
    <tablePart r:id="rId12"/>
    <tablePart r:id="rId13"/>
    <tablePart r:id="rId14"/>
    <tablePart r:id="rId15"/>
    <tablePart r:id="rId16"/>
    <tablePart r:id="rId17"/>
    <tablePart r:id="rId18"/>
    <tablePart r:id="rId1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6F4E3-BBB3-45AB-8891-3BE8D8863E78}">
  <sheetPr codeName="Sheet15">
    <tabColor theme="4"/>
  </sheetPr>
  <dimension ref="A1:O803"/>
  <sheetViews>
    <sheetView tabSelected="1" topLeftCell="I609" zoomScale="94" zoomScaleNormal="94" workbookViewId="0">
      <selection activeCell="J622" sqref="J622"/>
    </sheetView>
  </sheetViews>
  <sheetFormatPr defaultRowHeight="14.5"/>
  <cols>
    <col min="1" max="1" width="18.54296875" bestFit="1" customWidth="1"/>
    <col min="2" max="2" width="39" bestFit="1" customWidth="1"/>
    <col min="3" max="3" width="36.7265625" style="13" customWidth="1"/>
    <col min="4" max="4" width="26.54296875" style="13" customWidth="1"/>
    <col min="5" max="5" width="40" bestFit="1" customWidth="1"/>
    <col min="6" max="6" width="45.54296875" style="9" bestFit="1" customWidth="1"/>
    <col min="7" max="7" width="18.453125" style="13" bestFit="1" customWidth="1"/>
    <col min="8" max="8" width="7.81640625" style="13" customWidth="1"/>
    <col min="9" max="9" width="15.26953125" bestFit="1" customWidth="1"/>
    <col min="10" max="10" width="255.6328125" style="13" bestFit="1" customWidth="1"/>
    <col min="11" max="11" width="19.1796875" style="7" bestFit="1" customWidth="1"/>
    <col min="12" max="12" width="81.453125" style="7" bestFit="1" customWidth="1"/>
    <col min="13" max="13" width="44" customWidth="1"/>
    <col min="14" max="14" width="12" bestFit="1" customWidth="1"/>
  </cols>
  <sheetData>
    <row r="1" spans="1:15">
      <c r="A1" s="4" t="s">
        <v>2283</v>
      </c>
      <c r="B1" s="4" t="s">
        <v>2284</v>
      </c>
      <c r="C1" s="4" t="s">
        <v>2285</v>
      </c>
      <c r="D1" s="4" t="s">
        <v>2286</v>
      </c>
      <c r="E1" s="4" t="s">
        <v>2287</v>
      </c>
      <c r="F1" s="4" t="s">
        <v>2288</v>
      </c>
      <c r="G1" s="4" t="s">
        <v>1918</v>
      </c>
      <c r="H1" s="4" t="s">
        <v>2289</v>
      </c>
      <c r="I1" s="4" t="s">
        <v>2290</v>
      </c>
      <c r="J1" s="4" t="s">
        <v>0</v>
      </c>
      <c r="K1" s="8" t="s">
        <v>2291</v>
      </c>
      <c r="L1" s="12" t="s">
        <v>2292</v>
      </c>
      <c r="M1" s="12" t="s">
        <v>2293</v>
      </c>
      <c r="N1" s="6" t="s">
        <v>13</v>
      </c>
      <c r="O1" s="6" t="s">
        <v>2294</v>
      </c>
    </row>
    <row r="2" spans="1:15">
      <c r="A2" s="16" t="s">
        <v>1931</v>
      </c>
      <c r="B2" s="16" t="s">
        <v>1958</v>
      </c>
      <c r="C2" s="16"/>
      <c r="D2" s="16"/>
      <c r="E2" s="16" t="s">
        <v>1959</v>
      </c>
      <c r="F2" s="16" t="s">
        <v>1975</v>
      </c>
      <c r="G2" s="16" t="s">
        <v>1976</v>
      </c>
      <c r="H2" s="16">
        <v>3</v>
      </c>
      <c r="I2" s="23" t="str" cm="1">
        <f t="array" aca="1" ref="I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01.005.05.09.9.3</v>
      </c>
      <c r="J2" s="16" t="s">
        <v>2295</v>
      </c>
      <c r="K2" s="10" t="str">
        <f>TRIM(SUBSTITUTE( LEFT(DATA_Requirements[[#This Row],[Path]], FIND("/", SUBSTITUTE( DATA_Requirements[[#This Row],[Path]]," ","/"),1)-1), ".",""))</f>
        <v>DELIVERABLES</v>
      </c>
      <c r="L2"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3" spans="1:15">
      <c r="A3" s="22" t="s">
        <v>1931</v>
      </c>
      <c r="B3" s="22"/>
      <c r="C3" s="22"/>
      <c r="D3" s="22"/>
      <c r="E3" s="22"/>
      <c r="F3" s="22"/>
      <c r="G3" s="22"/>
      <c r="H3" s="22">
        <v>0</v>
      </c>
      <c r="I3" s="22" t="str" cm="1">
        <f t="array" aca="1" ref="I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01.....0</v>
      </c>
      <c r="J3" s="22" t="s">
        <v>2296</v>
      </c>
      <c r="K3" s="10" t="str">
        <f>TRIM(SUBSTITUTE( LEFT(DATA_Requirements[[#This Row],[Path]], FIND("/", SUBSTITUTE( DATA_Requirements[[#This Row],[Path]]," ","/"),1)-1), ".",""))</f>
        <v>Deliverables</v>
      </c>
      <c r="L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Plan: Design Services: Endorsement</v>
      </c>
      <c r="M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Project's Strategic Alignment (as per the Business Case) MUST be endorsed prior to procurement, development and delivery</v>
      </c>
    </row>
    <row r="4" spans="1:15">
      <c r="A4" s="22" t="s">
        <v>1931</v>
      </c>
      <c r="B4" s="22"/>
      <c r="C4" s="22"/>
      <c r="D4" s="22"/>
      <c r="E4" s="22"/>
      <c r="F4" s="22"/>
      <c r="G4" s="22"/>
      <c r="H4" s="22">
        <v>0</v>
      </c>
      <c r="I4" s="22" t="str" cm="1">
        <f t="array" aca="1" ref="I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01.....0</v>
      </c>
      <c r="J4" s="22" t="s">
        <v>2297</v>
      </c>
      <c r="K4" s="10" t="str">
        <f>TRIM(SUBSTITUTE( LEFT(DATA_Requirements[[#This Row],[Path]], FIND("/", SUBSTITUTE( DATA_Requirements[[#This Row],[Path]]," ","/"),1)-1), ".",""))</f>
        <v>Deliverables</v>
      </c>
      <c r="L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Expected Deliverable</v>
      </c>
      <c r="M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Primary Deliverable MUST remain a documented &amp; supported Business Customer Service, supported by an operable, functioning, incrementally improving InfoService system, delivered via an automated delivery Pipeline.</v>
      </c>
    </row>
    <row r="5" spans="1:15">
      <c r="A5" s="22" t="s">
        <v>1931</v>
      </c>
      <c r="B5" s="22"/>
      <c r="C5" s="22"/>
      <c r="D5" s="22"/>
      <c r="E5" s="22"/>
      <c r="F5" s="22"/>
      <c r="G5" s="22"/>
      <c r="H5" s="22">
        <v>0</v>
      </c>
      <c r="I5" s="22" t="str" cm="1">
        <f t="array" aca="1" ref="I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01.....0</v>
      </c>
      <c r="J5" s="22" t="s">
        <v>2298</v>
      </c>
      <c r="K5" s="10" t="str">
        <f>TRIM(SUBSTITUTE( LEFT(DATA_Requirements[[#This Row],[Path]], FIND("/", SUBSTITUTE( DATA_Requirements[[#This Row],[Path]]," ","/"),1)-1), ".",""))</f>
        <v>Deliverables</v>
      </c>
      <c r="L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Focus on the Wrong System</v>
      </c>
      <c r="M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 Stakeholders MUST NOT mistake the InfoService as being the Key Deliverable.It is only one of many deliverables.It is not even the key System (The Automated QA &amp; Delivery Pipeline is).</v>
      </c>
    </row>
    <row r="6" spans="1:15">
      <c r="A6" t="s">
        <v>1937</v>
      </c>
      <c r="B6" t="s">
        <v>1938</v>
      </c>
      <c r="C6"/>
      <c r="D6"/>
      <c r="E6" s="22" t="s">
        <v>2122</v>
      </c>
      <c r="F6" s="22" t="s">
        <v>2060</v>
      </c>
      <c r="G6" s="22" t="s">
        <v>1940</v>
      </c>
      <c r="H6">
        <v>0</v>
      </c>
      <c r="I6" t="str" cm="1">
        <f t="array" aca="1" ref="I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02.002.76.46.2.0</v>
      </c>
      <c r="J6" t="s">
        <v>2299</v>
      </c>
      <c r="K6" s="10" t="str">
        <f>TRIM(SUBSTITUTE( LEFT(DATA_Requirements[[#This Row],[Path]], FIND("/", SUBSTITUTE( DATA_Requirements[[#This Row],[Path]]," ","/"),1)-1), ".",""))</f>
        <v>Deployment</v>
      </c>
      <c r="L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SOW</v>
      </c>
      <c r="M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MUST with Deployment Services MUST be established to pay for Deploying Services to PROD-DATA environments (ie, requiring the raising of Change Requests) to SLA expectations</v>
      </c>
    </row>
    <row r="7" spans="1:15">
      <c r="A7" t="s">
        <v>1937</v>
      </c>
      <c r="B7" t="s">
        <v>1978</v>
      </c>
      <c r="C7"/>
      <c r="D7"/>
      <c r="E7" t="s">
        <v>1927</v>
      </c>
      <c r="F7" t="s">
        <v>2092</v>
      </c>
      <c r="G7" s="22" t="s">
        <v>1928</v>
      </c>
      <c r="H7">
        <v>0</v>
      </c>
      <c r="I7" t="str" cm="1">
        <f t="array" aca="1" ref="I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02.010.00.61.0.0</v>
      </c>
      <c r="J7" t="s">
        <v>2300</v>
      </c>
      <c r="K7" s="10" t="str">
        <f>TRIM(SUBSTITUTE( LEFT(DATA_Requirements[[#This Row],[Path]], FIND("/", SUBSTITUTE( DATA_Requirements[[#This Row],[Path]]," ","/"),1)-1), ".",""))</f>
        <v>InfrastructureServices</v>
      </c>
      <c r="L7"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Subscription</v>
      </c>
      <c r="M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MUST be developed to pay for Hosting of Infrastructure (generally separately to Infrastructure Maintenance SOW)</v>
      </c>
    </row>
    <row r="8" spans="1:15">
      <c r="A8" t="s">
        <v>1937</v>
      </c>
      <c r="B8" t="s">
        <v>1978</v>
      </c>
      <c r="C8"/>
      <c r="D8"/>
      <c r="E8" t="s">
        <v>1927</v>
      </c>
      <c r="F8" t="s">
        <v>2092</v>
      </c>
      <c r="G8" s="22" t="s">
        <v>1928</v>
      </c>
      <c r="H8">
        <v>0</v>
      </c>
      <c r="I8" t="str" cm="1">
        <f t="array" aca="1" ref="I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02.010.00.61.0.0</v>
      </c>
      <c r="J8" t="s">
        <v>2301</v>
      </c>
      <c r="K8" s="10" t="str">
        <f>TRIM(SUBSTITUTE( LEFT(DATA_Requirements[[#This Row],[Path]], FIND("/", SUBSTITUTE( DATA_Requirements[[#This Row],[Path]]," ","/"),1)-1), ".",""))</f>
        <v>InfrastructureServices</v>
      </c>
      <c r="L8"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Support SOW</v>
      </c>
      <c r="M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MUST be developed with Infrastructure Services to support service infrastructure to SLA Expectations</v>
      </c>
    </row>
    <row r="9" spans="1:15">
      <c r="A9" t="s">
        <v>1937</v>
      </c>
      <c r="B9" t="s">
        <v>1990</v>
      </c>
      <c r="C9"/>
      <c r="D9"/>
      <c r="F9" s="22" t="s">
        <v>2060</v>
      </c>
      <c r="G9" t="s">
        <v>1928</v>
      </c>
      <c r="H9">
        <v>0</v>
      </c>
      <c r="I9" t="str" cm="1">
        <f t="array" aca="1" ref="I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02.014..46.0.0</v>
      </c>
      <c r="J9" t="s">
        <v>2302</v>
      </c>
      <c r="K9" s="10" t="str">
        <f>TRIM(SUBSTITUTE( LEFT(DATA_Requirements[[#This Row],[Path]], FIND("/", SUBSTITUTE( DATA_Requirements[[#This Row],[Path]]," ","/"),1)-1), ".",""))</f>
        <v>InfoServiceContent:</v>
      </c>
      <c r="L9"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 Development Services: SOW</v>
      </c>
      <c r="M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MAY be required with Consultant SMEs on Content Media to develop discoverable, organised, evolvable, system content.</v>
      </c>
    </row>
    <row r="10" spans="1:15">
      <c r="A10" t="s">
        <v>1937</v>
      </c>
      <c r="B10" t="s">
        <v>1990</v>
      </c>
      <c r="C10"/>
      <c r="D10"/>
      <c r="F10" s="22" t="s">
        <v>2060</v>
      </c>
      <c r="G10" t="s">
        <v>1928</v>
      </c>
      <c r="H10">
        <v>0</v>
      </c>
      <c r="I10" t="str" cm="1">
        <f t="array" aca="1" ref="I1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02.014..46.0.0</v>
      </c>
      <c r="J10" t="s">
        <v>2303</v>
      </c>
      <c r="K10" s="10" t="str">
        <f>TRIM(SUBSTITUTE( LEFT(DATA_Requirements[[#This Row],[Path]], FIND("/", SUBSTITUTE( DATA_Requirements[[#This Row],[Path]]," ","/"),1)-1), ".",""))</f>
        <v>Media</v>
      </c>
      <c r="L1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Interpretation Services: Initial Resource SOW</v>
      </c>
      <c r="M1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MUST be developed with Media Interpretation Services to interpret any initial Resources (not Content) developed.</v>
      </c>
    </row>
    <row r="11" spans="1:15">
      <c r="A11" t="s">
        <v>1937</v>
      </c>
      <c r="B11" t="s">
        <v>1990</v>
      </c>
      <c r="C11"/>
      <c r="D11"/>
      <c r="F11" s="22" t="s">
        <v>2060</v>
      </c>
      <c r="G11" t="s">
        <v>1928</v>
      </c>
      <c r="H11">
        <v>0</v>
      </c>
      <c r="I11" t="str" cm="1">
        <f t="array" aca="1" ref="I1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02.014..46.0.0</v>
      </c>
      <c r="J11" t="s">
        <v>2304</v>
      </c>
      <c r="K11" s="10" t="str">
        <f>TRIM(SUBSTITUTE( LEFT(DATA_Requirements[[#This Row],[Path]], FIND("/", SUBSTITUTE( DATA_Requirements[[#This Row],[Path]]," ","/"),1)-1), ".",""))</f>
        <v>Media</v>
      </c>
      <c r="L1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 SOW MAY be developed with Consultant SMEs on Content Media to develop subsequent</v>
      </c>
      <c r="M1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ongoing system Resources.</v>
      </c>
    </row>
    <row r="12" spans="1:15">
      <c r="A12" t="s">
        <v>1937</v>
      </c>
      <c r="B12" t="s">
        <v>1990</v>
      </c>
      <c r="C12"/>
      <c r="D12"/>
      <c r="F12" s="22" t="s">
        <v>2060</v>
      </c>
      <c r="G12" t="s">
        <v>1928</v>
      </c>
      <c r="H12">
        <v>0</v>
      </c>
      <c r="I12" t="str" cm="1">
        <f t="array" aca="1" ref="I1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02.014..46.0.0</v>
      </c>
      <c r="J12" t="s">
        <v>2305</v>
      </c>
      <c r="K12" s="10" t="str">
        <f>TRIM(SUBSTITUTE( LEFT(DATA_Requirements[[#This Row],[Path]], FIND("/", SUBSTITUTE( DATA_Requirements[[#This Row],[Path]]," ","/"),1)-1), ".",""))</f>
        <v>InfoServiceContent:</v>
      </c>
      <c r="L12"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 Management Services: SOW</v>
      </c>
      <c r="M1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MAY be required with Media Development Services to manage, further organise, refresh, cull, system content.</v>
      </c>
    </row>
    <row r="13" spans="1:15">
      <c r="A13" t="s">
        <v>1937</v>
      </c>
      <c r="B13" t="s">
        <v>1993</v>
      </c>
      <c r="C13"/>
      <c r="D13"/>
      <c r="F13" s="22" t="s">
        <v>2060</v>
      </c>
      <c r="G13" t="s">
        <v>1928</v>
      </c>
      <c r="H13">
        <v>0</v>
      </c>
      <c r="I13" t="str" cm="1">
        <f t="array" aca="1" ref="I1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02.015..46.0.0</v>
      </c>
      <c r="J13" t="s">
        <v>2306</v>
      </c>
      <c r="K13" s="10" t="str">
        <f>TRIM(SUBSTITUTE( LEFT(DATA_Requirements[[#This Row],[Path]], FIND("/", SUBSTITUTE( DATA_Requirements[[#This Row],[Path]]," ","/"),1)-1), ".",""))</f>
        <v>InfoServiceContent:</v>
      </c>
      <c r="L1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 Interpretation Services: Initial Content SOW</v>
      </c>
      <c r="M1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MUST be developed with Media Interpretation Services to interpret any initial Content developed.</v>
      </c>
    </row>
    <row r="14" spans="1:15">
      <c r="A14" t="s">
        <v>1937</v>
      </c>
      <c r="B14" t="s">
        <v>1993</v>
      </c>
      <c r="C14"/>
      <c r="D14"/>
      <c r="F14" s="22" t="s">
        <v>2060</v>
      </c>
      <c r="G14" t="s">
        <v>1928</v>
      </c>
      <c r="H14">
        <v>0</v>
      </c>
      <c r="I14" t="str" cm="1">
        <f t="array" aca="1" ref="I1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02.015..46.0.0</v>
      </c>
      <c r="J14" t="s">
        <v>2307</v>
      </c>
      <c r="K14" s="10" t="str">
        <f>TRIM(SUBSTITUTE( LEFT(DATA_Requirements[[#This Row],[Path]], FIND("/", SUBSTITUTE( DATA_Requirements[[#This Row],[Path]]," ","/"),1)-1), ".",""))</f>
        <v>Media</v>
      </c>
      <c r="L1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Interpretation Services: Ongoing Resources SOW</v>
      </c>
      <c r="M1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MUST be developed with Media Interpretation Services to interpret any Resource (not Content) developed</v>
      </c>
    </row>
    <row r="15" spans="1:15">
      <c r="A15" t="s">
        <v>1937</v>
      </c>
      <c r="B15" t="s">
        <v>1993</v>
      </c>
      <c r="C15"/>
      <c r="D15"/>
      <c r="F15" s="22" t="s">
        <v>2060</v>
      </c>
      <c r="G15" t="s">
        <v>1928</v>
      </c>
      <c r="H15">
        <v>0</v>
      </c>
      <c r="I15" t="str" cm="1">
        <f t="array" aca="1" ref="I1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02.015..46.0.0</v>
      </c>
      <c r="J15" t="s">
        <v>2308</v>
      </c>
      <c r="K15" s="10" t="str">
        <f>TRIM(SUBSTITUTE( LEFT(DATA_Requirements[[#This Row],[Path]], FIND("/", SUBSTITUTE( DATA_Requirements[[#This Row],[Path]]," ","/"),1)-1), ".",""))</f>
        <v>InfoServiceContent:</v>
      </c>
      <c r="L1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 Development Services: Ongoing Content SOW</v>
      </c>
      <c r="M1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MAY be required with Media Development Services to develop additional discoverable, organised, evolvable, system content.</v>
      </c>
    </row>
    <row r="16" spans="1:15">
      <c r="A16" t="s">
        <v>1937</v>
      </c>
      <c r="B16" t="s">
        <v>1993</v>
      </c>
      <c r="C16"/>
      <c r="D16"/>
      <c r="F16" s="22" t="s">
        <v>2060</v>
      </c>
      <c r="G16" t="s">
        <v>1928</v>
      </c>
      <c r="H16">
        <v>0</v>
      </c>
      <c r="I16" t="str" cm="1">
        <f t="array" aca="1" ref="I1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02.015..46.0.0</v>
      </c>
      <c r="J16" t="s">
        <v>2309</v>
      </c>
      <c r="K16" s="10" t="str">
        <f>TRIM(SUBSTITUTE( LEFT(DATA_Requirements[[#This Row],[Path]], FIND("/", SUBSTITUTE( DATA_Requirements[[#This Row],[Path]]," ","/"),1)-1), ".",""))</f>
        <v>InfoServiceContent:</v>
      </c>
      <c r="L1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 Interpretation Services: Ongoing Content SOW</v>
      </c>
      <c r="M1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MUST be developed with Media Interpretation Services to interpret any subsequent Content developed in an ongoing manner.</v>
      </c>
    </row>
    <row r="17" spans="1:13">
      <c r="A17" t="s">
        <v>1937</v>
      </c>
      <c r="B17" t="s">
        <v>2011</v>
      </c>
      <c r="C17"/>
      <c r="D17"/>
      <c r="F17"/>
      <c r="G17" s="22" t="s">
        <v>1928</v>
      </c>
      <c r="H17">
        <v>0</v>
      </c>
      <c r="I17" t="str" cm="1">
        <f t="array" aca="1" ref="I1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02.022...0.0</v>
      </c>
      <c r="J17" t="s">
        <v>2310</v>
      </c>
      <c r="K17" s="10" t="str">
        <f>TRIM(SUBSTITUTE( LEFT(DATA_Requirements[[#This Row],[Path]], FIND("/", SUBSTITUTE( DATA_Requirements[[#This Row],[Path]]," ","/"),1)-1), ".",""))</f>
        <v>SupportServices:</v>
      </c>
      <c r="L17"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SOW</v>
      </c>
      <c r="M1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Support Services Endorsement at CAB, a SOW MUST be established to provide System Support.</v>
      </c>
    </row>
    <row r="18" spans="1:13">
      <c r="A18" t="s">
        <v>1937</v>
      </c>
      <c r="B18" t="s">
        <v>2013</v>
      </c>
      <c r="C18"/>
      <c r="D18"/>
      <c r="F18"/>
      <c r="G18" s="22" t="s">
        <v>1928</v>
      </c>
      <c r="H18">
        <v>0</v>
      </c>
      <c r="I18" t="str" cm="1">
        <f t="array" aca="1" ref="I1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02.023...0.0</v>
      </c>
      <c r="J18" t="s">
        <v>2311</v>
      </c>
      <c r="K18" s="10" t="str">
        <f>TRIM(SUBSTITUTE( LEFT(DATA_Requirements[[#This Row],[Path]], FIND("/", SUBSTITUTE( DATA_Requirements[[#This Row],[Path]]," ","/"),1)-1), ".",""))</f>
        <v/>
      </c>
      <c r="L18"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MAY be developed with Training Services to manage training of internal business users</v>
      </c>
    </row>
    <row r="19" spans="1:13">
      <c r="A19" t="s">
        <v>1937</v>
      </c>
      <c r="B19" t="s">
        <v>2021</v>
      </c>
      <c r="C19"/>
      <c r="D19"/>
      <c r="E19" t="s">
        <v>1927</v>
      </c>
      <c r="F19" t="s">
        <v>1988</v>
      </c>
      <c r="G19" t="s">
        <v>1940</v>
      </c>
      <c r="H19">
        <v>0</v>
      </c>
      <c r="I19" t="str" cm="1">
        <f t="array" aca="1" ref="I1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02.032.00.13.2.0</v>
      </c>
      <c r="J19" t="s">
        <v>2312</v>
      </c>
      <c r="K19" s="10" t="str">
        <f>TRIM(SUBSTITUTE( LEFT(DATA_Requirements[[#This Row],[Path]], FIND("/", SUBSTITUTE( DATA_Requirements[[#This Row],[Path]]," ","/"),1)-1), ".",""))</f>
        <v/>
      </c>
      <c r="L19"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 Options Analysis MUST be developed to inform the Business Case.</v>
      </c>
    </row>
    <row r="20" spans="1:13">
      <c r="A20" t="s">
        <v>1937</v>
      </c>
      <c r="B20" t="s">
        <v>2023</v>
      </c>
      <c r="C20"/>
      <c r="D20"/>
      <c r="E20" t="s">
        <v>1927</v>
      </c>
      <c r="F20" t="s">
        <v>1988</v>
      </c>
      <c r="G20" t="s">
        <v>1940</v>
      </c>
      <c r="H20">
        <v>0</v>
      </c>
      <c r="I20" t="str" cm="1">
        <f t="array" aca="1" ref="I2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02.033.00.13.2.0</v>
      </c>
      <c r="J20" t="s">
        <v>2313</v>
      </c>
      <c r="K20" s="10" t="str">
        <f>TRIM(SUBSTITUTE( LEFT(DATA_Requirements[[#This Row],[Path]], FIND("/", SUBSTITUTE( DATA_Requirements[[#This Row],[Path]]," ","/"),1)-1), ".",""))</f>
        <v/>
      </c>
      <c r="L20"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2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Stakeholder Map showing RASCI roles over the whole service lifecycle (dev + ops &amp; improvements) MUST be developed to include and inform the Business Case scope &amp; functions.</v>
      </c>
    </row>
    <row r="21" spans="1:13">
      <c r="A21" t="s">
        <v>1937</v>
      </c>
      <c r="B21" t="s">
        <v>2025</v>
      </c>
      <c r="C21"/>
      <c r="D21"/>
      <c r="E21" t="s">
        <v>1927</v>
      </c>
      <c r="F21" t="s">
        <v>1988</v>
      </c>
      <c r="G21" t="s">
        <v>1940</v>
      </c>
      <c r="H21">
        <v>0</v>
      </c>
      <c r="I21" t="str" cm="1">
        <f t="array" aca="1" ref="I2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02.034.00.13.2.0</v>
      </c>
      <c r="J21" t="s">
        <v>2314</v>
      </c>
      <c r="K21" s="10" t="str">
        <f>TRIM(SUBSTITUTE( LEFT(DATA_Requirements[[#This Row],[Path]], FIND("/", SUBSTITUTE( DATA_Requirements[[#This Row],[Path]]," ","/"),1)-1), ".",""))</f>
        <v/>
      </c>
      <c r="L21"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2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list of Logical Domain grouped High Level (HL) Functional Requirements MUST be developed to include in the Business Case.</v>
      </c>
    </row>
    <row r="22" spans="1:13">
      <c r="A22" t="s">
        <v>1937</v>
      </c>
      <c r="B22" s="22" t="s">
        <v>2103</v>
      </c>
      <c r="C22"/>
      <c r="D22"/>
      <c r="F22"/>
      <c r="G22" s="22" t="s">
        <v>1928</v>
      </c>
      <c r="H22">
        <v>0</v>
      </c>
      <c r="I22" t="str" cm="1">
        <f t="array" aca="1" ref="I2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02.276...0.0</v>
      </c>
      <c r="J22" t="s">
        <v>2315</v>
      </c>
      <c r="K22" s="10" t="str">
        <f>TRIM(SUBSTITUTE( LEFT(DATA_Requirements[[#This Row],[Path]], FIND("/", SUBSTITUTE( DATA_Requirements[[#This Row],[Path]]," ","/"),1)-1), ".",""))</f>
        <v>SupportServices:</v>
      </c>
      <c r="L22"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Support Plan</v>
      </c>
      <c r="M2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Support Services Endorsement at CAB, a Service Support Plan (SSP) MUST be collaboratively developed, and accepted.</v>
      </c>
    </row>
    <row r="23" spans="1:13">
      <c r="A23" t="s">
        <v>1937</v>
      </c>
      <c r="B23" s="22" t="s">
        <v>2103</v>
      </c>
      <c r="C23" s="22"/>
      <c r="D23" s="22"/>
      <c r="E23" s="22"/>
      <c r="F23" s="22"/>
      <c r="G23" s="22" t="s">
        <v>1928</v>
      </c>
      <c r="H23" s="22">
        <v>0</v>
      </c>
      <c r="I23" s="22" t="str" cm="1">
        <f t="array" aca="1" ref="I2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02.276...0.0</v>
      </c>
      <c r="J23" s="22" t="s">
        <v>2316</v>
      </c>
      <c r="K23" s="10" t="str">
        <f>TRIM(SUBSTITUTE( LEFT(DATA_Requirements[[#This Row],[Path]], FIND("/", SUBSTITUTE( DATA_Requirements[[#This Row],[Path]]," ","/"),1)-1), ".",""))</f>
        <v>Training</v>
      </c>
      <c r="L2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Endorsement</v>
      </c>
      <c r="M2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Training Services Endorsement at CAB MUST be obtained to go live.</v>
      </c>
    </row>
    <row r="24" spans="1:13">
      <c r="A24" t="s">
        <v>1937</v>
      </c>
      <c r="B24" s="22" t="s">
        <v>2103</v>
      </c>
      <c r="C24" s="22"/>
      <c r="D24" s="22"/>
      <c r="E24" s="22"/>
      <c r="F24" s="22"/>
      <c r="G24" s="22" t="s">
        <v>1928</v>
      </c>
      <c r="H24" s="22">
        <v>0</v>
      </c>
      <c r="I24" s="22" t="str" cm="1">
        <f t="array" aca="1" ref="I2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02.276...0.0</v>
      </c>
      <c r="J24" s="22" t="s">
        <v>2317</v>
      </c>
      <c r="K24" s="10" t="str">
        <f>TRIM(SUBSTITUTE( LEFT(DATA_Requirements[[#This Row],[Path]], FIND("/", SUBSTITUTE( DATA_Requirements[[#This Row],[Path]]," ","/"),1)-1), ".",""))</f>
        <v>Infrastructure</v>
      </c>
      <c r="L2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Endorsement</v>
      </c>
      <c r="M2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Infrastructure Services Endorsement at CAB MUST be obtained to go live</v>
      </c>
    </row>
    <row r="25" spans="1:13">
      <c r="A25" t="s">
        <v>1937</v>
      </c>
      <c r="B25" s="22" t="s">
        <v>2103</v>
      </c>
      <c r="C25" s="22"/>
      <c r="D25" s="22"/>
      <c r="E25" s="22"/>
      <c r="F25" s="22"/>
      <c r="G25" s="22"/>
      <c r="H25" s="22">
        <v>0</v>
      </c>
      <c r="I25" s="22" t="str" cm="1">
        <f t="array" aca="1" ref="I2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02.276....0</v>
      </c>
      <c r="J25" s="22" t="s">
        <v>2318</v>
      </c>
      <c r="K25" s="10" t="str">
        <f>TRIM(SUBSTITUTE( LEFT(DATA_Requirements[[#This Row],[Path]], FIND("/", SUBSTITUTE( DATA_Requirements[[#This Row],[Path]]," ","/"),1)-1), ".",""))</f>
        <v>Business</v>
      </c>
      <c r="L2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Endorsement</v>
      </c>
      <c r="M2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Business Services Endorsement at CAB MUST be obtained to go live.</v>
      </c>
    </row>
    <row r="26" spans="1:13">
      <c r="A26" t="s">
        <v>1937</v>
      </c>
      <c r="B26" s="22" t="s">
        <v>2103</v>
      </c>
      <c r="C26" s="22"/>
      <c r="D26" s="22"/>
      <c r="E26" s="22" t="s">
        <v>2122</v>
      </c>
      <c r="F26" s="22" t="s">
        <v>2090</v>
      </c>
      <c r="G26" s="22" t="s">
        <v>1940</v>
      </c>
      <c r="H26" s="22">
        <v>0</v>
      </c>
      <c r="I26" s="22" t="str" cm="1">
        <f t="array" aca="1" ref="I2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02.276.76.60.2.0</v>
      </c>
      <c r="J26" s="22" t="s">
        <v>2319</v>
      </c>
      <c r="K26" s="10" t="str">
        <f>TRIM(SUBSTITUTE( LEFT(DATA_Requirements[[#This Row],[Path]], FIND("/", SUBSTITUTE( DATA_Requirements[[#This Row],[Path]]," ","/"),1)-1), ".",""))</f>
        <v>Deployment</v>
      </c>
      <c r="L2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Endorsement at CAB</v>
      </c>
      <c r="M2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Delivery Services Endorsement at CAB MUST be obtained to go live</v>
      </c>
    </row>
    <row r="27" spans="1:13">
      <c r="A27" t="s">
        <v>1937</v>
      </c>
      <c r="B27" t="s">
        <v>2320</v>
      </c>
      <c r="C27"/>
      <c r="D27"/>
      <c r="E27" t="s">
        <v>2092</v>
      </c>
      <c r="F27" t="s">
        <v>1927</v>
      </c>
      <c r="G27" t="s">
        <v>1940</v>
      </c>
      <c r="H27">
        <v>0</v>
      </c>
      <c r="I27" t="str" cm="1">
        <f t="array" aca="1" ref="I2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02.314.61.00.2.0</v>
      </c>
      <c r="J27" t="s">
        <v>2321</v>
      </c>
      <c r="K27" s="10" t="str">
        <f>TRIM(SUBSTITUTE( LEFT(DATA_Requirements[[#This Row],[Path]], FIND("/", SUBSTITUTE( DATA_Requirements[[#This Row],[Path]]," ","/"),1)-1), ".",""))</f>
        <v/>
      </c>
      <c r="L2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v>
      </c>
      <c r="M2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WWW [Sub] Domain Name MUST be defined, subscribed to and registered in a Domain Registry.</v>
      </c>
    </row>
    <row r="28" spans="1:13">
      <c r="A28" t="s">
        <v>1937</v>
      </c>
      <c r="B28" t="s">
        <v>2322</v>
      </c>
      <c r="C28"/>
      <c r="D28"/>
      <c r="E28" t="s">
        <v>2066</v>
      </c>
      <c r="F28" t="s">
        <v>1988</v>
      </c>
      <c r="G28" t="s">
        <v>1940</v>
      </c>
      <c r="H28">
        <v>0</v>
      </c>
      <c r="I28" t="str" cm="1">
        <f t="array" aca="1" ref="I2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02.325.48.13.2.0</v>
      </c>
      <c r="J28" t="s">
        <v>2323</v>
      </c>
      <c r="K28" s="10" t="str">
        <f>TRIM(SUBSTITUTE( LEFT(DATA_Requirements[[#This Row],[Path]], FIND("/", SUBSTITUTE( DATA_Requirements[[#This Row],[Path]]," ","/"),1)-1), ".",""))</f>
        <v>Business</v>
      </c>
      <c r="L28"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2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BizCase HL Functional Requirements MUST be grouped by Logical Domains (eg: Users &amp; Groups, Group based Permissions &amp; Roles, Business Automation, Reporting).</v>
      </c>
    </row>
    <row r="29" spans="1:13">
      <c r="A29" t="s">
        <v>1937</v>
      </c>
      <c r="B29" t="s">
        <v>2324</v>
      </c>
      <c r="C29"/>
      <c r="D29"/>
      <c r="E29" t="s">
        <v>2068</v>
      </c>
      <c r="F29" t="s">
        <v>1988</v>
      </c>
      <c r="G29" t="s">
        <v>1940</v>
      </c>
      <c r="H29">
        <v>0</v>
      </c>
      <c r="I29" t="str" cm="1">
        <f t="array" aca="1" ref="I2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02.326.49.13.2.0</v>
      </c>
      <c r="J29" t="s">
        <v>2325</v>
      </c>
      <c r="K29" s="10" t="str">
        <f>TRIM(SUBSTITUTE( LEFT(DATA_Requirements[[#This Row],[Path]], FIND("/", SUBSTITUTE( DATA_Requirements[[#This Row],[Path]]," ","/"),1)-1), ".",""))</f>
        <v>Business</v>
      </c>
      <c r="L29"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2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list of High Level Quality Requirements MUST be developed to append to the Business Case.</v>
      </c>
    </row>
    <row r="30" spans="1:13">
      <c r="A30" t="s">
        <v>1937</v>
      </c>
      <c r="B30" t="s">
        <v>2326</v>
      </c>
      <c r="C30"/>
      <c r="D30"/>
      <c r="F30"/>
      <c r="G30" t="s">
        <v>1928</v>
      </c>
      <c r="H30">
        <v>0</v>
      </c>
      <c r="I30" t="str" cm="1">
        <f t="array" aca="1" ref="I3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02.358...0.0</v>
      </c>
      <c r="J30" t="s">
        <v>2327</v>
      </c>
      <c r="K30" s="10" t="str">
        <f>TRIM(SUBSTITUTE( LEFT(DATA_Requirements[[#This Row],[Path]], FIND("/", SUBSTITUTE( DATA_Requirements[[#This Row],[Path]]," ","/"),1)-1), ".",""))</f>
        <v>Deployment</v>
      </c>
      <c r="L30"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Deployment Pipeine</v>
      </c>
      <c r="M3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Deployment Services Endorsement at CAB, a Deployment Plan MUST be developed to guide Deployment Services how to automate the idempotent deployment of Infrastructure, services, configuration and backup restoration (see DR Plan)</v>
      </c>
    </row>
    <row r="31" spans="1:13">
      <c r="A31" t="s">
        <v>1937</v>
      </c>
      <c r="B31" t="s">
        <v>2328</v>
      </c>
      <c r="C31"/>
      <c r="D31"/>
      <c r="E31" t="s">
        <v>1927</v>
      </c>
      <c r="F31" t="s">
        <v>1953</v>
      </c>
      <c r="G31" t="s">
        <v>1940</v>
      </c>
      <c r="H31">
        <v>0</v>
      </c>
      <c r="I31" t="str" cm="1">
        <f t="array" aca="1" ref="I3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02.362.00.04.2.0</v>
      </c>
      <c r="J31" t="s">
        <v>2329</v>
      </c>
      <c r="K31" s="10" t="str">
        <f>TRIM(SUBSTITUTE( LEFT(DATA_Requirements[[#This Row],[Path]], FIND("/", SUBSTITUTE( DATA_Requirements[[#This Row],[Path]]," ","/"),1)-1), ".",""))</f>
        <v>InfoService</v>
      </c>
      <c r="L31"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For</v>
      </c>
      <c r="M3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InfrastructureServices Endorsement at CAB, a DisasterRecovery Plan MUST be developed to guide MaintenanceServices on how to activate an automated idempotent recreation of Environments, system and configuration redeployments and Backup restoration</v>
      </c>
    </row>
    <row r="32" spans="1:13">
      <c r="A32" t="s">
        <v>1937</v>
      </c>
      <c r="B32" t="s">
        <v>2330</v>
      </c>
      <c r="C32"/>
      <c r="D32"/>
      <c r="E32" t="s">
        <v>2038</v>
      </c>
      <c r="F32" t="s">
        <v>1988</v>
      </c>
      <c r="G32" t="s">
        <v>1940</v>
      </c>
      <c r="H32">
        <v>0</v>
      </c>
      <c r="I32" t="str" cm="1">
        <f t="array" aca="1" ref="I3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02.363.35.13.2.0</v>
      </c>
      <c r="J32" t="s">
        <v>2331</v>
      </c>
      <c r="K32" s="10" t="str">
        <f>TRIM(SUBSTITUTE( LEFT(DATA_Requirements[[#This Row],[Path]], FIND("/", SUBSTITUTE( DATA_Requirements[[#This Row],[Path]]," ","/"),1)-1), ".",""))</f>
        <v>Business</v>
      </c>
      <c r="L32"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Support Services:BSG</v>
      </c>
      <c r="M3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Support Services Endorsement, a Business Support Guide MUST be developed for when Support Services forwards Contact Calls</v>
      </c>
    </row>
    <row r="33" spans="1:13">
      <c r="A33" t="s">
        <v>1937</v>
      </c>
      <c r="B33" t="s">
        <v>2332</v>
      </c>
      <c r="C33"/>
      <c r="D33"/>
      <c r="E33" t="s">
        <v>1927</v>
      </c>
      <c r="F33" t="s">
        <v>2108</v>
      </c>
      <c r="G33" t="s">
        <v>1940</v>
      </c>
      <c r="H33">
        <v>0</v>
      </c>
      <c r="I33" t="str" cm="1">
        <f t="array" aca="1" ref="I3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02.366.00.69.2.0</v>
      </c>
      <c r="J33" t="s">
        <v>2333</v>
      </c>
      <c r="K33" s="10" t="str">
        <f>TRIM(SUBSTITUTE( LEFT(DATA_Requirements[[#This Row],[Path]], FIND("/", SUBSTITUTE( DATA_Requirements[[#This Row],[Path]]," ","/"),1)-1), ".",""))</f>
        <v/>
      </c>
      <c r="L3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For</v>
      </c>
      <c r="M3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Training Services Endorsement at CAB, a training plan MUST be collaboratively developed, and accepted.</v>
      </c>
    </row>
    <row r="34" spans="1:13">
      <c r="A34" t="s">
        <v>1937</v>
      </c>
      <c r="B34" t="s">
        <v>2334</v>
      </c>
      <c r="C34"/>
      <c r="D34"/>
      <c r="E34" t="s">
        <v>2036</v>
      </c>
      <c r="F34" t="s">
        <v>1988</v>
      </c>
      <c r="G34" t="s">
        <v>1940</v>
      </c>
      <c r="H34">
        <v>0</v>
      </c>
      <c r="I34" t="str" cm="1">
        <f t="array" aca="1" ref="I3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02.367.34.13.2.0</v>
      </c>
      <c r="J34" t="s">
        <v>2335</v>
      </c>
      <c r="K34" s="10" t="str">
        <f>TRIM(SUBSTITUTE( LEFT(DATA_Requirements[[#This Row],[Path]], FIND("/", SUBSTITUTE( DATA_Requirements[[#This Row],[Path]]," ","/"),1)-1), ".",""))</f>
        <v>BusinessServices:</v>
      </c>
      <c r="L34"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Continuity Plan</v>
      </c>
      <c r="M3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Business Services Endorsement at CAB, a Continuity Plan MUST be developed to Guide operations if the digital service is unavailable</v>
      </c>
    </row>
    <row r="35" spans="1:13">
      <c r="A35" t="s">
        <v>1937</v>
      </c>
      <c r="B35" t="s">
        <v>2213</v>
      </c>
      <c r="C35"/>
      <c r="D35"/>
      <c r="F35"/>
      <c r="G35" s="22" t="s">
        <v>1928</v>
      </c>
      <c r="H35">
        <v>0</v>
      </c>
      <c r="I35" t="str" cm="1">
        <f t="array" aca="1" ref="I3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02.410...0.0</v>
      </c>
      <c r="J35" t="s">
        <v>2336</v>
      </c>
      <c r="K35" s="10" t="str">
        <f>TRIM(SUBSTITUTE( LEFT(DATA_Requirements[[#This Row],[Path]], FIND("/", SUBSTITUTE( DATA_Requirements[[#This Row],[Path]]," ","/"),1)-1), ".",""))</f>
        <v/>
      </c>
      <c r="L35"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For</v>
      </c>
      <c r="M3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Training Service Endorsement at CAB, multiple, resetable, Traning Environments or Tenancies, with test data MUST be provided.</v>
      </c>
    </row>
    <row r="36" spans="1:13">
      <c r="A36" t="s">
        <v>1937</v>
      </c>
      <c r="B36" s="22" t="s">
        <v>2197</v>
      </c>
      <c r="C36" s="22"/>
      <c r="D36" s="22"/>
      <c r="E36" s="22"/>
      <c r="F36" s="22"/>
      <c r="G36" t="s">
        <v>1928</v>
      </c>
      <c r="H36" s="22">
        <v>0</v>
      </c>
      <c r="I36" s="22" t="str" cm="1">
        <f t="array" aca="1" ref="I3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02.411...0.0</v>
      </c>
      <c r="J36" s="22" t="s">
        <v>2337</v>
      </c>
      <c r="K36" s="10" t="str">
        <f>TRIM(SUBSTITUTE( LEFT(DATA_Requirements[[#This Row],[Path]], FIND("/", SUBSTITUTE( DATA_Requirements[[#This Row],[Path]]," ","/"),1)-1), ".",""))</f>
        <v>Media</v>
      </c>
      <c r="L3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Development Services: Content</v>
      </c>
      <c r="M3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37" spans="1:13">
      <c r="A37" t="s">
        <v>1937</v>
      </c>
      <c r="B37" s="22" t="s">
        <v>2197</v>
      </c>
      <c r="C37"/>
      <c r="D37"/>
      <c r="F37"/>
      <c r="G37" t="s">
        <v>1928</v>
      </c>
      <c r="H37">
        <v>0</v>
      </c>
      <c r="I37" t="str" cm="1">
        <f t="array" aca="1" ref="I3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02.411...0.0</v>
      </c>
      <c r="J37" t="s">
        <v>2338</v>
      </c>
      <c r="K37" s="10" t="str">
        <f>TRIM(SUBSTITUTE( LEFT(DATA_Requirements[[#This Row],[Path]], FIND("/", SUBSTITUTE( DATA_Requirements[[#This Row],[Path]]," ","/"),1)-1), ".",""))</f>
        <v>Media</v>
      </c>
      <c r="L3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Development Services: SOW</v>
      </c>
      <c r="M3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MAY be developed with Consultant SMEs on Content Media to develop system Resources.</v>
      </c>
    </row>
    <row r="38" spans="1:13">
      <c r="A38" t="s">
        <v>1937</v>
      </c>
      <c r="B38" s="22" t="s">
        <v>2218</v>
      </c>
      <c r="C38" s="22"/>
      <c r="D38" s="22"/>
      <c r="E38" s="22" t="s">
        <v>2122</v>
      </c>
      <c r="F38" s="22" t="s">
        <v>2060</v>
      </c>
      <c r="G38" s="22" t="s">
        <v>1940</v>
      </c>
      <c r="H38" s="22">
        <v>0</v>
      </c>
      <c r="I38" s="22" t="str" cm="1">
        <f t="array" aca="1" ref="I3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02.422.76.46.2.0</v>
      </c>
      <c r="J38" s="22" t="s">
        <v>2339</v>
      </c>
      <c r="K38" s="10" t="str">
        <f>TRIM(SUBSTITUTE( LEFT(DATA_Requirements[[#This Row],[Path]], FIND("/", SUBSTITUTE( DATA_Requirements[[#This Row],[Path]]," ","/"),1)-1), ".",""))</f>
        <v>Deployment</v>
      </c>
      <c r="L3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ALM Pipeline</v>
      </c>
      <c r="M3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To obtaine Deployment Services Endorsement at CAB, an automated Pipeline MUST be developed in collaboration and accepted</v>
      </c>
    </row>
    <row r="39" spans="1:13">
      <c r="A39" t="s">
        <v>1937</v>
      </c>
      <c r="B39" t="s">
        <v>2237</v>
      </c>
      <c r="C39"/>
      <c r="D39"/>
      <c r="E39" s="22" t="s">
        <v>2122</v>
      </c>
      <c r="F39" s="22" t="s">
        <v>2060</v>
      </c>
      <c r="G39" s="22" t="s">
        <v>1940</v>
      </c>
      <c r="H39">
        <v>0</v>
      </c>
      <c r="I39" t="str" cm="1">
        <f t="array" aca="1" ref="I3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02.441.76.46.2.0</v>
      </c>
      <c r="J39" t="s">
        <v>2340</v>
      </c>
      <c r="K39" s="10" t="str">
        <f>TRIM(SUBSTITUTE( LEFT(DATA_Requirements[[#This Row],[Path]], FIND("/", SUBSTITUTE( DATA_Requirements[[#This Row],[Path]]," ","/"),1)-1), ".",""))</f>
        <v>Deployment</v>
      </c>
      <c r="L39"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Coded Instructions</v>
      </c>
      <c r="M3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the System is Hosted, SystemClientAsCode MUST be developed As a Service Client component of automated deployments which Deployment Services are expecting</v>
      </c>
    </row>
    <row r="40" spans="1:13">
      <c r="A40" t="s">
        <v>1937</v>
      </c>
      <c r="B40" t="s">
        <v>2237</v>
      </c>
      <c r="C40"/>
      <c r="D40"/>
      <c r="E40" s="22" t="s">
        <v>2122</v>
      </c>
      <c r="F40" s="22" t="s">
        <v>2060</v>
      </c>
      <c r="G40" s="22" t="s">
        <v>1940</v>
      </c>
      <c r="H40">
        <v>0</v>
      </c>
      <c r="I40" t="str" cm="1">
        <f t="array" aca="1" ref="I4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02.441.76.46.2.0</v>
      </c>
      <c r="J40" t="s">
        <v>2341</v>
      </c>
      <c r="K40" s="10" t="str">
        <f>TRIM(SUBSTITUTE( LEFT(DATA_Requirements[[#This Row],[Path]], FIND("/", SUBSTITUTE( DATA_Requirements[[#This Row],[Path]]," ","/"),1)-1), ".",""))</f>
        <v>Deployment</v>
      </c>
      <c r="L40"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InfraAsCode</v>
      </c>
      <c r="M4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Any Infrastructure instructions MUST be delivered as idempotent Code (Infrastructure-as-Code).</v>
      </c>
    </row>
    <row r="41" spans="1:13">
      <c r="A41" t="s">
        <v>1937</v>
      </c>
      <c r="B41" t="s">
        <v>2240</v>
      </c>
      <c r="C41"/>
      <c r="D41"/>
      <c r="F41"/>
      <c r="G41" t="s">
        <v>1928</v>
      </c>
      <c r="H41">
        <v>0</v>
      </c>
      <c r="I41" t="str" cm="1">
        <f t="array" aca="1" ref="I4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02.444...0.0</v>
      </c>
      <c r="J41" t="s">
        <v>2342</v>
      </c>
      <c r="K41" s="10" t="str">
        <f>TRIM(SUBSTITUTE( LEFT(DATA_Requirements[[#This Row],[Path]], FIND("/", SUBSTITUTE( DATA_Requirements[[#This Row],[Path]]," ","/"),1)-1), ".",""))</f>
        <v>Deployment</v>
      </c>
      <c r="L41"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DatabaseSchemaAsCode</v>
      </c>
      <c r="M4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the System is Hosted, DatabaseSchemaAsCode MUST be developed As a Service Client component of automated deployments which Deployment Services are expecting</v>
      </c>
    </row>
    <row r="42" spans="1:13">
      <c r="A42" t="s">
        <v>1937</v>
      </c>
      <c r="B42" t="s">
        <v>2243</v>
      </c>
      <c r="C42"/>
      <c r="D42"/>
      <c r="E42" s="22" t="s">
        <v>2122</v>
      </c>
      <c r="F42" s="22" t="s">
        <v>2060</v>
      </c>
      <c r="G42" s="22" t="s">
        <v>1940</v>
      </c>
      <c r="H42">
        <v>0</v>
      </c>
      <c r="I42" t="str" cm="1">
        <f t="array" aca="1" ref="I4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02.451.76.46.2.0</v>
      </c>
      <c r="J42" t="s">
        <v>2343</v>
      </c>
      <c r="K42" s="10" t="str">
        <f>TRIM(SUBSTITUTE( LEFT(DATA_Requirements[[#This Row],[Path]], FIND("/", SUBSTITUTE( DATA_Requirements[[#This Row],[Path]]," ","/"),1)-1), ".",""))</f>
        <v>Deployment</v>
      </c>
      <c r="L42"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SystemConfigurationAsCode</v>
      </c>
      <c r="M4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Any System host device configuration instructions MUST be delivered as idempotent Code (Configuration-as-Code)</v>
      </c>
    </row>
    <row r="43" spans="1:13">
      <c r="A43" t="s">
        <v>1937</v>
      </c>
      <c r="B43" t="s">
        <v>2243</v>
      </c>
      <c r="C43"/>
      <c r="D43"/>
      <c r="F43"/>
      <c r="G43" t="s">
        <v>1928</v>
      </c>
      <c r="H43">
        <v>0</v>
      </c>
      <c r="I43" t="str" cm="1">
        <f t="array" aca="1" ref="I4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02.451...0.0</v>
      </c>
      <c r="J43" t="s">
        <v>2344</v>
      </c>
      <c r="K43" s="10" t="str">
        <f>TRIM(SUBSTITUTE( LEFT(DATA_Requirements[[#This Row],[Path]], FIND("/", SUBSTITUTE( DATA_Requirements[[#This Row],[Path]]," ","/"),1)-1), ".",""))</f>
        <v>Deployment</v>
      </c>
      <c r="L4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BackupsAsCode</v>
      </c>
      <c r="M4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Deployment Services Endorsement at CAB, an Automated Deployment Pipeline for idempotently creating Infrastructure, deploying Systems and Configuration, restoring Backups is required</v>
      </c>
    </row>
    <row r="44" spans="1:13">
      <c r="A44" s="16" t="s">
        <v>1937</v>
      </c>
      <c r="B44" s="16"/>
      <c r="C44" s="16"/>
      <c r="D44" s="16"/>
      <c r="E44" s="16"/>
      <c r="F44" s="16"/>
      <c r="G44" s="16"/>
      <c r="H44" s="16"/>
      <c r="I44" s="16" t="str" cm="1">
        <f t="array" aca="1" ref="I4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v>
      </c>
      <c r="J44" s="16" t="s">
        <v>2345</v>
      </c>
      <c r="K44" s="10" t="str">
        <f>TRIM(SUBSTITUTE( LEFT(DATA_Requirements[[#This Row],[Path]], FIND("/", SUBSTITUTE( DATA_Requirements[[#This Row],[Path]]," ","/"),1)-1), ".",""))</f>
        <v>A</v>
      </c>
      <c r="L44"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44"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45" spans="1:13">
      <c r="A45" s="22" t="s">
        <v>1937</v>
      </c>
      <c r="B45" s="22"/>
      <c r="C45" s="22"/>
      <c r="D45" s="22"/>
      <c r="E45" s="22"/>
      <c r="F45" s="22"/>
      <c r="G45" s="22"/>
      <c r="H45" s="22">
        <v>0</v>
      </c>
      <c r="I45" s="22" t="str" cm="1">
        <f t="array" aca="1" ref="I4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v>
      </c>
      <c r="J45" s="22" t="s">
        <v>2346</v>
      </c>
      <c r="K45" s="10" t="str">
        <f>TRIM(SUBSTITUTE( LEFT(DATA_Requirements[[#This Row],[Path]], FIND("/", SUBSTITUTE( DATA_Requirements[[#This Row],[Path]]," ","/"),1)-1), ".",""))</f>
        <v>SubDeliverables:</v>
      </c>
      <c r="L45"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4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Development of several sub-deliverables MUST be managed to inform the Business Case (eg: Stakholders, Options, Information, Data Classification, Functionality, Qualities, Integrations, etc.)</v>
      </c>
    </row>
    <row r="46" spans="1:13">
      <c r="A46" s="22" t="s">
        <v>1937</v>
      </c>
      <c r="B46" s="22"/>
      <c r="C46" s="22"/>
      <c r="D46" s="22"/>
      <c r="E46" s="22"/>
      <c r="F46" s="22"/>
      <c r="G46" s="22"/>
      <c r="H46" s="22">
        <v>0</v>
      </c>
      <c r="I46" s="22" t="str" cm="1">
        <f t="array" aca="1" ref="I4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v>
      </c>
      <c r="J46" s="22" t="s">
        <v>2347</v>
      </c>
      <c r="K46" s="10" t="str">
        <f>TRIM(SUBSTITUTE( LEFT(DATA_Requirements[[#This Row],[Path]], FIND("/", SUBSTITUTE( DATA_Requirements[[#This Row],[Path]]," ","/"),1)-1), ".",""))</f>
        <v>Organisation</v>
      </c>
      <c r="L4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Information Governance: InfoService: Endorsement</v>
      </c>
      <c r="M4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Information Governance Endoresement at CAB MUST be obtained to go live.</v>
      </c>
    </row>
    <row r="47" spans="1:13">
      <c r="A47" t="s">
        <v>1937</v>
      </c>
      <c r="C47"/>
      <c r="D47"/>
      <c r="F47"/>
      <c r="G47" t="s">
        <v>1940</v>
      </c>
      <c r="H47">
        <v>0</v>
      </c>
      <c r="I47" t="str" cm="1">
        <f t="array" aca="1" ref="I4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02....2.0</v>
      </c>
      <c r="J47" t="s">
        <v>2348</v>
      </c>
      <c r="K47" s="10" t="str">
        <f>TRIM(SUBSTITUTE( LEFT(DATA_Requirements[[#This Row],[Path]], FIND("/", SUBSTITUTE( DATA_Requirements[[#This Row],[Path]]," ","/"),1)-1), ".",""))</f>
        <v>Organisation</v>
      </c>
      <c r="L47"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4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HL simplified Information Description MUST be developed to inform the Business Plan, showing elements required for each functional Logical Domain, including integration.</v>
      </c>
    </row>
    <row r="48" spans="1:13">
      <c r="A48" t="s">
        <v>1937</v>
      </c>
      <c r="C48"/>
      <c r="D48"/>
      <c r="F48"/>
      <c r="G48" t="s">
        <v>1940</v>
      </c>
      <c r="H48">
        <v>0</v>
      </c>
      <c r="I48" t="str" cm="1">
        <f t="array" aca="1" ref="I4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02....2.0</v>
      </c>
      <c r="J48" t="s">
        <v>2349</v>
      </c>
      <c r="K48" s="10" t="str">
        <f>TRIM(SUBSTITUTE( LEFT(DATA_Requirements[[#This Row],[Path]], FIND("/", SUBSTITUTE( DATA_Requirements[[#This Row],[Path]]," ","/"),1)-1), ".",""))</f>
        <v>Organisation</v>
      </c>
      <c r="L48"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4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Data Classification of the Information managed by the business Service MUST be determined, accepted and recorded in the Business Case.</v>
      </c>
    </row>
    <row r="49" spans="1:13">
      <c r="A49" t="s">
        <v>1937</v>
      </c>
      <c r="C49"/>
      <c r="D49"/>
      <c r="F49"/>
      <c r="G49" t="s">
        <v>1940</v>
      </c>
      <c r="H49">
        <v>0</v>
      </c>
      <c r="I49" t="str" cm="1">
        <f t="array" aca="1" ref="I4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02....2.0</v>
      </c>
      <c r="J49" t="s">
        <v>2350</v>
      </c>
      <c r="K49" s="10" t="str">
        <f>TRIM(SUBSTITUTE( LEFT(DATA_Requirements[[#This Row],[Path]], FIND("/", SUBSTITUTE( DATA_Requirements[[#This Row],[Path]]," ","/"),1)-1), ".",""))</f>
        <v>Organisation</v>
      </c>
      <c r="L49"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4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Information Service's Endorsement at CAB, the service's Information Data Classification MUST be approved early (eg: BizCase) as it affects design choices &amp; cost.</v>
      </c>
    </row>
    <row r="50" spans="1:13">
      <c r="A50" t="s">
        <v>1937</v>
      </c>
      <c r="C50"/>
      <c r="D50"/>
      <c r="F50" t="s">
        <v>1967</v>
      </c>
      <c r="G50" t="s">
        <v>1940</v>
      </c>
      <c r="H50">
        <v>0</v>
      </c>
      <c r="I50" t="str" cm="1">
        <f t="array" aca="1" ref="I5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02...07.2.0</v>
      </c>
      <c r="J50" t="s">
        <v>2351</v>
      </c>
      <c r="K50" s="10" t="str">
        <f>TRIM(SUBSTITUTE( LEFT(DATA_Requirements[[#This Row],[Path]], FIND("/", SUBSTITUTE( DATA_Requirements[[#This Row],[Path]]," ","/"),1)-1), ".",""))</f>
        <v>Organisation</v>
      </c>
      <c r="L50"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 Services: InfoService: PIA</v>
      </c>
      <c r="M5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Privacy Impact Assessment (PIA) Report MUST be developed and signed off by Privacy Governance officers.</v>
      </c>
    </row>
    <row r="51" spans="1:13">
      <c r="A51" t="s">
        <v>1937</v>
      </c>
      <c r="C51"/>
      <c r="D51"/>
      <c r="E51" t="s">
        <v>2114</v>
      </c>
      <c r="F51" t="s">
        <v>1967</v>
      </c>
      <c r="G51" t="s">
        <v>1940</v>
      </c>
      <c r="H51">
        <v>0</v>
      </c>
      <c r="I51" t="str" cm="1">
        <f t="array" aca="1" ref="I5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02..72.07.2.0</v>
      </c>
      <c r="J51" t="s">
        <v>2352</v>
      </c>
      <c r="K51" s="10" t="str">
        <f>TRIM(SUBSTITUTE( LEFT(DATA_Requirements[[#This Row],[Path]], FIND("/", SUBSTITUTE( DATA_Requirements[[#This Row],[Path]]," ","/"),1)-1), ".",""))</f>
        <v>Organisation</v>
      </c>
      <c r="L51"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 Services: InfoService: Cookie Statement</v>
      </c>
      <c r="M5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Privacy Services Endorsement at CAB, a A Tracking (Cookie) Statement MUST be either referenced or developed</v>
      </c>
    </row>
    <row r="52" spans="1:13">
      <c r="A52" t="s">
        <v>1937</v>
      </c>
      <c r="C52"/>
      <c r="D52"/>
      <c r="E52" t="s">
        <v>2114</v>
      </c>
      <c r="F52" t="s">
        <v>1967</v>
      </c>
      <c r="G52" t="s">
        <v>1940</v>
      </c>
      <c r="H52">
        <v>0</v>
      </c>
      <c r="I52" t="str" cm="1">
        <f t="array" aca="1" ref="I5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02..72.07.2.0</v>
      </c>
      <c r="J52" t="s">
        <v>2353</v>
      </c>
      <c r="K52" s="10" t="str">
        <f>TRIM(SUBSTITUTE( LEFT(DATA_Requirements[[#This Row],[Path]], FIND("/", SUBSTITUTE( DATA_Requirements[[#This Row],[Path]]," ","/"),1)-1), ".",""))</f>
        <v>Organisation</v>
      </c>
      <c r="L52"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 Services: InfoService: Opt Out Statement</v>
      </c>
      <c r="M5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Privacy Services Endorsement at CAB, a PII Opt Out Statement MUST be either referenced or developed As a Service Client Resource</v>
      </c>
    </row>
    <row r="53" spans="1:13">
      <c r="A53" t="s">
        <v>1937</v>
      </c>
      <c r="C53"/>
      <c r="D53"/>
      <c r="E53" t="s">
        <v>2114</v>
      </c>
      <c r="F53" t="s">
        <v>1967</v>
      </c>
      <c r="G53" t="s">
        <v>1940</v>
      </c>
      <c r="H53">
        <v>0</v>
      </c>
      <c r="I53" t="str" cm="1">
        <f t="array" aca="1" ref="I5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02..72.07.2.0</v>
      </c>
      <c r="J53" t="s">
        <v>2354</v>
      </c>
      <c r="K53" s="10" t="str">
        <f>TRIM(SUBSTITUTE( LEFT(DATA_Requirements[[#This Row],[Path]], FIND("/", SUBSTITUTE( DATA_Requirements[[#This Row],[Path]]," ","/"),1)-1), ".",""))</f>
        <v>Organisation</v>
      </c>
      <c r="L5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 Services: InfoService: PII Statement</v>
      </c>
      <c r="M5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Privacy Services Endorsement at CAB, a PII Correction Statement MUST be either referenced or developed As a Service Client Resource</v>
      </c>
    </row>
    <row r="54" spans="1:13">
      <c r="A54" t="s">
        <v>1937</v>
      </c>
      <c r="C54"/>
      <c r="D54"/>
      <c r="E54" t="s">
        <v>2114</v>
      </c>
      <c r="F54" t="s">
        <v>1967</v>
      </c>
      <c r="G54" t="s">
        <v>1940</v>
      </c>
      <c r="H54">
        <v>0</v>
      </c>
      <c r="I54" t="str" cm="1">
        <f t="array" aca="1" ref="I5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02..72.07.2.0</v>
      </c>
      <c r="J54" t="s">
        <v>2355</v>
      </c>
      <c r="K54" s="10" t="str">
        <f>TRIM(SUBSTITUTE( LEFT(DATA_Requirements[[#This Row],[Path]], FIND("/", SUBSTITUTE( DATA_Requirements[[#This Row],[Path]]," ","/"),1)-1), ".",""))</f>
        <v>Organisation</v>
      </c>
      <c r="L54"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 Services: InfoService: Privacy Statement</v>
      </c>
      <c r="M5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Privacy Services Endorsement at CAB, a Privacy Statement MUST be either referenced or developed As a Service Client Resource</v>
      </c>
    </row>
    <row r="55" spans="1:13">
      <c r="A55" t="s">
        <v>1937</v>
      </c>
      <c r="B55" s="22"/>
      <c r="C55" s="22"/>
      <c r="D55" s="22"/>
      <c r="E55" s="22"/>
      <c r="F55" s="22"/>
      <c r="G55" s="22" t="s">
        <v>1954</v>
      </c>
      <c r="H55" s="22">
        <v>0</v>
      </c>
      <c r="I55" s="22" t="str" cm="1">
        <f t="array" aca="1" ref="I5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02....4.0</v>
      </c>
      <c r="J55" s="22" t="s">
        <v>2356</v>
      </c>
      <c r="K55" s="10" t="str">
        <f>TRIM(SUBSTITUTE( LEFT(DATA_Requirements[[#This Row],[Path]], FIND("/", SUBSTITUTE( DATA_Requirements[[#This Row],[Path]]," ","/"),1)-1), ".",""))</f>
        <v>Organisation</v>
      </c>
      <c r="L5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 Services: Endorsement</v>
      </c>
      <c r="M5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Privacy Services Endorsement at CAB MUST be obtained to go live.</v>
      </c>
    </row>
    <row r="56" spans="1:13">
      <c r="A56" t="s">
        <v>1937</v>
      </c>
      <c r="B56" s="22"/>
      <c r="C56" s="22"/>
      <c r="D56" s="22"/>
      <c r="E56" s="22"/>
      <c r="F56" s="22"/>
      <c r="G56" s="22" t="s">
        <v>1928</v>
      </c>
      <c r="H56" s="22">
        <v>0</v>
      </c>
      <c r="I56" s="22" t="str" cm="1">
        <f t="array" aca="1" ref="I5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56" s="22" t="s">
        <v>2357</v>
      </c>
      <c r="K56" s="10" t="str">
        <f>TRIM(SUBSTITUTE( LEFT(DATA_Requirements[[#This Row],[Path]], FIND("/", SUBSTITUTE( DATA_Requirements[[#This Row],[Path]]," ","/"),1)-1), ".",""))</f>
        <v>Content:</v>
      </c>
      <c r="L5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 Development Services: Endorsement at CAB</v>
      </c>
      <c r="M5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Endorsement by Media Development Services at CAB MUST be obtained to go live.</v>
      </c>
    </row>
    <row r="57" spans="1:13">
      <c r="A57" t="s">
        <v>1937</v>
      </c>
      <c r="B57" s="22"/>
      <c r="C57" s="22"/>
      <c r="D57" s="22"/>
      <c r="E57" s="22"/>
      <c r="F57" s="22"/>
      <c r="G57" s="22" t="s">
        <v>1928</v>
      </c>
      <c r="H57" s="22">
        <v>0</v>
      </c>
      <c r="I57" s="22" t="str" cm="1">
        <f t="array" aca="1" ref="I5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57" s="22" t="s">
        <v>2358</v>
      </c>
      <c r="K57" s="10" t="str">
        <f>TRIM(SUBSTITUTE( LEFT(DATA_Requirements[[#This Row],[Path]], FIND("/", SUBSTITUTE( DATA_Requirements[[#This Row],[Path]]," ","/"),1)-1), ".",""))</f>
        <v>InfoService</v>
      </c>
      <c r="L5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DIGI: Endorsement</v>
      </c>
      <c r="M5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DIG Endorsement at CAB MUST be obtained to go live</v>
      </c>
    </row>
    <row r="58" spans="1:13">
      <c r="A58" t="s">
        <v>1937</v>
      </c>
      <c r="B58" s="22"/>
      <c r="C58" s="22"/>
      <c r="D58" s="22"/>
      <c r="E58" s="22"/>
      <c r="F58" s="22"/>
      <c r="G58" s="22" t="s">
        <v>1928</v>
      </c>
      <c r="H58" s="22">
        <v>0</v>
      </c>
      <c r="I58" s="22" t="str" cm="1">
        <f t="array" aca="1" ref="I5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58" s="22" t="s">
        <v>2359</v>
      </c>
      <c r="K58" s="10" t="str">
        <f>TRIM(SUBSTITUTE( LEFT(DATA_Requirements[[#This Row],[Path]], FIND("/", SUBSTITUTE( DATA_Requirements[[#This Row],[Path]]," ","/"),1)-1), ".",""))</f>
        <v>Business</v>
      </c>
      <c r="L58"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5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Business Case's Principles, Options analysis, Information, Functionality and Qualities MUST be presented to and endorsed by ITC's DA prior to presentation to ITC GB.</v>
      </c>
    </row>
    <row r="59" spans="1:13">
      <c r="A59" t="s">
        <v>1937</v>
      </c>
      <c r="C59"/>
      <c r="D59"/>
      <c r="F59"/>
      <c r="G59" s="22" t="s">
        <v>1928</v>
      </c>
      <c r="H59">
        <v>0</v>
      </c>
      <c r="I59" t="str" cm="1">
        <f t="array" aca="1" ref="I5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59" t="s">
        <v>2360</v>
      </c>
      <c r="K59" s="10" t="str">
        <f>TRIM(SUBSTITUTE( LEFT(DATA_Requirements[[#This Row],[Path]], FIND("/", SUBSTITUTE( DATA_Requirements[[#This Row],[Path]]," ","/"),1)-1), ".",""))</f>
        <v>InfoService</v>
      </c>
      <c r="L59"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DIGI Endorsement: Data Warehouse Models</v>
      </c>
      <c r="M5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TODO Data Warehouse Models</v>
      </c>
    </row>
    <row r="60" spans="1:13">
      <c r="A60" t="s">
        <v>1937</v>
      </c>
      <c r="C60"/>
      <c r="D60"/>
      <c r="F60"/>
      <c r="G60" s="22" t="s">
        <v>1928</v>
      </c>
      <c r="H60">
        <v>0</v>
      </c>
      <c r="I60" t="str" cm="1">
        <f t="array" aca="1" ref="I6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60" t="s">
        <v>2361</v>
      </c>
      <c r="K60" s="10" t="str">
        <f>TRIM(SUBSTITUTE( LEFT(DATA_Requirements[[#This Row],[Path]], FIND("/", SUBSTITUTE( DATA_Requirements[[#This Row],[Path]]," ","/"),1)-1), ".",""))</f>
        <v>InfoService</v>
      </c>
      <c r="L60"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(DIGI) Endorsement of API Models</v>
      </c>
      <c r="M6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To obtain DIGI Endorsement at CAB, Data Services MUST review, inform and approve the InfoService's API API Design &amp; Documentation</v>
      </c>
    </row>
    <row r="61" spans="1:13">
      <c r="A61" t="s">
        <v>1937</v>
      </c>
      <c r="B61" s="22"/>
      <c r="C61" s="22"/>
      <c r="D61" s="22"/>
      <c r="E61" s="22"/>
      <c r="F61" s="22"/>
      <c r="G61" s="22" t="s">
        <v>1928</v>
      </c>
      <c r="H61" s="22">
        <v>0</v>
      </c>
      <c r="I61" s="22" t="str" cm="1">
        <f t="array" aca="1" ref="I6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61" s="22" t="s">
        <v>2362</v>
      </c>
      <c r="K61" s="10" t="str">
        <f>TRIM(SUBSTITUTE( LEFT(DATA_Requirements[[#This Row],[Path]], FIND("/", SUBSTITUTE( DATA_Requirements[[#This Row],[Path]]," ","/"),1)-1), ".",""))</f>
        <v>Business</v>
      </c>
      <c r="L61"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6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Business Case MUST be presented to and endorsed by ITC's GB.</v>
      </c>
    </row>
    <row r="62" spans="1:13">
      <c r="A62" t="s">
        <v>1937</v>
      </c>
      <c r="B62" s="22"/>
      <c r="C62" s="22"/>
      <c r="D62" s="22"/>
      <c r="E62" s="22"/>
      <c r="F62" s="22"/>
      <c r="G62" s="22" t="s">
        <v>1928</v>
      </c>
      <c r="H62" s="22">
        <v>0</v>
      </c>
      <c r="I62" s="22" t="str" cm="1">
        <f t="array" aca="1" ref="I6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62" s="22" t="s">
        <v>2363</v>
      </c>
      <c r="K62" s="10" t="str">
        <f>TRIM(SUBSTITUTE( LEFT(DATA_Requirements[[#This Row],[Path]], FIND("/", SUBSTITUTE( DATA_Requirements[[#This Row],[Path]]," ","/"),1)-1), ".",""))</f>
        <v>InfoService</v>
      </c>
      <c r="L6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Endorsement</v>
      </c>
      <c r="M6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ITC Design Services Endorsement of the architecture at CAB MUST be obtained to go live</v>
      </c>
    </row>
    <row r="63" spans="1:13">
      <c r="A63" t="s">
        <v>1937</v>
      </c>
      <c r="C63"/>
      <c r="D63"/>
      <c r="F63"/>
      <c r="G63" s="22" t="s">
        <v>1928</v>
      </c>
      <c r="H63">
        <v>0</v>
      </c>
      <c r="I63" t="str" cm="1">
        <f t="array" aca="1" ref="I6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63" t="s">
        <v>2364</v>
      </c>
      <c r="K63" s="10" t="str">
        <f>TRIM(SUBSTITUTE( LEFT(DATA_Requirements[[#This Row],[Path]], FIND("/", SUBSTITUTE( DATA_Requirements[[#This Row],[Path]]," ","/"),1)-1), ".",""))</f>
        <v>InfoService</v>
      </c>
      <c r="L6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Obligations</v>
      </c>
      <c r="M6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ITC Design Services defined obligations (eg: adherence to Design Principles, Standards &amp; Frameworks, Integration &amp; Services) MUST be adhered to.</v>
      </c>
    </row>
    <row r="64" spans="1:13">
      <c r="A64" t="s">
        <v>1937</v>
      </c>
      <c r="B64" s="22"/>
      <c r="C64" s="22"/>
      <c r="D64" s="22"/>
      <c r="E64" s="22"/>
      <c r="F64" s="22"/>
      <c r="G64" s="22" t="s">
        <v>1928</v>
      </c>
      <c r="H64" s="22">
        <v>0</v>
      </c>
      <c r="I64" s="22" t="str" cm="1">
        <f t="array" aca="1" ref="I6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64" s="22" t="s">
        <v>2365</v>
      </c>
      <c r="K64" s="10" t="str">
        <f>TRIM(SUBSTITUTE( LEFT(DATA_Requirements[[#This Row],[Path]], FIND("/", SUBSTITUTE( DATA_Requirements[[#This Row],[Path]]," ","/"),1)-1), ".",""))</f>
        <v>C&amp;A</v>
      </c>
      <c r="L6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Endorsement</v>
      </c>
      <c r="M6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C&amp;A Services Endorsement at CAB MUST be obtained to go live.</v>
      </c>
    </row>
    <row r="65" spans="1:13">
      <c r="A65" t="s">
        <v>1937</v>
      </c>
      <c r="C65"/>
      <c r="D65"/>
      <c r="F65"/>
      <c r="G65" s="22" t="s">
        <v>1928</v>
      </c>
      <c r="H65">
        <v>0</v>
      </c>
      <c r="I65" t="str" cm="1">
        <f t="array" aca="1" ref="I6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65" t="s">
        <v>2366</v>
      </c>
      <c r="K65" s="10" t="str">
        <f>TRIM(SUBSTITUTE( LEFT(DATA_Requirements[[#This Row],[Path]], FIND("/", SUBSTITUTE( DATA_Requirements[[#This Row],[Path]]," ","/"),1)-1), ".",""))</f>
        <v>C&amp;A</v>
      </c>
      <c r="L65"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SOW</v>
      </c>
      <c r="M6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MUST be developed with C&amp;A Services to commission the documentation of risk, controls, and accepted processes</v>
      </c>
    </row>
    <row r="66" spans="1:13">
      <c r="A66" t="s">
        <v>1937</v>
      </c>
      <c r="C66"/>
      <c r="D66"/>
      <c r="F66"/>
      <c r="G66" s="22" t="s">
        <v>1928</v>
      </c>
      <c r="H66">
        <v>0</v>
      </c>
      <c r="I66" t="str" cm="1">
        <f t="array" aca="1" ref="I6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66" t="s">
        <v>2367</v>
      </c>
      <c r="K66" s="10" t="str">
        <f>TRIM(SUBSTITUTE( LEFT(DATA_Requirements[[#This Row],[Path]], FIND("/", SUBSTITUTE( DATA_Requirements[[#This Row],[Path]]," ","/"),1)-1), ".",""))</f>
        <v>C&amp;A</v>
      </c>
      <c r="L6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TRA</v>
      </c>
      <c r="M6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Unless Disallowed, a Technical Risk Assessment (TRA) SHOULD be developed for any system as part of the C&amp;A Process</v>
      </c>
    </row>
    <row r="67" spans="1:13">
      <c r="A67" t="s">
        <v>1937</v>
      </c>
      <c r="C67"/>
      <c r="D67"/>
      <c r="F67"/>
      <c r="G67" s="22" t="s">
        <v>1928</v>
      </c>
      <c r="H67">
        <v>0</v>
      </c>
      <c r="I67" t="str" cm="1">
        <f t="array" aca="1" ref="I6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67" t="s">
        <v>2368</v>
      </c>
      <c r="K67" s="10" t="str">
        <f>TRIM(SUBSTITUTE( LEFT(DATA_Requirements[[#This Row],[Path]], FIND("/", SUBSTITUTE( DATA_Requirements[[#This Row],[Path]]," ","/"),1)-1), ".",""))</f>
        <v>C&amp;A</v>
      </c>
      <c r="L67"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CRP</v>
      </c>
      <c r="M6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CRP MUST be developed for any system as part of the C&amp;A Process</v>
      </c>
    </row>
    <row r="68" spans="1:13">
      <c r="A68" t="s">
        <v>1937</v>
      </c>
      <c r="C68"/>
      <c r="D68"/>
      <c r="F68"/>
      <c r="G68" s="22" t="s">
        <v>1928</v>
      </c>
      <c r="H68">
        <v>0</v>
      </c>
      <c r="I68" t="str" cm="1">
        <f t="array" aca="1" ref="I6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68" t="s">
        <v>2369</v>
      </c>
      <c r="K68" s="10" t="str">
        <f>TRIM(SUBSTITUTE( LEFT(DATA_Requirements[[#This Row],[Path]], FIND("/", SUBSTITUTE( DATA_Requirements[[#This Row],[Path]]," ","/"),1)-1), ".",""))</f>
        <v>C&amp;A</v>
      </c>
      <c r="L68"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CRR</v>
      </c>
      <c r="M6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CRR MUST be developed for any system as part of the C&amp;A Process</v>
      </c>
    </row>
    <row r="69" spans="1:13">
      <c r="A69" t="s">
        <v>1937</v>
      </c>
      <c r="C69"/>
      <c r="D69"/>
      <c r="F69"/>
      <c r="G69" s="22" t="s">
        <v>1928</v>
      </c>
      <c r="H69">
        <v>0</v>
      </c>
      <c r="I69" t="str" cm="1">
        <f t="array" aca="1" ref="I6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69" t="s">
        <v>2370</v>
      </c>
      <c r="K69" s="10" t="str">
        <f>TRIM(SUBSTITUTE( LEFT(DATA_Requirements[[#This Row],[Path]], FIND("/", SUBSTITUTE( DATA_Requirements[[#This Row],[Path]]," ","/"),1)-1), ".",""))</f>
        <v>C&amp;A</v>
      </c>
      <c r="L69"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SRA</v>
      </c>
      <c r="M6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SRA MUST be developed for any system as part of the C&amp;A Process</v>
      </c>
    </row>
    <row r="70" spans="1:13">
      <c r="A70" t="s">
        <v>1937</v>
      </c>
      <c r="C70"/>
      <c r="D70"/>
      <c r="F70"/>
      <c r="G70" s="22" t="s">
        <v>1928</v>
      </c>
      <c r="H70">
        <v>0</v>
      </c>
      <c r="I70" t="str" cm="1">
        <f t="array" aca="1" ref="I7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70" t="s">
        <v>2371</v>
      </c>
      <c r="K70" s="10" t="str">
        <f>TRIM(SUBSTITUTE( LEFT(DATA_Requirements[[#This Row],[Path]], FIND("/", SUBSTITUTE( DATA_Requirements[[#This Row],[Path]]," ","/"),1)-1), ".",""))</f>
        <v>C&amp;A</v>
      </c>
      <c r="L70"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7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Unless Disallowed, a SOW MUST be developed to commission an independent review of the system's technical risks and provide appropriate recommendations</v>
      </c>
    </row>
    <row r="71" spans="1:13">
      <c r="A71" t="s">
        <v>1937</v>
      </c>
      <c r="B71" s="22"/>
      <c r="C71" s="22"/>
      <c r="D71" s="22"/>
      <c r="E71" s="22"/>
      <c r="F71" s="22"/>
      <c r="G71" s="22" t="s">
        <v>1928</v>
      </c>
      <c r="H71" s="22">
        <v>0</v>
      </c>
      <c r="I71" s="22" t="str" cm="1">
        <f t="array" aca="1" ref="I7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71" s="22" t="s">
        <v>2372</v>
      </c>
      <c r="K71" s="10" t="str">
        <f>TRIM(SUBSTITUTE( LEFT(DATA_Requirements[[#This Row],[Path]], FIND("/", SUBSTITUTE( DATA_Requirements[[#This Row],[Path]]," ","/"),1)-1), ".",""))</f>
        <v>InfoService</v>
      </c>
      <c r="L7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CAB: Endorsement</v>
      </c>
      <c r="M7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obtain Endorsement at CAB from its members (Design, Deployment, Infrastructure, Maintenance, Ops, Support, Business, etc.)</v>
      </c>
    </row>
    <row r="72" spans="1:13">
      <c r="A72" t="s">
        <v>1937</v>
      </c>
      <c r="C72"/>
      <c r="D72"/>
      <c r="F72"/>
      <c r="G72" s="22" t="s">
        <v>1928</v>
      </c>
      <c r="H72">
        <v>0</v>
      </c>
      <c r="I72" t="str" cm="1">
        <f t="array" aca="1" ref="I7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72" t="s">
        <v>2373</v>
      </c>
      <c r="K72" s="10" t="str">
        <f>TRIM(SUBSTITUTE( LEFT(DATA_Requirements[[#This Row],[Path]], FIND("/", SUBSTITUTE( DATA_Requirements[[#This Row],[Path]]," ","/"),1)-1), ".",""))</f>
        <v>InfoService</v>
      </c>
      <c r="L72"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ATO</v>
      </c>
      <c r="M7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endorsed at CAB to obtain an ATO from the CDO -- a prerequisite for deployment Change Requests to PROD-DATA being accepted</v>
      </c>
    </row>
    <row r="73" spans="1:13">
      <c r="A73" t="s">
        <v>1937</v>
      </c>
      <c r="B73" s="22"/>
      <c r="C73" s="22"/>
      <c r="D73" s="22"/>
      <c r="E73" s="22"/>
      <c r="F73" s="22"/>
      <c r="G73" s="22" t="s">
        <v>1928</v>
      </c>
      <c r="H73" s="22">
        <v>0</v>
      </c>
      <c r="I73" s="22" t="str" cm="1">
        <f t="array" aca="1" ref="I7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73" s="22" t="s">
        <v>2374</v>
      </c>
      <c r="K73" s="10" t="str">
        <f>TRIM(SUBSTITUTE( LEFT(DATA_Requirements[[#This Row],[Path]], FIND("/", SUBSTITUTE( DATA_Requirements[[#This Row],[Path]]," ","/"),1)-1), ".",""))</f>
        <v>InfoService</v>
      </c>
      <c r="L7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QA Services: Endorsement</v>
      </c>
      <c r="M7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QA Services Endorsement at CAB MUST be obtained to go live</v>
      </c>
    </row>
    <row r="74" spans="1:13">
      <c r="A74" t="s">
        <v>1937</v>
      </c>
      <c r="C74"/>
      <c r="D74"/>
      <c r="F74"/>
      <c r="G74" s="22" t="s">
        <v>1928</v>
      </c>
      <c r="H74">
        <v>0</v>
      </c>
      <c r="I74" t="str" cm="1">
        <f t="array" aca="1" ref="I7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74" t="s">
        <v>2375</v>
      </c>
      <c r="K74" s="10" t="str">
        <f>TRIM(SUBSTITUTE( LEFT(DATA_Requirements[[#This Row],[Path]], FIND("/", SUBSTITUTE( DATA_Requirements[[#This Row],[Path]]," ","/"),1)-1), ".",""))</f>
        <v>InfoService</v>
      </c>
      <c r="L74"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QAServices: Initial SOW</v>
      </c>
      <c r="M7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MUST be obtained to deliver initial QA analysis Services.</v>
      </c>
    </row>
    <row r="75" spans="1:13">
      <c r="A75" t="s">
        <v>1937</v>
      </c>
      <c r="C75"/>
      <c r="D75"/>
      <c r="F75"/>
      <c r="G75" s="22" t="s">
        <v>1928</v>
      </c>
      <c r="H75">
        <v>0</v>
      </c>
      <c r="I75" t="str" cm="1">
        <f t="array" aca="1" ref="I7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75" t="s">
        <v>2376</v>
      </c>
      <c r="K75" s="10" t="str">
        <f>TRIM(SUBSTITUTE( LEFT(DATA_Requirements[[#This Row],[Path]], FIND("/", SUBSTITUTE( DATA_Requirements[[#This Row],[Path]]," ","/"),1)-1), ".",""))</f>
        <v>InfoService</v>
      </c>
      <c r="L7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QAServices: Ongoing SOW</v>
      </c>
      <c r="M7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MUST be obtained to deliver ongoing QA analysis Services.</v>
      </c>
    </row>
    <row r="76" spans="1:13">
      <c r="A76" t="s">
        <v>1937</v>
      </c>
      <c r="C76"/>
      <c r="D76"/>
      <c r="F76"/>
      <c r="G76" s="22" t="s">
        <v>1928</v>
      </c>
      <c r="H76">
        <v>0</v>
      </c>
      <c r="I76" t="str" cm="1">
        <f t="array" aca="1" ref="I7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76" t="s">
        <v>2377</v>
      </c>
      <c r="K76" s="10" t="str">
        <f>TRIM(SUBSTITUTE( LEFT(DATA_Requirements[[#This Row],[Path]], FIND("/", SUBSTITUTE( DATA_Requirements[[#This Row],[Path]]," ","/"),1)-1), ".",""))</f>
        <v>InfoService</v>
      </c>
      <c r="L7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QAServices SOWs</v>
      </c>
      <c r="M7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SOWs MUST specify the service required is Test Analysis and Definition, for others to develop into Delivery Pipeline Code ("QA as Code").</v>
      </c>
    </row>
    <row r="77" spans="1:13">
      <c r="A77" t="s">
        <v>1937</v>
      </c>
      <c r="B77" s="22"/>
      <c r="C77" s="22"/>
      <c r="D77" s="22"/>
      <c r="E77" s="22"/>
      <c r="F77" s="22"/>
      <c r="G77" s="22" t="s">
        <v>1928</v>
      </c>
      <c r="H77" s="22">
        <v>0</v>
      </c>
      <c r="I77" s="22" t="str" cm="1">
        <f t="array" aca="1" ref="I7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77" s="22" t="s">
        <v>2378</v>
      </c>
      <c r="K77" s="10" t="str">
        <f>TRIM(SUBSTITUTE( LEFT(DATA_Requirements[[#This Row],[Path]], FIND("/", SUBSTITUTE( DATA_Requirements[[#This Row],[Path]]," ","/"),1)-1), ".",""))</f>
        <v>ALM</v>
      </c>
      <c r="L77"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77"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78" spans="1:13">
      <c r="A78" t="s">
        <v>1937</v>
      </c>
      <c r="B78" s="22"/>
      <c r="C78" s="22"/>
      <c r="D78" s="22"/>
      <c r="E78" s="22"/>
      <c r="F78" s="22"/>
      <c r="G78" s="22" t="s">
        <v>1928</v>
      </c>
      <c r="H78" s="22">
        <v>0</v>
      </c>
      <c r="I78" s="22" t="str" cm="1">
        <f t="array" aca="1" ref="I7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78" s="22" t="s">
        <v>2379</v>
      </c>
      <c r="K78" s="10" t="str">
        <f>TRIM(SUBSTITUTE( LEFT(DATA_Requirements[[#This Row],[Path]], FIND("/", SUBSTITUTE( DATA_Requirements[[#This Row],[Path]]," ","/"),1)-1), ".",""))</f>
        <v>SupportServices:</v>
      </c>
      <c r="L7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Endorsement</v>
      </c>
      <c r="M7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Support Services Endorsement at CAB MUST be obtained to go live.</v>
      </c>
    </row>
    <row r="79" spans="1:13">
      <c r="A79" t="s">
        <v>1937</v>
      </c>
      <c r="B79" s="22"/>
      <c r="C79" s="22"/>
      <c r="D79" s="22"/>
      <c r="E79" s="22"/>
      <c r="F79" s="22"/>
      <c r="G79" s="22"/>
      <c r="H79" s="22">
        <v>0</v>
      </c>
      <c r="I79" s="22" t="str" cm="1">
        <f t="array" aca="1" ref="I7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v>
      </c>
      <c r="J79" s="22" t="s">
        <v>2380</v>
      </c>
      <c r="K79" s="10" t="str">
        <f>TRIM(SUBSTITUTE( LEFT(DATA_Requirements[[#This Row],[Path]], FIND("/", SUBSTITUTE( DATA_Requirements[[#This Row],[Path]]," ","/"),1)-1), ".",""))</f>
        <v>Business</v>
      </c>
      <c r="L7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Support Services: Endorsement</v>
      </c>
      <c r="M7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Business Support Services Endorsement at CAB MUST be obtained to go live.</v>
      </c>
    </row>
    <row r="80" spans="1:13">
      <c r="A80" s="22" t="s">
        <v>1937</v>
      </c>
      <c r="B80" s="22"/>
      <c r="C80" s="22"/>
      <c r="D80" s="22"/>
      <c r="E80" s="22"/>
      <c r="F80" s="22"/>
      <c r="G80" t="s">
        <v>1928</v>
      </c>
      <c r="H80" s="22">
        <v>0</v>
      </c>
      <c r="I80" s="22" t="str" cm="1">
        <f t="array" aca="1" ref="I8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80" s="22" t="s">
        <v>2381</v>
      </c>
      <c r="K80" s="10" t="str">
        <f>TRIM(SUBSTITUTE( LEFT(DATA_Requirements[[#This Row],[Path]], FIND("/", SUBSTITUTE( DATA_Requirements[[#This Row],[Path]]," ","/"),1)-1), ".",""))</f>
        <v>LEGACY</v>
      </c>
      <c r="L8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v>
      </c>
      <c r="M8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81" spans="1:13">
      <c r="A81" s="22" t="s">
        <v>1937</v>
      </c>
      <c r="B81" s="22"/>
      <c r="C81" s="22"/>
      <c r="D81" s="22"/>
      <c r="E81" s="22"/>
      <c r="F81" s="22"/>
      <c r="G81" t="s">
        <v>1928</v>
      </c>
      <c r="H81" s="22">
        <v>0</v>
      </c>
      <c r="I81" s="22" t="str" cm="1">
        <f t="array" aca="1" ref="I8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81" s="22" t="s">
        <v>2382</v>
      </c>
      <c r="K81" s="10" t="str">
        <f>TRIM(SUBSTITUTE( LEFT(DATA_Requirements[[#This Row],[Path]], FIND("/", SUBSTITUTE( DATA_Requirements[[#This Row],[Path]]," ","/"),1)-1), ".",""))</f>
        <v>Client-UX</v>
      </c>
      <c r="L81"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8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82" spans="1:13">
      <c r="A82" s="22" t="s">
        <v>1937</v>
      </c>
      <c r="B82" s="22"/>
      <c r="C82" s="22"/>
      <c r="D82" s="22"/>
      <c r="E82" s="22"/>
      <c r="F82" s="22"/>
      <c r="G82" t="s">
        <v>1928</v>
      </c>
      <c r="H82" s="22">
        <v>0</v>
      </c>
      <c r="I82" s="22" t="str" cm="1">
        <f t="array" aca="1" ref="I8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02....0.0</v>
      </c>
      <c r="J82" s="22" t="s">
        <v>2383</v>
      </c>
      <c r="K82" s="10" t="str">
        <f>TRIM(SUBSTITUTE( LEFT(DATA_Requirements[[#This Row],[Path]], FIND("/", SUBSTITUTE( DATA_Requirements[[#This Row],[Path]]," ","/"),1)-1), ".",""))</f>
        <v>Server</v>
      </c>
      <c r="L82"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8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83" spans="1:13">
      <c r="A83" s="16" t="s">
        <v>1944</v>
      </c>
      <c r="B83" s="16"/>
      <c r="C83" s="16"/>
      <c r="D83" s="16"/>
      <c r="E83" s="16"/>
      <c r="F83" s="16"/>
      <c r="G83" t="s">
        <v>1928</v>
      </c>
      <c r="H83" s="16">
        <v>0</v>
      </c>
      <c r="I83" s="16" t="str" cm="1">
        <f t="array" aca="1" ref="I8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03....0.0</v>
      </c>
      <c r="J83" s="16" t="s">
        <v>2384</v>
      </c>
      <c r="K83" s="10" t="str">
        <f>TRIM(SUBSTITUTE( LEFT(DATA_Requirements[[#This Row],[Path]], FIND("/", SUBSTITUTE( DATA_Requirements[[#This Row],[Path]]," ","/"),1)-1), ".",""))</f>
        <v>GOVERNANCE</v>
      </c>
      <c r="L83"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8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84" spans="1:13">
      <c r="A84" s="22" t="s">
        <v>1944</v>
      </c>
      <c r="B84" s="20"/>
      <c r="C84" s="20"/>
      <c r="D84" s="20"/>
      <c r="E84" s="20"/>
      <c r="F84" s="20"/>
      <c r="G84" t="s">
        <v>1928</v>
      </c>
      <c r="H84" s="20">
        <v>0</v>
      </c>
      <c r="I84" s="20" t="str" cm="1">
        <f t="array" aca="1" ref="I8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03....0.0</v>
      </c>
      <c r="J84" s="20" t="s">
        <v>2385</v>
      </c>
      <c r="K84" s="10" t="str">
        <f>TRIM(SUBSTITUTE( LEFT(DATA_Requirements[[#This Row],[Path]], FIND("/", SUBSTITUTE( DATA_Requirements[[#This Row],[Path]]," ","/"),1)-1), ".",""))</f>
        <v>GOVERNANCE</v>
      </c>
      <c r="L8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ALIGNMENT</v>
      </c>
      <c r="M8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85" spans="1:13">
      <c r="A85" s="22" t="s">
        <v>1944</v>
      </c>
      <c r="B85" s="19"/>
      <c r="C85" s="19"/>
      <c r="D85" s="19"/>
      <c r="E85" s="19"/>
      <c r="F85" s="19"/>
      <c r="G85" t="s">
        <v>1928</v>
      </c>
      <c r="H85" s="19">
        <v>0</v>
      </c>
      <c r="I85" s="19" t="str" cm="1">
        <f t="array" aca="1" ref="I8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03....0.0</v>
      </c>
      <c r="J85" s="19" t="s">
        <v>2386</v>
      </c>
      <c r="K85" s="10" t="str">
        <f>TRIM(SUBSTITUTE( LEFT(DATA_Requirements[[#This Row],[Path]], FIND("/", SUBSTITUTE( DATA_Requirements[[#This Row],[Path]]," ","/"),1)-1), ".",""))</f>
        <v>GOVERNANCE</v>
      </c>
      <c r="L8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SPONSOR</v>
      </c>
      <c r="M8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86" spans="1:13">
      <c r="A86" s="22" t="s">
        <v>1944</v>
      </c>
      <c r="B86" s="20"/>
      <c r="C86" s="20"/>
      <c r="D86" s="20"/>
      <c r="E86" s="20"/>
      <c r="F86" s="20"/>
      <c r="G86" t="s">
        <v>1928</v>
      </c>
      <c r="H86" s="20">
        <v>0</v>
      </c>
      <c r="I86" s="20" t="str" cm="1">
        <f t="array" aca="1" ref="I8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03....0.0</v>
      </c>
      <c r="J86" s="20" t="s">
        <v>2387</v>
      </c>
      <c r="K86" s="10" t="str">
        <f>TRIM(SUBSTITUTE( LEFT(DATA_Requirements[[#This Row],[Path]], FIND("/", SUBSTITUTE( DATA_Requirements[[#This Row],[Path]]," ","/"),1)-1), ".",""))</f>
        <v>GOVERNANCE</v>
      </c>
      <c r="L8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ALIGNMENT</v>
      </c>
      <c r="M8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87" spans="1:13">
      <c r="A87" s="22" t="s">
        <v>1944</v>
      </c>
      <c r="B87" s="19"/>
      <c r="C87" s="19"/>
      <c r="D87" s="19"/>
      <c r="E87" s="19"/>
      <c r="F87" s="19"/>
      <c r="G87" t="s">
        <v>1928</v>
      </c>
      <c r="H87" s="19">
        <v>0</v>
      </c>
      <c r="I87" s="19" t="str" cm="1">
        <f t="array" aca="1" ref="I8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03....0.0</v>
      </c>
      <c r="J87" s="19" t="s">
        <v>2388</v>
      </c>
      <c r="K87" s="10" t="str">
        <f>TRIM(SUBSTITUTE( LEFT(DATA_Requirements[[#This Row],[Path]], FIND("/", SUBSTITUTE( DATA_Requirements[[#This Row],[Path]]," ","/"),1)-1), ".",""))</f>
        <v>GOVERNANCE</v>
      </c>
      <c r="L8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ALIGNMENT</v>
      </c>
      <c r="M8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88" spans="1:13">
      <c r="A88" s="22" t="s">
        <v>1944</v>
      </c>
      <c r="B88" s="19"/>
      <c r="C88" s="19"/>
      <c r="D88" s="19"/>
      <c r="E88" s="19"/>
      <c r="F88" s="19"/>
      <c r="G88" t="s">
        <v>1928</v>
      </c>
      <c r="H88" s="19">
        <v>0</v>
      </c>
      <c r="I88" s="19" t="str" cm="1">
        <f t="array" aca="1" ref="I8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03....0.0</v>
      </c>
      <c r="J88" s="19" t="s">
        <v>2389</v>
      </c>
      <c r="K88" s="10" t="str">
        <f>TRIM(SUBSTITUTE( LEFT(DATA_Requirements[[#This Row],[Path]], FIND("/", SUBSTITUTE( DATA_Requirements[[#This Row],[Path]]," ","/"),1)-1), ".",""))</f>
        <v>GOVERNANCE</v>
      </c>
      <c r="L8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ARCHITECTURE ALIGNMENT</v>
      </c>
      <c r="M8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89" spans="1:13">
      <c r="A89" s="22" t="s">
        <v>1944</v>
      </c>
      <c r="B89" s="21"/>
      <c r="C89" s="21"/>
      <c r="D89" s="21"/>
      <c r="E89" s="21"/>
      <c r="F89" s="21"/>
      <c r="G89" t="s">
        <v>1928</v>
      </c>
      <c r="H89" s="21">
        <v>0</v>
      </c>
      <c r="I89" s="21" t="str" cm="1">
        <f t="array" aca="1" ref="I8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03....0.0</v>
      </c>
      <c r="J89" s="21" t="s">
        <v>2390</v>
      </c>
      <c r="K89" s="10" t="str">
        <f>TRIM(SUBSTITUTE( LEFT(DATA_Requirements[[#This Row],[Path]], FIND("/", SUBSTITUTE( DATA_Requirements[[#This Row],[Path]]," ","/"),1)-1), ".",""))</f>
        <v>Deliverables</v>
      </c>
      <c r="L8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Maintenance Services Endorsement</v>
      </c>
      <c r="M8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90" spans="1:13">
      <c r="A90" t="s">
        <v>1944</v>
      </c>
      <c r="C90"/>
      <c r="D90"/>
      <c r="F90"/>
      <c r="G90" t="s">
        <v>1928</v>
      </c>
      <c r="H90">
        <v>0</v>
      </c>
      <c r="I90" t="str" cm="1">
        <f t="array" aca="1" ref="I9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03....0.0</v>
      </c>
      <c r="J90" t="s">
        <v>2391</v>
      </c>
      <c r="K90" s="10" t="str">
        <f>TRIM(SUBSTITUTE( LEFT(DATA_Requirements[[#This Row],[Path]], FIND("/", SUBSTITUTE( DATA_Requirements[[#This Row],[Path]]," ","/"),1)-1), ".",""))</f>
        <v>Deliverables</v>
      </c>
      <c r="L90"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MaintenanceServices Endorsement of Decommissioning</v>
      </c>
      <c r="M9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Decommissioning Plan MUST be developed to guide MaintenanceServices how to prepare the service's APIs and Permissions for exporting of data to the next (yet still unknown) replacement service</v>
      </c>
    </row>
    <row r="91" spans="1:13">
      <c r="A91" t="s">
        <v>1944</v>
      </c>
      <c r="C91"/>
      <c r="D91"/>
      <c r="F91"/>
      <c r="G91" t="s">
        <v>1928</v>
      </c>
      <c r="H91">
        <v>0</v>
      </c>
      <c r="I91" t="str" cm="1">
        <f t="array" aca="1" ref="I9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03....0.0</v>
      </c>
      <c r="J91" t="s">
        <v>2392</v>
      </c>
      <c r="K91" s="10" t="str">
        <f>TRIM(SUBSTITUTE( LEFT(DATA_Requirements[[#This Row],[Path]], FIND("/", SUBSTITUTE( DATA_Requirements[[#This Row],[Path]]," ","/"),1)-1), ".",""))</f>
        <v>Deliverables</v>
      </c>
      <c r="L91"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MaintenanceServices Endorsement</v>
      </c>
      <c r="M9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SOW MUST be developed with Maintenance Services to support system logic to SLA expectations</v>
      </c>
    </row>
    <row r="92" spans="1:13">
      <c r="A92" s="16" t="s">
        <v>1951</v>
      </c>
      <c r="B92" s="16"/>
      <c r="C92" s="16"/>
      <c r="D92" s="16"/>
      <c r="E92" s="16"/>
      <c r="F92" s="16"/>
      <c r="G92" t="s">
        <v>1928</v>
      </c>
      <c r="H92" s="16">
        <v>0</v>
      </c>
      <c r="I92" s="16" t="str" cm="1">
        <f t="array" aca="1" ref="I9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92" s="16" t="s">
        <v>2393</v>
      </c>
      <c r="K92" s="10" t="str">
        <f>TRIM(SUBSTITUTE( LEFT(DATA_Requirements[[#This Row],[Path]], FIND("/", SUBSTITUTE( DATA_Requirements[[#This Row],[Path]]," ","/"),1)-1), ".",""))</f>
        <v>DIRECTION</v>
      </c>
      <c r="L92"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9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93" spans="1:13">
      <c r="A93" s="21" t="s">
        <v>1951</v>
      </c>
      <c r="B93" s="21"/>
      <c r="C93" s="21"/>
      <c r="D93" s="21"/>
      <c r="E93" s="21"/>
      <c r="F93" s="21"/>
      <c r="G93" t="s">
        <v>1928</v>
      </c>
      <c r="H93" s="21">
        <v>0</v>
      </c>
      <c r="I93" s="21" t="str" cm="1">
        <f t="array" aca="1" ref="I9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93" s="21" t="s">
        <v>2394</v>
      </c>
      <c r="K93" s="10" t="str">
        <f>TRIM(SUBSTITUTE( LEFT(DATA_Requirements[[#This Row],[Path]], FIND("/", SUBSTITUTE( DATA_Requirements[[#This Row],[Path]]," ","/"),1)-1), ".",""))</f>
        <v>DIRECTION</v>
      </c>
      <c r="L9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PHASES</v>
      </c>
      <c r="M9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94" spans="1:13">
      <c r="A94" t="s">
        <v>1951</v>
      </c>
      <c r="C94"/>
      <c r="D94"/>
      <c r="F94"/>
      <c r="G94" t="s">
        <v>1928</v>
      </c>
      <c r="H94">
        <v>0</v>
      </c>
      <c r="I94" t="str" cm="1">
        <f t="array" aca="1" ref="I9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94" t="s">
        <v>2395</v>
      </c>
      <c r="K94" s="10" t="str">
        <f>TRIM(SUBSTITUTE( LEFT(DATA_Requirements[[#This Row],[Path]], FIND("/", SUBSTITUTE( DATA_Requirements[[#This Row],[Path]]," ","/"),1)-1), ".",""))</f>
        <v>Direction</v>
      </c>
      <c r="L94"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Objectives:</v>
      </c>
      <c r="M9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Objectives: Direction Stakeholders desire ALL Stakeholders' Processes for delivering Quality based Deliverables MUST be considered for Automation</v>
      </c>
    </row>
    <row r="95" spans="1:13">
      <c r="A95" t="s">
        <v>1951</v>
      </c>
      <c r="C95"/>
      <c r="D95"/>
      <c r="F95"/>
      <c r="G95" t="s">
        <v>1928</v>
      </c>
      <c r="H95">
        <v>0</v>
      </c>
      <c r="I95" t="str" cm="1">
        <f t="array" aca="1" ref="I9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95" t="s">
        <v>2396</v>
      </c>
      <c r="K95" s="10" t="str">
        <f>TRIM(SUBSTITUTE( LEFT(DATA_Requirements[[#This Row],[Path]], FIND("/", SUBSTITUTE( DATA_Requirements[[#This Row],[Path]]," ","/"),1)-1), ".",""))</f>
        <v>Direction</v>
      </c>
      <c r="L95"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Business</v>
      </c>
      <c r="M9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Business Support Specialist Functionality and Quality Requirements</v>
      </c>
    </row>
    <row r="96" spans="1:13">
      <c r="A96" t="s">
        <v>1951</v>
      </c>
      <c r="C96"/>
      <c r="D96"/>
      <c r="F96"/>
      <c r="G96" t="s">
        <v>1928</v>
      </c>
      <c r="H96">
        <v>0</v>
      </c>
      <c r="I96" t="str" cm="1">
        <f t="array" aca="1" ref="I9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96" t="s">
        <v>2397</v>
      </c>
      <c r="K96" s="10" t="str">
        <f>TRIM(SUBSTITUTE( LEFT(DATA_Requirements[[#This Row],[Path]], FIND("/", SUBSTITUTE( DATA_Requirements[[#This Row],[Path]]," ","/"),1)-1), ".",""))</f>
        <v>Direction</v>
      </c>
      <c r="L9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Delivery</v>
      </c>
      <c r="M9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Delivery Specialist Functionality and Quality Requirements</v>
      </c>
    </row>
    <row r="97" spans="1:15">
      <c r="A97" t="s">
        <v>1951</v>
      </c>
      <c r="C97"/>
      <c r="D97"/>
      <c r="F97"/>
      <c r="G97" t="s">
        <v>1928</v>
      </c>
      <c r="H97">
        <v>0</v>
      </c>
      <c r="I97" t="str" cm="1">
        <f t="array" aca="1" ref="I9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97" t="s">
        <v>2398</v>
      </c>
      <c r="K97" s="10" t="str">
        <f>TRIM(SUBSTITUTE( LEFT(DATA_Requirements[[#This Row],[Path]], FIND("/", SUBSTITUTE( DATA_Requirements[[#This Row],[Path]]," ","/"),1)-1), ".",""))</f>
        <v>Direction</v>
      </c>
      <c r="L97"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Infrastructure</v>
      </c>
      <c r="M9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Infrastructure Specialist Functionality and Quality Requirements</v>
      </c>
    </row>
    <row r="98" spans="1:15" s="46" customFormat="1">
      <c r="A98" s="46" t="s">
        <v>1951</v>
      </c>
      <c r="G98" s="46" t="s">
        <v>1928</v>
      </c>
      <c r="H98" s="46">
        <v>0</v>
      </c>
      <c r="I98" s="46" t="str" cm="1">
        <f t="array" aca="1" ref="I9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98" s="46" t="s">
        <v>2399</v>
      </c>
      <c r="K98" s="47" t="str">
        <f>TRIM(SUBSTITUTE( LEFT(DATA_Requirements[[#This Row],[Path]], FIND("/", SUBSTITUTE( DATA_Requirements[[#This Row],[Path]]," ","/"),1)-1), ".",""))</f>
        <v>Direction</v>
      </c>
      <c r="L98"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Monitoring</v>
      </c>
      <c r="M98"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Monitoring Specialist Functionality and Quality Requirements</v>
      </c>
      <c r="N98" s="49"/>
      <c r="O98" s="49"/>
    </row>
    <row r="99" spans="1:15" s="46" customFormat="1">
      <c r="A99" s="46" t="s">
        <v>1951</v>
      </c>
      <c r="G99" s="46" t="s">
        <v>1928</v>
      </c>
      <c r="H99" s="46">
        <v>0</v>
      </c>
      <c r="I99" s="46" t="str" cm="1">
        <f t="array" aca="1" ref="I9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99" s="46" t="s">
        <v>2399</v>
      </c>
      <c r="K99" s="47" t="str">
        <f>TRIM(SUBSTITUTE( LEFT(DATA_Requirements[[#This Row],[Path]], FIND("/", SUBSTITUTE( DATA_Requirements[[#This Row],[Path]]," ","/"),1)-1), ".",""))</f>
        <v>Direction</v>
      </c>
      <c r="L99"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Monitoring</v>
      </c>
      <c r="M99"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Monitoring Specialist Functionality and Quality Requirements</v>
      </c>
      <c r="N99" s="49"/>
      <c r="O99" s="49"/>
    </row>
    <row r="100" spans="1:15" s="46" customFormat="1">
      <c r="A100" s="46" t="s">
        <v>1951</v>
      </c>
      <c r="G100" s="46" t="s">
        <v>1928</v>
      </c>
      <c r="H100" s="46">
        <v>0</v>
      </c>
      <c r="I100" s="46" t="str" cm="1">
        <f t="array" aca="1" ref="I10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00" s="46" t="s">
        <v>2400</v>
      </c>
      <c r="K100" s="47" t="str">
        <f>TRIM(SUBSTITUTE( LEFT(DATA_Requirements[[#This Row],[Path]], FIND("/", SUBSTITUTE( DATA_Requirements[[#This Row],[Path]]," ","/"),1)-1), ".",""))</f>
        <v>Direction</v>
      </c>
      <c r="L100"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Op+A325erations</v>
      </c>
      <c r="M100"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Op+A325erations Specialist Functionality and Quality Requirements</v>
      </c>
      <c r="N100" s="49"/>
      <c r="O100" s="49"/>
    </row>
    <row r="101" spans="1:15" s="46" customFormat="1">
      <c r="A101" s="46" t="s">
        <v>1951</v>
      </c>
      <c r="G101" s="46" t="s">
        <v>1928</v>
      </c>
      <c r="H101" s="46">
        <v>0</v>
      </c>
      <c r="I101" s="46" t="str" cm="1">
        <f t="array" aca="1" ref="I10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01" s="46" t="s">
        <v>2401</v>
      </c>
      <c r="K101" s="47" t="str">
        <f>TRIM(SUBSTITUTE( LEFT(DATA_Requirements[[#This Row],[Path]], FIND("/", SUBSTITUTE( DATA_Requirements[[#This Row],[Path]]," ","/"),1)-1), ".",""))</f>
        <v>Direction</v>
      </c>
      <c r="L101"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Operations</v>
      </c>
      <c r="M101"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Operations Specialist Functionality and Quality Requirements</v>
      </c>
      <c r="N101" s="49"/>
      <c r="O101" s="49"/>
    </row>
    <row r="102" spans="1:15" s="46" customFormat="1">
      <c r="A102" s="46" t="s">
        <v>1951</v>
      </c>
      <c r="G102" s="46" t="s">
        <v>1928</v>
      </c>
      <c r="H102" s="46">
        <v>0</v>
      </c>
      <c r="I102" s="46" t="str" cm="1">
        <f t="array" aca="1" ref="I10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02" s="46" t="s">
        <v>2402</v>
      </c>
      <c r="K102" s="47" t="str">
        <f>TRIM(SUBSTITUTE( LEFT(DATA_Requirements[[#This Row],[Path]], FIND("/", SUBSTITUTE( DATA_Requirements[[#This Row],[Path]]," ","/"),1)-1), ".",""))</f>
        <v>Direction</v>
      </c>
      <c r="L102"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Support</v>
      </c>
      <c r="M102"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Support Specialist Functionality and Quality Requirements</v>
      </c>
      <c r="N102" s="49"/>
      <c r="O102" s="49"/>
    </row>
    <row r="103" spans="1:15" s="46" customFormat="1">
      <c r="A103" s="46" t="s">
        <v>1951</v>
      </c>
      <c r="G103" s="46" t="s">
        <v>1928</v>
      </c>
      <c r="H103" s="46">
        <v>0</v>
      </c>
      <c r="I103" s="46" t="str" cm="1">
        <f t="array" aca="1" ref="I10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03" s="46" t="s">
        <v>2403</v>
      </c>
      <c r="K103" s="47" t="str">
        <f>TRIM(SUBSTITUTE( LEFT(DATA_Requirements[[#This Row],[Path]], FIND("/", SUBSTITUTE( DATA_Requirements[[#This Row],[Path]]," ","/"),1)-1), ".",""))</f>
        <v>Direction</v>
      </c>
      <c r="L103"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Training</v>
      </c>
      <c r="M103"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Training Specialist Functionality and Quality Requirements</v>
      </c>
      <c r="N103" s="49"/>
      <c r="O103" s="49"/>
    </row>
    <row r="104" spans="1:15" s="46" customFormat="1">
      <c r="A104" s="46" t="s">
        <v>1951</v>
      </c>
      <c r="G104" s="46" t="s">
        <v>1928</v>
      </c>
      <c r="H104" s="46">
        <v>0</v>
      </c>
      <c r="I104" s="46" t="str" cm="1">
        <f t="array" aca="1" ref="I10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04" s="46" t="s">
        <v>2404</v>
      </c>
      <c r="K104" s="47" t="str">
        <f>TRIM(SUBSTITUTE( LEFT(DATA_Requirements[[#This Row],[Path]], FIND("/", SUBSTITUTE( DATA_Requirements[[#This Row],[Path]]," ","/"),1)-1), ".",""))</f>
        <v>Direction</v>
      </c>
      <c r="L104"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Deliverables|Stakeholder</v>
      </c>
      <c r="M104"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Deliverables|Stakeholder Analysts MUST Define the Desires of all Stakeholders (not just Business Stakeholders)</v>
      </c>
      <c r="N104" s="49"/>
      <c r="O104" s="49"/>
    </row>
    <row r="105" spans="1:15" s="46" customFormat="1">
      <c r="A105" s="46" t="s">
        <v>1951</v>
      </c>
      <c r="G105" s="46" t="s">
        <v>1928</v>
      </c>
      <c r="H105" s="46">
        <v>0</v>
      </c>
      <c r="I105" s="46" t="str" cm="1">
        <f t="array" aca="1" ref="I10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05" s="46" t="s">
        <v>2405</v>
      </c>
      <c r="K105" s="47" t="str">
        <f>TRIM(SUBSTITUTE( LEFT(DATA_Requirements[[#This Row],[Path]], FIND("/", SUBSTITUTE( DATA_Requirements[[#This Row],[Path]]," ","/"),1)-1), ".",""))</f>
        <v>Direction</v>
      </c>
      <c r="L105"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Functional</v>
      </c>
      <c r="M105"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Functional Requirements Document</v>
      </c>
      <c r="N105" s="49"/>
      <c r="O105" s="49"/>
    </row>
    <row r="106" spans="1:15" s="46" customFormat="1">
      <c r="A106" s="46" t="s">
        <v>1951</v>
      </c>
      <c r="G106" s="46" t="s">
        <v>1928</v>
      </c>
      <c r="H106" s="46">
        <v>0</v>
      </c>
      <c r="I106" s="46" t="str" cm="1">
        <f t="array" aca="1" ref="I10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06" s="46" t="s">
        <v>2406</v>
      </c>
      <c r="K106" s="47" t="str">
        <f>TRIM(SUBSTITUTE( LEFT(DATA_Requirements[[#This Row],[Path]], FIND("/", SUBSTITUTE( DATA_Requirements[[#This Row],[Path]]," ","/"),1)-1), ".",""))</f>
        <v>Direction</v>
      </c>
      <c r="L106"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Quality</v>
      </c>
      <c r="M106"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Quality Requirements Document</v>
      </c>
      <c r="N106" s="49"/>
      <c r="O106" s="49"/>
    </row>
    <row r="107" spans="1:15" s="46" customFormat="1">
      <c r="A107" s="46" t="s">
        <v>1951</v>
      </c>
      <c r="G107" s="46" t="s">
        <v>1928</v>
      </c>
      <c r="H107" s="46">
        <v>0</v>
      </c>
      <c r="I107" s="46" t="str" cm="1">
        <f t="array" aca="1" ref="I10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07" s="46" t="s">
        <v>2407</v>
      </c>
      <c r="K107" s="47" t="str">
        <f>TRIM(SUBSTITUTE( LEFT(DATA_Requirements[[#This Row],[Path]], FIND("/", SUBSTITUTE( DATA_Requirements[[#This Row],[Path]]," ","/"),1)-1), ".",""))</f>
        <v>Direction</v>
      </c>
      <c r="L107"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Solution</v>
      </c>
      <c r="M107"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Solution Architecture Description</v>
      </c>
      <c r="N107" s="49"/>
      <c r="O107" s="49"/>
    </row>
    <row r="108" spans="1:15" s="46" customFormat="1">
      <c r="A108" s="46" t="s">
        <v>1951</v>
      </c>
      <c r="G108" s="46" t="s">
        <v>1928</v>
      </c>
      <c r="H108" s="46">
        <v>0</v>
      </c>
      <c r="I108" s="46" t="str" cm="1">
        <f t="array" aca="1" ref="I10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08" s="46" t="s">
        <v>2408</v>
      </c>
      <c r="K108" s="47" t="str">
        <f>TRIM(SUBSTITUTE( LEFT(DATA_Requirements[[#This Row],[Path]], FIND("/", SUBSTITUTE( DATA_Requirements[[#This Row],[Path]]," ","/"),1)-1), ".",""))</f>
        <v>Direction</v>
      </c>
      <c r="L108"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Develop</v>
      </c>
      <c r="M108"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 and Map Backlog to Sprints</v>
      </c>
      <c r="N108" s="49"/>
      <c r="O108" s="49"/>
    </row>
    <row r="109" spans="1:15" s="46" customFormat="1">
      <c r="A109" s="46" t="s">
        <v>1951</v>
      </c>
      <c r="G109" s="46" t="s">
        <v>1928</v>
      </c>
      <c r="H109" s="46">
        <v>0</v>
      </c>
      <c r="I109" s="46" t="str" cm="1">
        <f t="array" aca="1" ref="I10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09" s="46" t="s">
        <v>2409</v>
      </c>
      <c r="K109" s="47" t="str">
        <f>TRIM(SUBSTITUTE( LEFT(DATA_Requirements[[#This Row],[Path]], FIND("/", SUBSTITUTE( DATA_Requirements[[#This Row],[Path]]," ","/"),1)-1), ".",""))</f>
        <v>Direction</v>
      </c>
      <c r="L109"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Product</v>
      </c>
      <c r="M109"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Product BackLog Feature List (Converted from Functional List)</v>
      </c>
      <c r="N109" s="49"/>
      <c r="O109" s="49"/>
    </row>
    <row r="110" spans="1:15" s="46" customFormat="1">
      <c r="A110" s="46" t="s">
        <v>1951</v>
      </c>
      <c r="G110" s="46" t="s">
        <v>1928</v>
      </c>
      <c r="H110" s="46">
        <v>0</v>
      </c>
      <c r="I110" s="46" t="str" cm="1">
        <f t="array" aca="1" ref="I11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10" s="46" t="s">
        <v>2410</v>
      </c>
      <c r="K110" s="47" t="str">
        <f>TRIM(SUBSTITUTE( LEFT(DATA_Requirements[[#This Row],[Path]], FIND("/", SUBSTITUTE( DATA_Requirements[[#This Row],[Path]]," ","/"),1)-1), ".",""))</f>
        <v>Direction</v>
      </c>
      <c r="L110"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110"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Completeness</v>
      </c>
      <c r="N110" s="49"/>
      <c r="O110" s="49"/>
    </row>
    <row r="111" spans="1:15" s="46" customFormat="1">
      <c r="A111" s="46" t="s">
        <v>1951</v>
      </c>
      <c r="G111" s="46" t="s">
        <v>1928</v>
      </c>
      <c r="H111" s="46">
        <v>0</v>
      </c>
      <c r="I111" s="46" t="str" cm="1">
        <f t="array" aca="1" ref="I11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11" s="46" t="s">
        <v>2411</v>
      </c>
      <c r="K111" s="47" t="str">
        <f>TRIM(SUBSTITUTE( LEFT(DATA_Requirements[[#This Row],[Path]], FIND("/", SUBSTITUTE( DATA_Requirements[[#This Row],[Path]]," ","/"),1)-1), ".",""))</f>
        <v>Direction</v>
      </c>
      <c r="L111"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Estimation</v>
      </c>
      <c r="M111"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Estimation</v>
      </c>
      <c r="N111" s="49"/>
      <c r="O111" s="49"/>
    </row>
    <row r="112" spans="1:15" s="46" customFormat="1">
      <c r="A112" s="46" t="s">
        <v>1951</v>
      </c>
      <c r="G112" s="46" t="s">
        <v>1928</v>
      </c>
      <c r="H112" s="46">
        <v>0</v>
      </c>
      <c r="I112" s="46" t="str" cm="1">
        <f t="array" aca="1" ref="I11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12" s="46" t="s">
        <v>2412</v>
      </c>
      <c r="K112" s="47" t="str">
        <f>TRIM(SUBSTITUTE( LEFT(DATA_Requirements[[#This Row],[Path]], FIND("/", SUBSTITUTE( DATA_Requirements[[#This Row],[Path]]," ","/"),1)-1), ".",""))</f>
        <v>Direction</v>
      </c>
      <c r="L112"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Sequencing</v>
      </c>
      <c r="M112"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Sequencing</v>
      </c>
      <c r="N112" s="49"/>
      <c r="O112" s="49"/>
    </row>
    <row r="113" spans="1:15" s="46" customFormat="1">
      <c r="A113" s="46" t="s">
        <v>1951</v>
      </c>
      <c r="G113" s="46" t="s">
        <v>1928</v>
      </c>
      <c r="H113" s="46">
        <v>0</v>
      </c>
      <c r="I113" s="46" t="str" cm="1">
        <f t="array" aca="1" ref="I11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13" s="46" t="s">
        <v>2413</v>
      </c>
      <c r="K113" s="47" t="str">
        <f>TRIM(SUBSTITUTE( LEFT(DATA_Requirements[[#This Row],[Path]], FIND("/", SUBSTITUTE( DATA_Requirements[[#This Row],[Path]]," ","/"),1)-1), ".",""))</f>
        <v>Direction</v>
      </c>
      <c r="L113"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Deployment</v>
      </c>
      <c r="M113"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Deployment</v>
      </c>
      <c r="N113" s="49"/>
      <c r="O113" s="49"/>
    </row>
    <row r="114" spans="1:15" s="46" customFormat="1">
      <c r="A114" s="46" t="s">
        <v>1951</v>
      </c>
      <c r="G114" s="46" t="s">
        <v>1928</v>
      </c>
      <c r="H114" s="46">
        <v>0</v>
      </c>
      <c r="I114" s="46" t="str" cm="1">
        <f t="array" aca="1" ref="I11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14" s="46" t="s">
        <v>2414</v>
      </c>
      <c r="K114" s="47" t="str">
        <f>TRIM(SUBSTITUTE( LEFT(DATA_Requirements[[#This Row],[Path]], FIND("/", SUBSTITUTE( DATA_Requirements[[#This Row],[Path]]," ","/"),1)-1), ".",""))</f>
        <v>Direction</v>
      </c>
      <c r="L114"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ChangeControl</v>
      </c>
      <c r="M114"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ChangeControl</v>
      </c>
      <c r="N114" s="49"/>
      <c r="O114" s="49"/>
    </row>
    <row r="115" spans="1:15" s="46" customFormat="1">
      <c r="A115" s="46" t="s">
        <v>1951</v>
      </c>
      <c r="G115" s="46" t="s">
        <v>1928</v>
      </c>
      <c r="H115" s="46">
        <v>0</v>
      </c>
      <c r="I115" s="46" t="str" cm="1">
        <f t="array" aca="1" ref="I11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15" s="46" t="s">
        <v>2415</v>
      </c>
      <c r="K115" s="47" t="str">
        <f>TRIM(SUBSTITUTE( LEFT(DATA_Requirements[[#This Row],[Path]], FIND("/", SUBSTITUTE( DATA_Requirements[[#This Row],[Path]]," ","/"),1)-1), ".",""))</f>
        <v>Direction</v>
      </c>
      <c r="L115"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Driving</v>
      </c>
      <c r="M115"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Driving</v>
      </c>
      <c r="N115" s="49"/>
      <c r="O115" s="49"/>
    </row>
    <row r="116" spans="1:15" s="46" customFormat="1">
      <c r="A116" s="46" t="s">
        <v>1951</v>
      </c>
      <c r="G116" s="46" t="s">
        <v>1928</v>
      </c>
      <c r="H116" s="46">
        <v>0</v>
      </c>
      <c r="I116" s="46" t="str" cm="1">
        <f t="array" aca="1" ref="I11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16" s="46" t="s">
        <v>2416</v>
      </c>
      <c r="K116" s="47" t="str">
        <f>TRIM(SUBSTITUTE( LEFT(DATA_Requirements[[#This Row],[Path]], FIND("/", SUBSTITUTE( DATA_Requirements[[#This Row],[Path]]," ","/"),1)-1), ".",""))</f>
        <v>Direction</v>
      </c>
      <c r="L116"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Maintaining</v>
      </c>
      <c r="M116"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Maintaining</v>
      </c>
      <c r="N116" s="49"/>
      <c r="O116" s="49"/>
    </row>
    <row r="117" spans="1:15" s="46" customFormat="1">
      <c r="A117" s="46" t="s">
        <v>1951</v>
      </c>
      <c r="G117" s="46" t="s">
        <v>1928</v>
      </c>
      <c r="H117" s="46">
        <v>0</v>
      </c>
      <c r="I117" s="46" t="str" cm="1">
        <f t="array" aca="1" ref="I11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17" s="46" t="s">
        <v>2417</v>
      </c>
      <c r="K117" s="47" t="str">
        <f>TRIM(SUBSTITUTE( LEFT(DATA_Requirements[[#This Row],[Path]], FIND("/", SUBSTITUTE( DATA_Requirements[[#This Row],[Path]]," ","/"),1)-1), ".",""))</f>
        <v>Direction</v>
      </c>
      <c r="L117"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Operations</v>
      </c>
      <c r="M117"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Operations</v>
      </c>
      <c r="N117" s="49"/>
      <c r="O117" s="49"/>
    </row>
    <row r="118" spans="1:15" s="46" customFormat="1">
      <c r="A118" s="46" t="s">
        <v>1951</v>
      </c>
      <c r="G118" s="46" t="s">
        <v>1928</v>
      </c>
      <c r="H118" s="46">
        <v>0</v>
      </c>
      <c r="I118" s="46" t="str" cm="1">
        <f t="array" aca="1" ref="I11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18" s="46" t="s">
        <v>2418</v>
      </c>
      <c r="K118" s="47" t="str">
        <f>TRIM(SUBSTITUTE( LEFT(DATA_Requirements[[#This Row],[Path]], FIND("/", SUBSTITUTE( DATA_Requirements[[#This Row],[Path]]," ","/"),1)-1), ".",""))</f>
        <v>Direction</v>
      </c>
      <c r="L118"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Support</v>
      </c>
      <c r="M118"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Support</v>
      </c>
      <c r="N118" s="49"/>
      <c r="O118" s="49"/>
    </row>
    <row r="119" spans="1:15" s="46" customFormat="1">
      <c r="A119" s="46" t="s">
        <v>1951</v>
      </c>
      <c r="G119" s="46" t="s">
        <v>1928</v>
      </c>
      <c r="H119" s="46">
        <v>0</v>
      </c>
      <c r="I119" s="46" t="str" cm="1">
        <f t="array" aca="1" ref="I11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19" s="46" t="s">
        <v>2419</v>
      </c>
      <c r="K119" s="47" t="str">
        <f>TRIM(SUBSTITUTE( LEFT(DATA_Requirements[[#This Row],[Path]], FIND("/", SUBSTITUTE( DATA_Requirements[[#This Row],[Path]]," ","/"),1)-1), ".",""))</f>
        <v>Direction</v>
      </c>
      <c r="L119"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Generic</v>
      </c>
      <c r="M119"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Generic</v>
      </c>
      <c r="N119" s="49"/>
      <c r="O119" s="49"/>
    </row>
    <row r="120" spans="1:15" s="46" customFormat="1">
      <c r="A120" s="46" t="s">
        <v>1951</v>
      </c>
      <c r="G120" s="46" t="s">
        <v>1928</v>
      </c>
      <c r="H120" s="46">
        <v>0</v>
      </c>
      <c r="I120" s="46" t="str" cm="1">
        <f t="array" aca="1" ref="I12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20" s="46" t="s">
        <v>2420</v>
      </c>
      <c r="K120" s="47" t="str">
        <f>TRIM(SUBSTITUTE( LEFT(DATA_Requirements[[#This Row],[Path]], FIND("/", SUBSTITUTE( DATA_Requirements[[#This Row],[Path]]," ","/"),1)-1), ".",""))</f>
        <v>Direction</v>
      </c>
      <c r="L120"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AntiPatterns: Start with Devs</v>
      </c>
      <c r="M120"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Development Resources SHOULD NOT be hired before Objectives.Hire them last, after Objectives, Definition, and QA are sorted out.</v>
      </c>
      <c r="N120" s="49"/>
      <c r="O120" s="49"/>
    </row>
    <row r="121" spans="1:15" s="46" customFormat="1">
      <c r="A121" s="46" t="s">
        <v>1951</v>
      </c>
      <c r="G121" s="46" t="s">
        <v>1928</v>
      </c>
      <c r="H121" s="46">
        <v>0</v>
      </c>
      <c r="I121" s="46" t="str" cm="1">
        <f t="array" aca="1" ref="I12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21" s="46" t="s">
        <v>2421</v>
      </c>
      <c r="K121" s="47" t="str">
        <f>TRIM(SUBSTITUTE( LEFT(DATA_Requirements[[#This Row],[Path]], FIND("/", SUBSTITUTE( DATA_Requirements[[#This Row],[Path]]," ","/"),1)-1), ".",""))</f>
        <v>Direction</v>
      </c>
      <c r="L121"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AntiPatterns: Only one Deliverable</v>
      </c>
      <c r="M121"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Direction Stakeholders MUST NOT fall into the trap of thinking that the InfoService is the key &amp; only Deliverable.There are MANY.</v>
      </c>
      <c r="N121" s="49"/>
      <c r="O121" s="49"/>
    </row>
    <row r="122" spans="1:15" s="46" customFormat="1">
      <c r="A122" s="46" t="s">
        <v>1951</v>
      </c>
      <c r="G122" s="46" t="s">
        <v>1928</v>
      </c>
      <c r="H122" s="46">
        <v>0</v>
      </c>
      <c r="I122" s="46" t="str" cm="1">
        <f t="array" aca="1" ref="I12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22" s="46" t="s">
        <v>2422</v>
      </c>
      <c r="K122" s="47" t="str">
        <f>TRIM(SUBSTITUTE( LEFT(DATA_Requirements[[#This Row],[Path]], FIND("/", SUBSTITUTE( DATA_Requirements[[#This Row],[Path]]," ","/"),1)-1), ".",""))</f>
        <v>Direction</v>
      </c>
      <c r="L122"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AntiPatterns: Delivery Planning Only</v>
      </c>
      <c r="M122"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Service Delivery Planning MUST be based on Full Service Lifespan rather than only short term Delivery considerations</v>
      </c>
      <c r="N122" s="49"/>
      <c r="O122" s="49"/>
    </row>
    <row r="123" spans="1:15" s="46" customFormat="1">
      <c r="A123" s="46" t="s">
        <v>1951</v>
      </c>
      <c r="G123" s="46" t="s">
        <v>1928</v>
      </c>
      <c r="H123" s="46">
        <v>0</v>
      </c>
      <c r="I123" s="46" t="str" cm="1">
        <f t="array" aca="1" ref="I12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23" s="46" t="s">
        <v>2423</v>
      </c>
      <c r="K123" s="47" t="str">
        <f>TRIM(SUBSTITUTE( LEFT(DATA_Requirements[[#This Row],[Path]], FIND("/", SUBSTITUTE( DATA_Requirements[[#This Row],[Path]]," ","/"),1)-1), ".",""))</f>
        <v>Direction</v>
      </c>
      <c r="L123"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Obligations: ATO Required</v>
      </c>
      <c r="M123"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Permission to Publish to PROD-DATA environments requires the issuance of an Authority to Operate (ATO)</v>
      </c>
      <c r="N123" s="49"/>
      <c r="O123" s="49"/>
    </row>
    <row r="124" spans="1:15" s="46" customFormat="1">
      <c r="A124" s="46" t="s">
        <v>1951</v>
      </c>
      <c r="G124" s="46" t="s">
        <v>1928</v>
      </c>
      <c r="H124" s="46">
        <v>0</v>
      </c>
      <c r="I124" s="46" t="str" cm="1">
        <f t="array" aca="1" ref="I12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24" s="46" t="s">
        <v>2424</v>
      </c>
      <c r="K124" s="47" t="str">
        <f>TRIM(SUBSTITUTE( LEFT(DATA_Requirements[[#This Row],[Path]], FIND("/", SUBSTITUTE( DATA_Requirements[[#This Row],[Path]]," ","/"),1)-1), ".",""))</f>
        <v>Direction</v>
      </c>
      <c r="L124"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Obligations: Progress Reporting</v>
      </c>
      <c r="M124"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Direction Stakeholders MUST regularly report to Project Governance Stakeholders Qualities, Functionality &amp; Workitem progress, Velocity, Rework %, Trending ETA</v>
      </c>
      <c r="N124" s="49"/>
      <c r="O124" s="49"/>
    </row>
    <row r="125" spans="1:15" s="46" customFormat="1">
      <c r="A125" s="46" t="s">
        <v>1951</v>
      </c>
      <c r="G125" s="46" t="s">
        <v>1928</v>
      </c>
      <c r="H125" s="46">
        <v>0</v>
      </c>
      <c r="I125" s="46" t="str" cm="1">
        <f t="array" aca="1" ref="I12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25" s="46" t="s">
        <v>2425</v>
      </c>
      <c r="K125" s="47" t="str">
        <f>TRIM(SUBSTITUTE( LEFT(DATA_Requirements[[#This Row],[Path]], FIND("/", SUBSTITUTE( DATA_Requirements[[#This Row],[Path]]," ","/"),1)-1), ".",""))</f>
        <v>Direction</v>
      </c>
      <c r="L125"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Obligations: Probity</v>
      </c>
      <c r="M125"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Direction Stakeholders SHOULD commission independent 3rd parties to report on project's probity obligations.</v>
      </c>
      <c r="N125" s="49"/>
      <c r="O125" s="49"/>
    </row>
    <row r="126" spans="1:15" s="46" customFormat="1">
      <c r="A126" s="46" t="s">
        <v>1951</v>
      </c>
      <c r="G126" s="46" t="s">
        <v>1928</v>
      </c>
      <c r="H126" s="46">
        <v>0</v>
      </c>
      <c r="I126" s="46" t="str" cm="1">
        <f t="array" aca="1" ref="I12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26" s="46" t="s">
        <v>2426</v>
      </c>
      <c r="K126" s="47" t="str">
        <f>TRIM(SUBSTITUTE( LEFT(DATA_Requirements[[#This Row],[Path]], FIND("/", SUBSTITUTE( DATA_Requirements[[#This Row],[Path]]," ","/"),1)-1), ".",""))</f>
        <v>Direction</v>
      </c>
      <c r="L126"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 Budget: Restrained Capex</v>
      </c>
      <c r="M126"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Business Case Budget SHOULD plan to use no more than 33% of budget on initial Capex investment on service development &amp; delivery</v>
      </c>
      <c r="N126" s="49"/>
      <c r="O126" s="49"/>
    </row>
    <row r="127" spans="1:15" s="46" customFormat="1">
      <c r="A127" s="46" t="s">
        <v>1951</v>
      </c>
      <c r="G127" s="46" t="s">
        <v>1928</v>
      </c>
      <c r="H127" s="46">
        <v>0</v>
      </c>
      <c r="I127" s="46" t="str" cm="1">
        <f t="array" aca="1" ref="I12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27" s="46" t="s">
        <v>2427</v>
      </c>
      <c r="K127" s="47" t="str">
        <f>TRIM(SUBSTITUTE( LEFT(DATA_Requirements[[#This Row],[Path]], FIND("/", SUBSTITUTE( DATA_Requirements[[#This Row],[Path]]," ","/"),1)-1), ".",""))</f>
        <v>Direction</v>
      </c>
      <c r="L127"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 Budget: Sufficient Opex</v>
      </c>
      <c r="M127"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Business Case Budget SHOULD put aside no less than 66% of Budget on ongoing Opex for ongoing Operations and continual Improvement</v>
      </c>
      <c r="N127" s="49"/>
      <c r="O127" s="49"/>
    </row>
    <row r="128" spans="1:15" s="46" customFormat="1">
      <c r="A128" s="46" t="s">
        <v>1951</v>
      </c>
      <c r="G128" s="46" t="s">
        <v>1928</v>
      </c>
      <c r="H128" s="46">
        <v>0</v>
      </c>
      <c r="I128" s="46" t="str" cm="1">
        <f t="array" aca="1" ref="I12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28" s="46" t="s">
        <v>2428</v>
      </c>
      <c r="K128" s="47" t="str">
        <f>TRIM(SUBSTITUTE( LEFT(DATA_Requirements[[#This Row],[Path]], FIND("/", SUBSTITUTE( DATA_Requirements[[#This Row],[Path]]," ","/"),1)-1), ".",""))</f>
        <v>Direction</v>
      </c>
      <c r="L128"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 Time: GoLive</v>
      </c>
      <c r="M128"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first release of a rudimentary but secure system to end users MUST occur within 60 days of project start</v>
      </c>
      <c r="N128" s="49"/>
      <c r="O128" s="49"/>
    </row>
    <row r="129" spans="1:15" s="46" customFormat="1">
      <c r="A129" s="46" t="s">
        <v>1951</v>
      </c>
      <c r="G129" s="46" t="s">
        <v>1928</v>
      </c>
      <c r="H129" s="46">
        <v>0</v>
      </c>
      <c r="I129" s="50" t="str" cm="1">
        <f t="array" aca="1" ref="I12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29" s="50" t="s">
        <v>2429</v>
      </c>
      <c r="K129" s="47" t="str">
        <f>TRIM(SUBSTITUTE( LEFT(DATA_Requirements[[#This Row],[Path]], FIND("/", SUBSTITUTE( DATA_Requirements[[#This Row],[Path]]," ","/"),1)-1), ".",""))</f>
        <v>Direction</v>
      </c>
      <c r="L129"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 Time: Blackout Periods</v>
      </c>
      <c r="M129"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Scheduling of Effort and Releases MUST take into account any Organisation Christmas &amp; New Year Gray &amp; Black Out Periods</v>
      </c>
      <c r="N129" s="49"/>
      <c r="O129" s="49"/>
    </row>
    <row r="130" spans="1:15" s="46" customFormat="1">
      <c r="A130" s="46" t="s">
        <v>1951</v>
      </c>
      <c r="G130" s="46" t="s">
        <v>1928</v>
      </c>
      <c r="H130" s="46">
        <v>0</v>
      </c>
      <c r="I130" s="46" t="str" cm="1">
        <f t="array" aca="1" ref="I13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30" s="46" t="s">
        <v>2430</v>
      </c>
      <c r="K130" s="47" t="str">
        <f>TRIM(SUBSTITUTE( LEFT(DATA_Requirements[[#This Row],[Path]], FIND("/", SUBSTITUTE( DATA_Requirements[[#This Row],[Path]]," ","/"),1)-1), ".",""))</f>
        <v>Direction</v>
      </c>
      <c r="L130"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 Time: Scholastic Schedules</v>
      </c>
      <c r="M130"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Scheduling of effort and releases MUST take account of scholastic holidays which traditionally affects Resource availability</v>
      </c>
      <c r="N130" s="49"/>
      <c r="O130" s="49"/>
    </row>
    <row r="131" spans="1:15" s="46" customFormat="1">
      <c r="A131" s="46" t="s">
        <v>1951</v>
      </c>
      <c r="G131" s="46" t="s">
        <v>1928</v>
      </c>
      <c r="H131" s="46">
        <v>0</v>
      </c>
      <c r="I131" s="46" t="str" cm="1">
        <f t="array" aca="1" ref="I13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31" s="46" t="s">
        <v>2431</v>
      </c>
      <c r="K131" s="47" t="str">
        <f>TRIM(SUBSTITUTE( LEFT(DATA_Requirements[[#This Row],[Path]], FIND("/", SUBSTITUTE( DATA_Requirements[[#This Row],[Path]]," ","/"),1)-1), ".",""))</f>
        <v>Direction</v>
      </c>
      <c r="L131"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 Time: Release Cadence</v>
      </c>
      <c r="M131"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cadence of new releases to end users MUST be no longer than 2 weeks (forcing automation and best practices)</v>
      </c>
      <c r="N131" s="49"/>
      <c r="O131" s="49"/>
    </row>
    <row r="132" spans="1:15" s="46" customFormat="1">
      <c r="A132" s="46" t="s">
        <v>1951</v>
      </c>
      <c r="G132" s="46" t="s">
        <v>1928</v>
      </c>
      <c r="H132" s="46">
        <v>0</v>
      </c>
      <c r="I132" s="46" t="str" cm="1">
        <f t="array" aca="1" ref="I13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32" s="46" t="s">
        <v>2432</v>
      </c>
      <c r="K132" s="47" t="str">
        <f>TRIM(SUBSTITUTE( LEFT(DATA_Requirements[[#This Row],[Path]], FIND("/", SUBSTITUTE( DATA_Requirements[[#This Row],[Path]]," ","/"),1)-1), ".",""))</f>
        <v>0420:00501</v>
      </c>
      <c r="L132"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Permit</v>
      </c>
      <c r="M132"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Permit Developers to start on UserStories before Test Analysts have defined Tests</v>
      </c>
      <c r="N132" s="49"/>
      <c r="O132" s="49"/>
    </row>
    <row r="133" spans="1:15" s="46" customFormat="1">
      <c r="A133" s="46" t="s">
        <v>1951</v>
      </c>
      <c r="G133" s="46" t="s">
        <v>1928</v>
      </c>
      <c r="H133" s="46">
        <v>0</v>
      </c>
      <c r="I133" s="46" t="str" cm="1">
        <f t="array" aca="1" ref="I13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33" s="46" t="s">
        <v>2433</v>
      </c>
      <c r="K133" s="47" t="str">
        <f>TRIM(SUBSTITUTE( LEFT(DATA_Requirements[[#This Row],[Path]], FIND("/", SUBSTITUTE( DATA_Requirements[[#This Row],[Path]]," ","/"),1)-1), ".",""))</f>
        <v>0420:00502</v>
      </c>
      <c r="L133"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Run</v>
      </c>
      <c r="M133"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Run Development &amp; Test Definition in parallel</v>
      </c>
      <c r="N133" s="49"/>
      <c r="O133" s="49"/>
    </row>
    <row r="134" spans="1:15" s="46" customFormat="1">
      <c r="A134" s="46" t="s">
        <v>1951</v>
      </c>
      <c r="G134" s="46" t="s">
        <v>1928</v>
      </c>
      <c r="H134" s="46">
        <v>0</v>
      </c>
      <c r="I134" s="46" t="str" cm="1">
        <f t="array" aca="1" ref="I13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34" s="46" t="s">
        <v>2434</v>
      </c>
      <c r="K134" s="47" t="str">
        <f>TRIM(SUBSTITUTE( LEFT(DATA_Requirements[[#This Row],[Path]], FIND("/", SUBSTITUTE( DATA_Requirements[[#This Row],[Path]]," ","/"),1)-1), ".",""))</f>
        <v>0420:00803</v>
      </c>
      <c r="L134"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Progress</v>
      </c>
      <c r="M134"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Progress</v>
      </c>
      <c r="N134" s="49"/>
      <c r="O134" s="49"/>
    </row>
    <row r="135" spans="1:15" s="46" customFormat="1">
      <c r="A135" s="46" t="s">
        <v>1951</v>
      </c>
      <c r="G135" s="46" t="s">
        <v>1928</v>
      </c>
      <c r="H135" s="46">
        <v>0</v>
      </c>
      <c r="I135" s="46" t="str" cm="1">
        <f t="array" aca="1" ref="I13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35" s="46" t="s">
        <v>2435</v>
      </c>
      <c r="K135" s="47" t="str">
        <f>TRIM(SUBSTITUTE( LEFT(DATA_Requirements[[#This Row],[Path]], FIND("/", SUBSTITUTE( DATA_Requirements[[#This Row],[Path]]," ","/"),1)-1), ".",""))</f>
        <v>0420:00803</v>
      </c>
      <c r="L135"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QA</v>
      </c>
      <c r="M135"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QA</v>
      </c>
      <c r="N135" s="49"/>
      <c r="O135" s="49"/>
    </row>
    <row r="136" spans="1:15" s="46" customFormat="1">
      <c r="A136" s="46" t="s">
        <v>1951</v>
      </c>
      <c r="G136" s="46" t="s">
        <v>1928</v>
      </c>
      <c r="H136" s="46">
        <v>0</v>
      </c>
      <c r="I136" s="46" t="str" cm="1">
        <f t="array" aca="1" ref="I13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36" s="46" t="s">
        <v>2436</v>
      </c>
      <c r="K136" s="47" t="str">
        <f>TRIM(SUBSTITUTE( LEFT(DATA_Requirements[[#This Row],[Path]], FIND("/", SUBSTITUTE( DATA_Requirements[[#This Row],[Path]]," ","/"),1)-1), ".",""))</f>
        <v>0420:00803</v>
      </c>
      <c r="L136"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Risk</v>
      </c>
      <c r="M136"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Risk Register</v>
      </c>
      <c r="N136" s="49"/>
      <c r="O136" s="49"/>
    </row>
    <row r="137" spans="1:15" s="46" customFormat="1">
      <c r="A137" s="46" t="s">
        <v>1951</v>
      </c>
      <c r="G137" s="46" t="s">
        <v>1928</v>
      </c>
      <c r="H137" s="46">
        <v>0</v>
      </c>
      <c r="I137" s="46" t="str" cm="1">
        <f t="array" aca="1" ref="I13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37" s="46" t="s">
        <v>2437</v>
      </c>
      <c r="K137" s="47" t="str">
        <f>TRIM(SUBSTITUTE( LEFT(DATA_Requirements[[#This Row],[Path]], FIND("/", SUBSTITUTE( DATA_Requirements[[#This Row],[Path]]," ","/"),1)-1), ".",""))</f>
        <v>0420:00804</v>
      </c>
      <c r="L137"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Code</v>
      </c>
      <c r="M137"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Code Coverage</v>
      </c>
      <c r="N137" s="49"/>
      <c r="O137" s="49"/>
    </row>
    <row r="138" spans="1:15" s="46" customFormat="1">
      <c r="A138" s="46" t="s">
        <v>1951</v>
      </c>
      <c r="G138" s="46" t="s">
        <v>1928</v>
      </c>
      <c r="H138" s="46">
        <v>0</v>
      </c>
      <c r="I138" s="46" t="str" cm="1">
        <f t="array" aca="1" ref="I13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38" s="46" t="s">
        <v>2438</v>
      </c>
      <c r="K138" s="47" t="str">
        <f>TRIM(SUBSTITUTE( LEFT(DATA_Requirements[[#This Row],[Path]], FIND("/", SUBSTITUTE( DATA_Requirements[[#This Row],[Path]]," ","/"),1)-1), ".",""))</f>
        <v>0420:00805</v>
      </c>
      <c r="L138"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v>
      </c>
      <c r="M138"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CA</v>
      </c>
      <c r="N138" s="49"/>
      <c r="O138" s="49"/>
    </row>
    <row r="139" spans="1:15" s="46" customFormat="1">
      <c r="A139" s="46" t="s">
        <v>1951</v>
      </c>
      <c r="G139" s="46" t="s">
        <v>1928</v>
      </c>
      <c r="H139" s="46">
        <v>0</v>
      </c>
      <c r="I139" s="46" t="str" cm="1">
        <f t="array" aca="1" ref="I13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04....0.0</v>
      </c>
      <c r="J139" s="46" t="s">
        <v>2439</v>
      </c>
      <c r="K139" s="47" t="str">
        <f>TRIM(SUBSTITUTE( LEFT(DATA_Requirements[[#This Row],[Path]], FIND("/", SUBSTITUTE( DATA_Requirements[[#This Row],[Path]]," ","/"),1)-1), ".",""))</f>
        <v>0420:00806</v>
      </c>
      <c r="L139" s="46"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Security</v>
      </c>
      <c r="M139" s="48"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Security A337</v>
      </c>
      <c r="N139" s="49"/>
      <c r="O139" s="49"/>
    </row>
    <row r="140" spans="1:15">
      <c r="A140" t="s">
        <v>1961</v>
      </c>
      <c r="B140" t="s">
        <v>2440</v>
      </c>
      <c r="C140"/>
      <c r="D140"/>
      <c r="G140" t="s">
        <v>1928</v>
      </c>
      <c r="H140">
        <v>0</v>
      </c>
      <c r="I140" t="str" cm="1">
        <f t="array" aca="1" ref="I14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06.426...0.0</v>
      </c>
      <c r="J140"/>
      <c r="K140" s="10" t="e">
        <f>TRIM(SUBSTITUTE( LEFT(DATA_Requirements[[#This Row],[Path]], FIND("/", SUBSTITUTE( DATA_Requirements[[#This Row],[Path]]," ","/"),1)-1), ".",""))</f>
        <v>#VALUE!</v>
      </c>
      <c r="L140"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40"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41" spans="1:15">
      <c r="A141" t="s">
        <v>1961</v>
      </c>
      <c r="B141" t="s">
        <v>2246</v>
      </c>
      <c r="C141"/>
      <c r="D141"/>
      <c r="G141" t="s">
        <v>1928</v>
      </c>
      <c r="H141">
        <v>0</v>
      </c>
      <c r="I141" t="str" cm="1">
        <f t="array" aca="1" ref="I14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41"/>
      <c r="K141" s="10" t="e">
        <f>TRIM(SUBSTITUTE( LEFT(DATA_Requirements[[#This Row],[Path]], FIND("/", SUBSTITUTE( DATA_Requirements[[#This Row],[Path]]," ","/"),1)-1), ".",""))</f>
        <v>#VALUE!</v>
      </c>
      <c r="L141"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41"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42" spans="1:15">
      <c r="A142" t="s">
        <v>1961</v>
      </c>
      <c r="B142" t="s">
        <v>2246</v>
      </c>
      <c r="C142"/>
      <c r="D142"/>
      <c r="G142" t="s">
        <v>1928</v>
      </c>
      <c r="H142">
        <v>0</v>
      </c>
      <c r="I142" t="str" cm="1">
        <f t="array" aca="1" ref="I14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42"/>
      <c r="K142" s="10" t="e">
        <f>TRIM(SUBSTITUTE( LEFT(DATA_Requirements[[#This Row],[Path]], FIND("/", SUBSTITUTE( DATA_Requirements[[#This Row],[Path]]," ","/"),1)-1), ".",""))</f>
        <v>#VALUE!</v>
      </c>
      <c r="L142"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42"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43" spans="1:15">
      <c r="A143" t="s">
        <v>1961</v>
      </c>
      <c r="B143" t="s">
        <v>2246</v>
      </c>
      <c r="C143"/>
      <c r="D143"/>
      <c r="G143" t="s">
        <v>1928</v>
      </c>
      <c r="H143">
        <v>0</v>
      </c>
      <c r="I143" t="str" cm="1">
        <f t="array" aca="1" ref="I14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43"/>
      <c r="K143" s="10" t="e">
        <f>TRIM(SUBSTITUTE( LEFT(DATA_Requirements[[#This Row],[Path]], FIND("/", SUBSTITUTE( DATA_Requirements[[#This Row],[Path]]," ","/"),1)-1), ".",""))</f>
        <v>#VALUE!</v>
      </c>
      <c r="L143"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43"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44" spans="1:15">
      <c r="A144" t="s">
        <v>1961</v>
      </c>
      <c r="B144" t="s">
        <v>2246</v>
      </c>
      <c r="C144"/>
      <c r="D144"/>
      <c r="G144" t="s">
        <v>1928</v>
      </c>
      <c r="H144">
        <v>0</v>
      </c>
      <c r="I144" t="str" cm="1">
        <f t="array" aca="1" ref="I14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44"/>
      <c r="K144" s="10" t="e">
        <f>TRIM(SUBSTITUTE( LEFT(DATA_Requirements[[#This Row],[Path]], FIND("/", SUBSTITUTE( DATA_Requirements[[#This Row],[Path]]," ","/"),1)-1), ".",""))</f>
        <v>#VALUE!</v>
      </c>
      <c r="L144"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44"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45" spans="1:13">
      <c r="A145" t="s">
        <v>1961</v>
      </c>
      <c r="B145" t="s">
        <v>2246</v>
      </c>
      <c r="C145"/>
      <c r="D145"/>
      <c r="G145" t="s">
        <v>1928</v>
      </c>
      <c r="H145">
        <v>0</v>
      </c>
      <c r="I145" t="str" cm="1">
        <f t="array" aca="1" ref="I14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45"/>
      <c r="K145" s="10" t="e">
        <f>TRIM(SUBSTITUTE( LEFT(DATA_Requirements[[#This Row],[Path]], FIND("/", SUBSTITUTE( DATA_Requirements[[#This Row],[Path]]," ","/"),1)-1), ".",""))</f>
        <v>#VALUE!</v>
      </c>
      <c r="L145"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45"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46" spans="1:13">
      <c r="A146" t="s">
        <v>1961</v>
      </c>
      <c r="B146" t="s">
        <v>2246</v>
      </c>
      <c r="C146"/>
      <c r="D146"/>
      <c r="G146" t="s">
        <v>1928</v>
      </c>
      <c r="H146">
        <v>0</v>
      </c>
      <c r="I146" t="str" cm="1">
        <f t="array" aca="1" ref="I14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46"/>
      <c r="K146" s="10" t="e">
        <f>TRIM(SUBSTITUTE( LEFT(DATA_Requirements[[#This Row],[Path]], FIND("/", SUBSTITUTE( DATA_Requirements[[#This Row],[Path]]," ","/"),1)-1), ".",""))</f>
        <v>#VALUE!</v>
      </c>
      <c r="L146"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46"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47" spans="1:13">
      <c r="A147" t="s">
        <v>1961</v>
      </c>
      <c r="B147" t="s">
        <v>2246</v>
      </c>
      <c r="C147"/>
      <c r="D147"/>
      <c r="G147" t="s">
        <v>1928</v>
      </c>
      <c r="H147">
        <v>0</v>
      </c>
      <c r="I147" t="str" cm="1">
        <f t="array" aca="1" ref="I14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47"/>
      <c r="K147" s="10" t="e">
        <f>TRIM(SUBSTITUTE( LEFT(DATA_Requirements[[#This Row],[Path]], FIND("/", SUBSTITUTE( DATA_Requirements[[#This Row],[Path]]," ","/"),1)-1), ".",""))</f>
        <v>#VALUE!</v>
      </c>
      <c r="L147"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47"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48" spans="1:13">
      <c r="A148" t="s">
        <v>1961</v>
      </c>
      <c r="B148" t="s">
        <v>2246</v>
      </c>
      <c r="C148"/>
      <c r="D148"/>
      <c r="G148" t="s">
        <v>1928</v>
      </c>
      <c r="H148">
        <v>0</v>
      </c>
      <c r="I148" t="str" cm="1">
        <f t="array" aca="1" ref="I14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48"/>
      <c r="K148" s="10" t="e">
        <f>TRIM(SUBSTITUTE( LEFT(DATA_Requirements[[#This Row],[Path]], FIND("/", SUBSTITUTE( DATA_Requirements[[#This Row],[Path]]," ","/"),1)-1), ".",""))</f>
        <v>#VALUE!</v>
      </c>
      <c r="L148"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48"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49" spans="1:13">
      <c r="A149" t="s">
        <v>1961</v>
      </c>
      <c r="B149" t="s">
        <v>2246</v>
      </c>
      <c r="C149"/>
      <c r="D149"/>
      <c r="G149" t="s">
        <v>1928</v>
      </c>
      <c r="H149">
        <v>0</v>
      </c>
      <c r="I149" t="str" cm="1">
        <f t="array" aca="1" ref="I14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49"/>
      <c r="K149" s="10" t="e">
        <f>TRIM(SUBSTITUTE( LEFT(DATA_Requirements[[#This Row],[Path]], FIND("/", SUBSTITUTE( DATA_Requirements[[#This Row],[Path]]," ","/"),1)-1), ".",""))</f>
        <v>#VALUE!</v>
      </c>
      <c r="L149"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49"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50" spans="1:13">
      <c r="A150" t="s">
        <v>1961</v>
      </c>
      <c r="B150" t="s">
        <v>2246</v>
      </c>
      <c r="C150"/>
      <c r="D150"/>
      <c r="G150" t="s">
        <v>1928</v>
      </c>
      <c r="H150">
        <v>0</v>
      </c>
      <c r="I150" t="str" cm="1">
        <f t="array" aca="1" ref="I15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50"/>
      <c r="K150" s="10" t="e">
        <f>TRIM(SUBSTITUTE( LEFT(DATA_Requirements[[#This Row],[Path]], FIND("/", SUBSTITUTE( DATA_Requirements[[#This Row],[Path]]," ","/"),1)-1), ".",""))</f>
        <v>#VALUE!</v>
      </c>
      <c r="L150"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50"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51" spans="1:13">
      <c r="A151" t="s">
        <v>1961</v>
      </c>
      <c r="B151" t="s">
        <v>2246</v>
      </c>
      <c r="C151"/>
      <c r="D151"/>
      <c r="G151" t="s">
        <v>1928</v>
      </c>
      <c r="H151">
        <v>0</v>
      </c>
      <c r="I151" t="str" cm="1">
        <f t="array" aca="1" ref="I15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51"/>
      <c r="K151" s="10" t="e">
        <f>TRIM(SUBSTITUTE( LEFT(DATA_Requirements[[#This Row],[Path]], FIND("/", SUBSTITUTE( DATA_Requirements[[#This Row],[Path]]," ","/"),1)-1), ".",""))</f>
        <v>#VALUE!</v>
      </c>
      <c r="L151"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51"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52" spans="1:13">
      <c r="A152" t="s">
        <v>1961</v>
      </c>
      <c r="B152" t="s">
        <v>2246</v>
      </c>
      <c r="C152"/>
      <c r="D152"/>
      <c r="G152" t="s">
        <v>1928</v>
      </c>
      <c r="H152">
        <v>0</v>
      </c>
      <c r="I152" t="str" cm="1">
        <f t="array" aca="1" ref="I15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52"/>
      <c r="K152" s="10" t="e">
        <f>TRIM(SUBSTITUTE( LEFT(DATA_Requirements[[#This Row],[Path]], FIND("/", SUBSTITUTE( DATA_Requirements[[#This Row],[Path]]," ","/"),1)-1), ".",""))</f>
        <v>#VALUE!</v>
      </c>
      <c r="L152"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52"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53" spans="1:13">
      <c r="A153" t="s">
        <v>1961</v>
      </c>
      <c r="B153" t="s">
        <v>2246</v>
      </c>
      <c r="C153"/>
      <c r="D153"/>
      <c r="G153" t="s">
        <v>1928</v>
      </c>
      <c r="H153">
        <v>0</v>
      </c>
      <c r="I153" t="str" cm="1">
        <f t="array" aca="1" ref="I15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53"/>
      <c r="K153" s="10" t="e">
        <f>TRIM(SUBSTITUTE( LEFT(DATA_Requirements[[#This Row],[Path]], FIND("/", SUBSTITUTE( DATA_Requirements[[#This Row],[Path]]," ","/"),1)-1), ".",""))</f>
        <v>#VALUE!</v>
      </c>
      <c r="L153"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53"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54" spans="1:13">
      <c r="A154" t="s">
        <v>1961</v>
      </c>
      <c r="B154" t="s">
        <v>2246</v>
      </c>
      <c r="C154"/>
      <c r="D154"/>
      <c r="G154" t="s">
        <v>1928</v>
      </c>
      <c r="H154">
        <v>0</v>
      </c>
      <c r="I154" t="str" cm="1">
        <f t="array" aca="1" ref="I15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54"/>
      <c r="K154" s="10" t="e">
        <f>TRIM(SUBSTITUTE( LEFT(DATA_Requirements[[#This Row],[Path]], FIND("/", SUBSTITUTE( DATA_Requirements[[#This Row],[Path]]," ","/"),1)-1), ".",""))</f>
        <v>#VALUE!</v>
      </c>
      <c r="L154"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54"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55" spans="1:13">
      <c r="A155" t="s">
        <v>1961</v>
      </c>
      <c r="B155" t="s">
        <v>2246</v>
      </c>
      <c r="C155"/>
      <c r="D155"/>
      <c r="G155" t="s">
        <v>1928</v>
      </c>
      <c r="H155">
        <v>0</v>
      </c>
      <c r="I155" t="str" cm="1">
        <f t="array" aca="1" ref="I15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55"/>
      <c r="K155" s="10" t="e">
        <f>TRIM(SUBSTITUTE( LEFT(DATA_Requirements[[#This Row],[Path]], FIND("/", SUBSTITUTE( DATA_Requirements[[#This Row],[Path]]," ","/"),1)-1), ".",""))</f>
        <v>#VALUE!</v>
      </c>
      <c r="L155"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55"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56" spans="1:13">
      <c r="A156" t="s">
        <v>1961</v>
      </c>
      <c r="B156" t="s">
        <v>2246</v>
      </c>
      <c r="C156"/>
      <c r="D156"/>
      <c r="G156" t="s">
        <v>1928</v>
      </c>
      <c r="H156">
        <v>0</v>
      </c>
      <c r="I156" t="str" cm="1">
        <f t="array" aca="1" ref="I15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56"/>
      <c r="K156" s="10" t="e">
        <f>TRIM(SUBSTITUTE( LEFT(DATA_Requirements[[#This Row],[Path]], FIND("/", SUBSTITUTE( DATA_Requirements[[#This Row],[Path]]," ","/"),1)-1), ".",""))</f>
        <v>#VALUE!</v>
      </c>
      <c r="L156"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56"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57" spans="1:13">
      <c r="A157" t="s">
        <v>1961</v>
      </c>
      <c r="B157" t="s">
        <v>2246</v>
      </c>
      <c r="C157"/>
      <c r="D157"/>
      <c r="G157" t="s">
        <v>1928</v>
      </c>
      <c r="H157">
        <v>0</v>
      </c>
      <c r="I157" t="str" cm="1">
        <f t="array" aca="1" ref="I15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57"/>
      <c r="K157" s="10" t="e">
        <f>TRIM(SUBSTITUTE( LEFT(DATA_Requirements[[#This Row],[Path]], FIND("/", SUBSTITUTE( DATA_Requirements[[#This Row],[Path]]," ","/"),1)-1), ".",""))</f>
        <v>#VALUE!</v>
      </c>
      <c r="L157"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57"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58" spans="1:13">
      <c r="A158" t="s">
        <v>1961</v>
      </c>
      <c r="B158" t="s">
        <v>2246</v>
      </c>
      <c r="C158"/>
      <c r="D158"/>
      <c r="G158" t="s">
        <v>1928</v>
      </c>
      <c r="H158">
        <v>0</v>
      </c>
      <c r="I158" t="str" cm="1">
        <f t="array" aca="1" ref="I15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58"/>
      <c r="K158" s="10" t="e">
        <f>TRIM(SUBSTITUTE( LEFT(DATA_Requirements[[#This Row],[Path]], FIND("/", SUBSTITUTE( DATA_Requirements[[#This Row],[Path]]," ","/"),1)-1), ".",""))</f>
        <v>#VALUE!</v>
      </c>
      <c r="L158"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58"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59" spans="1:13">
      <c r="A159" t="s">
        <v>1961</v>
      </c>
      <c r="B159" t="s">
        <v>2246</v>
      </c>
      <c r="C159"/>
      <c r="D159"/>
      <c r="G159" t="s">
        <v>1928</v>
      </c>
      <c r="H159">
        <v>0</v>
      </c>
      <c r="I159" t="str" cm="1">
        <f t="array" aca="1" ref="I15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06.461...0.0</v>
      </c>
      <c r="J159"/>
      <c r="K159" s="10" t="e">
        <f>TRIM(SUBSTITUTE( LEFT(DATA_Requirements[[#This Row],[Path]], FIND("/", SUBSTITUTE( DATA_Requirements[[#This Row],[Path]]," ","/"),1)-1), ".",""))</f>
        <v>#VALUE!</v>
      </c>
      <c r="L159"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59"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60" spans="1:13">
      <c r="A160" t="s">
        <v>1961</v>
      </c>
      <c r="B160" t="s">
        <v>2270</v>
      </c>
      <c r="C160"/>
      <c r="D160"/>
      <c r="G160" t="s">
        <v>1928</v>
      </c>
      <c r="H160">
        <v>0</v>
      </c>
      <c r="I160" t="str" cm="1">
        <f t="array" aca="1" ref="I16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06.523...0.0</v>
      </c>
      <c r="J160"/>
      <c r="K160" s="10" t="e">
        <f>TRIM(SUBSTITUTE( LEFT(DATA_Requirements[[#This Row],[Path]], FIND("/", SUBSTITUTE( DATA_Requirements[[#This Row],[Path]]," ","/"),1)-1), ".",""))</f>
        <v>#VALUE!</v>
      </c>
      <c r="L160"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60"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61" spans="1:13">
      <c r="A161" t="s">
        <v>1961</v>
      </c>
      <c r="B161" t="s">
        <v>2270</v>
      </c>
      <c r="C161"/>
      <c r="D161"/>
      <c r="G161" t="s">
        <v>1928</v>
      </c>
      <c r="H161">
        <v>0</v>
      </c>
      <c r="I161" t="str" cm="1">
        <f t="array" aca="1" ref="I16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06.523...0.0</v>
      </c>
      <c r="J161"/>
      <c r="K161" s="10" t="e">
        <f>TRIM(SUBSTITUTE( LEFT(DATA_Requirements[[#This Row],[Path]], FIND("/", SUBSTITUTE( DATA_Requirements[[#This Row],[Path]]," ","/"),1)-1), ".",""))</f>
        <v>#VALUE!</v>
      </c>
      <c r="L161"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61"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62" spans="1:13">
      <c r="A162" s="16" t="s">
        <v>1961</v>
      </c>
      <c r="B162" s="16"/>
      <c r="C162"/>
      <c r="D162"/>
      <c r="G162" t="s">
        <v>1928</v>
      </c>
      <c r="H162">
        <v>0</v>
      </c>
      <c r="I162" s="16" t="str" cm="1">
        <f t="array" aca="1" ref="I16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06....0.0</v>
      </c>
      <c r="J162" s="16"/>
      <c r="K162" s="10" t="e">
        <f>TRIM(SUBSTITUTE( LEFT(DATA_Requirements[[#This Row],[Path]], FIND("/", SUBSTITUTE( DATA_Requirements[[#This Row],[Path]]," ","/"),1)-1), ".",""))</f>
        <v>#VALUE!</v>
      </c>
      <c r="L162"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62"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63" spans="1:13">
      <c r="A163" s="22" t="s">
        <v>1961</v>
      </c>
      <c r="B163" s="22"/>
      <c r="C163"/>
      <c r="D163"/>
      <c r="G163" t="s">
        <v>1928</v>
      </c>
      <c r="H163">
        <v>0</v>
      </c>
      <c r="I163" s="22" t="str" cm="1">
        <f t="array" aca="1" ref="I16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06....0.0</v>
      </c>
      <c r="J163" s="22"/>
      <c r="K163" s="10" t="e">
        <f>TRIM(SUBSTITUTE( LEFT(DATA_Requirements[[#This Row],[Path]], FIND("/", SUBSTITUTE( DATA_Requirements[[#This Row],[Path]]," ","/"),1)-1), ".",""))</f>
        <v>#VALUE!</v>
      </c>
      <c r="L163"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63"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64" spans="1:13">
      <c r="A164" s="22" t="s">
        <v>1961</v>
      </c>
      <c r="B164" s="22"/>
      <c r="C164"/>
      <c r="D164"/>
      <c r="G164" t="s">
        <v>1928</v>
      </c>
      <c r="H164">
        <v>0</v>
      </c>
      <c r="I164" s="22" t="str" cm="1">
        <f t="array" aca="1" ref="I16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06....0.0</v>
      </c>
      <c r="J164" s="22"/>
      <c r="K164" s="10" t="e">
        <f>TRIM(SUBSTITUTE( LEFT(DATA_Requirements[[#This Row],[Path]], FIND("/", SUBSTITUTE( DATA_Requirements[[#This Row],[Path]]," ","/"),1)-1), ".",""))</f>
        <v>#VALUE!</v>
      </c>
      <c r="L164" s="14"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64"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65" spans="1:13">
      <c r="C165"/>
      <c r="D165"/>
      <c r="G165" t="s">
        <v>1928</v>
      </c>
      <c r="H165">
        <v>0</v>
      </c>
      <c r="I165" t="str" cm="1">
        <f t="array" aca="1" ref="I16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K165" s="10" t="e">
        <f>TRIM(SUBSTITUTE( LEFT(DATA_Requirements[[#This Row],[Path]], FIND("/", SUBSTITUTE( DATA_Requirements[[#This Row],[Path]]," ","/"),1)-1), ".",""))</f>
        <v>#VALUE!</v>
      </c>
      <c r="L165"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65"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66" spans="1:13">
      <c r="C166"/>
      <c r="D166"/>
      <c r="G166" t="s">
        <v>1928</v>
      </c>
      <c r="H166">
        <v>0</v>
      </c>
      <c r="I166" t="str" cm="1">
        <f t="array" aca="1" ref="I16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K166" s="10" t="e">
        <f>TRIM(SUBSTITUTE( LEFT(DATA_Requirements[[#This Row],[Path]], FIND("/", SUBSTITUTE( DATA_Requirements[[#This Row],[Path]]," ","/"),1)-1), ".",""))</f>
        <v>#VALUE!</v>
      </c>
      <c r="L166"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66"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67" spans="1:13">
      <c r="C167"/>
      <c r="D167"/>
      <c r="G167" t="s">
        <v>1928</v>
      </c>
      <c r="H167">
        <v>0</v>
      </c>
      <c r="I167" t="str" cm="1">
        <f t="array" aca="1" ref="I16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K167" s="10" t="e">
        <f>TRIM(SUBSTITUTE( LEFT(DATA_Requirements[[#This Row],[Path]], FIND("/", SUBSTITUTE( DATA_Requirements[[#This Row],[Path]]," ","/"),1)-1), ".",""))</f>
        <v>#VALUE!</v>
      </c>
      <c r="L167"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67"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68" spans="1:13">
      <c r="C168"/>
      <c r="D168"/>
      <c r="G168" t="s">
        <v>1928</v>
      </c>
      <c r="H168">
        <v>0</v>
      </c>
      <c r="I168" t="str" cm="1">
        <f t="array" aca="1" ref="I16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K168" s="10" t="e">
        <f>TRIM(SUBSTITUTE( LEFT(DATA_Requirements[[#This Row],[Path]], FIND("/", SUBSTITUTE( DATA_Requirements[[#This Row],[Path]]," ","/"),1)-1), ".",""))</f>
        <v>#VALUE!</v>
      </c>
      <c r="L168"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68"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69" spans="1:13">
      <c r="C169"/>
      <c r="D169"/>
      <c r="G169" t="s">
        <v>1928</v>
      </c>
      <c r="H169">
        <v>0</v>
      </c>
      <c r="I169" t="str" cm="1">
        <f t="array" aca="1" ref="I16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K169" s="10" t="e">
        <f>TRIM(SUBSTITUTE( LEFT(DATA_Requirements[[#This Row],[Path]], FIND("/", SUBSTITUTE( DATA_Requirements[[#This Row],[Path]]," ","/"),1)-1), ".",""))</f>
        <v>#VALUE!</v>
      </c>
      <c r="L169"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69"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70" spans="1:13">
      <c r="C170"/>
      <c r="D170"/>
      <c r="G170" t="s">
        <v>1928</v>
      </c>
      <c r="H170">
        <v>0</v>
      </c>
      <c r="I170" t="str" cm="1">
        <f t="array" aca="1" ref="I17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K170" s="10" t="e">
        <f>TRIM(SUBSTITUTE( LEFT(DATA_Requirements[[#This Row],[Path]], FIND("/", SUBSTITUTE( DATA_Requirements[[#This Row],[Path]]," ","/"),1)-1), ".",""))</f>
        <v>#VALUE!</v>
      </c>
      <c r="L170"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70"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71" spans="1:13">
      <c r="C171"/>
      <c r="D171"/>
      <c r="G171" t="s">
        <v>1928</v>
      </c>
      <c r="H171">
        <v>0</v>
      </c>
      <c r="I171" t="str" cm="1">
        <f t="array" aca="1" ref="I17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K171" s="10" t="e">
        <f>TRIM(SUBSTITUTE( LEFT(DATA_Requirements[[#This Row],[Path]], FIND("/", SUBSTITUTE( DATA_Requirements[[#This Row],[Path]]," ","/"),1)-1), ".",""))</f>
        <v>#VALUE!</v>
      </c>
      <c r="L171"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71"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72" spans="1:13">
      <c r="C172"/>
      <c r="D172"/>
      <c r="G172" t="s">
        <v>1928</v>
      </c>
      <c r="H172">
        <v>0</v>
      </c>
      <c r="I172" t="str" cm="1">
        <f t="array" aca="1" ref="I17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K172" s="10" t="e">
        <f>TRIM(SUBSTITUTE( LEFT(DATA_Requirements[[#This Row],[Path]], FIND("/", SUBSTITUTE( DATA_Requirements[[#This Row],[Path]]," ","/"),1)-1), ".",""))</f>
        <v>#VALUE!</v>
      </c>
      <c r="L172"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72"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73" spans="1:13">
      <c r="C173"/>
      <c r="D173"/>
      <c r="G173" t="s">
        <v>1928</v>
      </c>
      <c r="H173">
        <v>0</v>
      </c>
      <c r="I173" t="str" cm="1">
        <f t="array" aca="1" ref="I17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K173" s="10" t="e">
        <f>TRIM(SUBSTITUTE( LEFT(DATA_Requirements[[#This Row],[Path]], FIND("/", SUBSTITUTE( DATA_Requirements[[#This Row],[Path]]," ","/"),1)-1), ".",""))</f>
        <v>#VALUE!</v>
      </c>
      <c r="L173"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73"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74" spans="1:13">
      <c r="B174" s="16" t="s">
        <v>2441</v>
      </c>
      <c r="C174"/>
      <c r="D174"/>
      <c r="G174" t="s">
        <v>1928</v>
      </c>
      <c r="H174">
        <v>0</v>
      </c>
      <c r="I174" s="16" t="str" cm="1">
        <f t="array" aca="1" ref="I17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.329...0.0</v>
      </c>
      <c r="K174" s="10" t="e">
        <f>TRIM(SUBSTITUTE( LEFT(DATA_Requirements[[#This Row],[Path]], FIND("/", SUBSTITUTE( DATA_Requirements[[#This Row],[Path]]," ","/"),1)-1), ".",""))</f>
        <v>#VALUE!</v>
      </c>
      <c r="L174"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174"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175" spans="1:13">
      <c r="A175" s="22" t="s">
        <v>1969</v>
      </c>
      <c r="B175" s="22" t="s">
        <v>2029</v>
      </c>
      <c r="C175"/>
      <c r="D175"/>
      <c r="E175" s="22"/>
      <c r="F175" s="22"/>
      <c r="G175" t="s">
        <v>1928</v>
      </c>
      <c r="H175">
        <v>0</v>
      </c>
      <c r="I175" s="22" t="str" cm="1">
        <f t="array" aca="1" ref="I17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08.036...0.0</v>
      </c>
      <c r="J175" s="22" t="s">
        <v>2442</v>
      </c>
      <c r="K175" s="10" t="str">
        <f>TRIM(SUBSTITUTE( LEFT(DATA_Requirements[[#This Row],[Path]], FIND("/", SUBSTITUTE( DATA_Requirements[[#This Row],[Path]]," ","/"),1)-1), ".",""))</f>
        <v>Definition</v>
      </c>
      <c r="L17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Sponsor Stakeholders</v>
      </c>
      <c r="M17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contribute a Value that is multiples of the Opex and Capex Cost</v>
      </c>
    </row>
    <row r="176" spans="1:13">
      <c r="A176" s="16" t="s">
        <v>1969</v>
      </c>
      <c r="B176" s="16" t="s">
        <v>2443</v>
      </c>
      <c r="C176"/>
      <c r="D176"/>
      <c r="E176" s="16" t="s">
        <v>1933</v>
      </c>
      <c r="F176" s="16"/>
      <c r="G176" t="s">
        <v>1928</v>
      </c>
      <c r="H176">
        <v>0</v>
      </c>
      <c r="I176" s="16" t="str" cm="1">
        <f t="array" aca="1" ref="I17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08.040.01..0.0</v>
      </c>
      <c r="J176" s="16" t="s">
        <v>2444</v>
      </c>
      <c r="K176" s="10" t="str">
        <f>TRIM(SUBSTITUTE( LEFT(DATA_Requirements[[#This Row],[Path]], FIND("/", SUBSTITUTE( DATA_Requirements[[#This Row],[Path]]," ","/"),1)-1), ".",""))</f>
        <v>Definition</v>
      </c>
      <c r="L17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SMART requirements by Foundational Value</v>
      </c>
      <c r="M17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
      </c>
    </row>
    <row r="177" spans="1:13">
      <c r="A177" t="s">
        <v>1969</v>
      </c>
      <c r="B177" t="s">
        <v>2197</v>
      </c>
      <c r="C177"/>
      <c r="D177"/>
      <c r="E177" t="s">
        <v>2114</v>
      </c>
      <c r="F177" s="22" t="s">
        <v>1959</v>
      </c>
      <c r="G177" t="s">
        <v>1928</v>
      </c>
      <c r="H177">
        <v>0</v>
      </c>
      <c r="I177" t="str" cm="1">
        <f t="array" aca="1" ref="I17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08.411.72.05.0.0</v>
      </c>
      <c r="J177" t="s">
        <v>2445</v>
      </c>
      <c r="K177" s="10" t="str">
        <f>TRIM(SUBSTITUTE( LEFT(DATA_Requirements[[#This Row],[Path]], FIND("/", SUBSTITUTE( DATA_Requirements[[#This Row],[Path]]," ","/"),1)-1), ".",""))</f>
        <v>Definition</v>
      </c>
      <c r="L177"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Frameworks: NZ GOAL</v>
      </c>
      <c r="M17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Stakeholder Analyst MUST follow the NZ GOAL Framework</v>
      </c>
    </row>
    <row r="178" spans="1:13">
      <c r="A178" t="s">
        <v>1969</v>
      </c>
      <c r="B178" t="s">
        <v>2197</v>
      </c>
      <c r="C178"/>
      <c r="D178"/>
      <c r="E178" t="s">
        <v>2114</v>
      </c>
      <c r="F178" t="s">
        <v>1953</v>
      </c>
      <c r="G178" t="s">
        <v>1928</v>
      </c>
      <c r="H178">
        <v>0</v>
      </c>
      <c r="I178" t="str" cm="1">
        <f t="array" aca="1" ref="I17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08.411.72.04.0.0</v>
      </c>
      <c r="J178" t="s">
        <v>2446</v>
      </c>
      <c r="K178" s="10" t="str">
        <f>TRIM(SUBSTITUTE( LEFT(DATA_Requirements[[#This Row],[Path]], FIND("/", SUBSTITUTE( DATA_Requirements[[#This Row],[Path]]," ","/"),1)-1), ".",""))</f>
        <v>Desires</v>
      </c>
      <c r="L17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 Governance: NZ GOAL</v>
      </c>
      <c r="M17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Content MUST adhere to NZ GOAL objectives, and commissioned content be made Creative Commons.</v>
      </c>
    </row>
    <row r="179" spans="1:13">
      <c r="A179" t="s">
        <v>1969</v>
      </c>
      <c r="B179" t="s">
        <v>2197</v>
      </c>
      <c r="C179"/>
      <c r="D179"/>
      <c r="E179" t="s">
        <v>2126</v>
      </c>
      <c r="F179" s="21" t="s">
        <v>1953</v>
      </c>
      <c r="G179" t="s">
        <v>1928</v>
      </c>
      <c r="H179">
        <v>0</v>
      </c>
      <c r="I179" s="21" t="str" cm="1">
        <f t="array" aca="1" ref="I17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08.411.78.04.0.0</v>
      </c>
      <c r="J179" s="21" t="s">
        <v>2447</v>
      </c>
      <c r="K179" s="10" t="str">
        <f>TRIM(SUBSTITUTE( LEFT(DATA_Requirements[[#This Row],[Path]], FIND("/", SUBSTITUTE( DATA_Requirements[[#This Row],[Path]]," ","/"),1)-1), ".",""))</f>
        <v>Definition</v>
      </c>
      <c r="L17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 Governance Stakeholders</v>
      </c>
      <c r="M17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demonstrably meet the functional and quality expectations of data governance stakeholders</v>
      </c>
    </row>
    <row r="180" spans="1:13">
      <c r="A180" s="22" t="s">
        <v>1969</v>
      </c>
      <c r="B180" t="s">
        <v>2246</v>
      </c>
      <c r="C180"/>
      <c r="D180"/>
      <c r="E180" t="s">
        <v>2060</v>
      </c>
      <c r="F180" s="22" t="s">
        <v>1959</v>
      </c>
      <c r="G180" t="s">
        <v>1928</v>
      </c>
      <c r="H180">
        <v>0</v>
      </c>
      <c r="I180" s="22" t="str" cm="1">
        <f t="array" aca="1" ref="I18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08.461.46.05.0.0</v>
      </c>
      <c r="J180" s="22" t="s">
        <v>2448</v>
      </c>
      <c r="K180" s="10" t="str">
        <f>TRIM(SUBSTITUTE( LEFT(DATA_Requirements[[#This Row],[Path]], FIND("/", SUBSTITUTE( DATA_Requirements[[#This Row],[Path]]," ","/"),1)-1), ".",""))</f>
        <v>Definition</v>
      </c>
      <c r="L18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Endorsement</v>
      </c>
      <c r="M18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meet be endorsable by Legal Assurance at CAB</v>
      </c>
    </row>
    <row r="181" spans="1:13">
      <c r="A181" t="s">
        <v>1969</v>
      </c>
      <c r="B181" t="s">
        <v>2246</v>
      </c>
      <c r="C181"/>
      <c r="D181"/>
      <c r="E181" t="s">
        <v>2126</v>
      </c>
      <c r="F181" s="22" t="s">
        <v>1959</v>
      </c>
      <c r="G181" t="s">
        <v>1928</v>
      </c>
      <c r="H181">
        <v>0</v>
      </c>
      <c r="I181" t="str" cm="1">
        <f t="array" aca="1" ref="I18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08.461.78.05.0.0</v>
      </c>
      <c r="J181" t="s">
        <v>2449</v>
      </c>
      <c r="K181" s="10" t="str">
        <f>TRIM(SUBSTITUTE( LEFT(DATA_Requirements[[#This Row],[Path]], FIND("/", SUBSTITUTE( DATA_Requirements[[#This Row],[Path]]," ","/"),1)-1), ".",""))</f>
        <v>Definition</v>
      </c>
      <c r="L18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Laws: Trade</v>
      </c>
      <c r="M18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not permit interaction from a mutable list of embargoed countries</v>
      </c>
    </row>
    <row r="182" spans="1:13">
      <c r="A182" t="s">
        <v>1969</v>
      </c>
      <c r="B182" t="s">
        <v>2246</v>
      </c>
      <c r="C182"/>
      <c r="D182"/>
      <c r="E182" t="s">
        <v>2060</v>
      </c>
      <c r="F182" s="22" t="s">
        <v>1959</v>
      </c>
      <c r="G182" t="s">
        <v>1928</v>
      </c>
      <c r="H182">
        <v>0</v>
      </c>
      <c r="I182" t="str" cm="1">
        <f t="array" aca="1" ref="I18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08.461.46.05.0.0</v>
      </c>
      <c r="J182" t="s">
        <v>2450</v>
      </c>
      <c r="K182" s="10" t="str">
        <f>TRIM(SUBSTITUTE( LEFT(DATA_Requirements[[#This Row],[Path]], FIND("/", SUBSTITUTE( DATA_Requirements[[#This Row],[Path]]," ","/"),1)-1), ".",""))</f>
        <v>Definition</v>
      </c>
      <c r="L182"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Laws: Privacy</v>
      </c>
      <c r="M18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meet the obligations of the country's Privacy Laws &amp; Regulations</v>
      </c>
    </row>
    <row r="183" spans="1:13">
      <c r="A183" t="s">
        <v>1969</v>
      </c>
      <c r="B183" t="s">
        <v>2246</v>
      </c>
      <c r="C183"/>
      <c r="D183"/>
      <c r="E183" t="s">
        <v>2126</v>
      </c>
      <c r="F183" s="22" t="s">
        <v>1959</v>
      </c>
      <c r="G183" t="s">
        <v>1928</v>
      </c>
      <c r="H183">
        <v>0</v>
      </c>
      <c r="I183" t="str" cm="1">
        <f t="array" aca="1" ref="I18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08.461.78.05.0.0</v>
      </c>
      <c r="J183" t="s">
        <v>2451</v>
      </c>
      <c r="K183" s="10" t="str">
        <f>TRIM(SUBSTITUTE( LEFT(DATA_Requirements[[#This Row],[Path]], FIND("/", SUBSTITUTE( DATA_Requirements[[#This Row],[Path]]," ","/"),1)-1), ".",""))</f>
        <v>Definition</v>
      </c>
      <c r="L18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Laws: Accountability</v>
      </c>
      <c r="M18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adhere to Legal Accountability to Public Constraints (OIA Request Reporting).</v>
      </c>
    </row>
    <row r="184" spans="1:13">
      <c r="A184" t="s">
        <v>1969</v>
      </c>
      <c r="B184" t="s">
        <v>2246</v>
      </c>
      <c r="C184"/>
      <c r="D184"/>
      <c r="E184" t="s">
        <v>2126</v>
      </c>
      <c r="F184" s="22" t="s">
        <v>1959</v>
      </c>
      <c r="G184" t="s">
        <v>1928</v>
      </c>
      <c r="H184">
        <v>0</v>
      </c>
      <c r="I184" t="str" cm="1">
        <f t="array" aca="1" ref="I18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08.461.78.05.0.0</v>
      </c>
      <c r="J184" t="s">
        <v>2452</v>
      </c>
      <c r="K184" s="10" t="str">
        <f>TRIM(SUBSTITUTE( LEFT(DATA_Requirements[[#This Row],[Path]], FIND("/", SUBSTITUTE( DATA_Requirements[[#This Row],[Path]]," ","/"),1)-1), ".",""))</f>
        <v>Definition</v>
      </c>
      <c r="L184"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Regulations: Information</v>
      </c>
      <c r="M18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meet the obligations of the country's Information Security Directives</v>
      </c>
    </row>
    <row r="185" spans="1:13">
      <c r="A185" t="s">
        <v>1969</v>
      </c>
      <c r="B185" t="s">
        <v>2246</v>
      </c>
      <c r="C185"/>
      <c r="D185"/>
      <c r="E185" t="s">
        <v>2126</v>
      </c>
      <c r="F185" s="22" t="s">
        <v>1959</v>
      </c>
      <c r="G185" t="s">
        <v>1928</v>
      </c>
      <c r="H185">
        <v>0</v>
      </c>
      <c r="I185" t="str" cm="1">
        <f t="array" aca="1" ref="I18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08.461.78.05.0.0</v>
      </c>
      <c r="J185" t="s">
        <v>2453</v>
      </c>
      <c r="K185" s="10" t="str">
        <f>TRIM(SUBSTITUTE( LEFT(DATA_Requirements[[#This Row],[Path]], FIND("/", SUBSTITUTE( DATA_Requirements[[#This Row],[Path]]," ","/"),1)-1), ".",""))</f>
        <v>Definition</v>
      </c>
      <c r="L185"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Regulations: Archiving</v>
      </c>
      <c r="M18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meet the obligations of the country's Archiving Laws &amp; Regulations</v>
      </c>
    </row>
    <row r="186" spans="1:13">
      <c r="A186" t="s">
        <v>1969</v>
      </c>
      <c r="B186" t="s">
        <v>2246</v>
      </c>
      <c r="C186"/>
      <c r="D186"/>
      <c r="E186" t="s">
        <v>2126</v>
      </c>
      <c r="F186" s="22" t="s">
        <v>1959</v>
      </c>
      <c r="G186" t="s">
        <v>1928</v>
      </c>
      <c r="H186">
        <v>0</v>
      </c>
      <c r="I186" t="str" cm="1">
        <f t="array" aca="1" ref="I18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08.461.78.05.0.0</v>
      </c>
      <c r="J186" t="s">
        <v>2454</v>
      </c>
      <c r="K186" s="10" t="str">
        <f>TRIM(SUBSTITUTE( LEFT(DATA_Requirements[[#This Row],[Path]], FIND("/", SUBSTITUTE( DATA_Requirements[[#This Row],[Path]]," ","/"),1)-1), ".",""))</f>
        <v>Definition</v>
      </c>
      <c r="L18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Regulations: Open Data</v>
      </c>
      <c r="M18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meet the obligations of the country's Open Data Directives</v>
      </c>
    </row>
    <row r="187" spans="1:13">
      <c r="A187" t="s">
        <v>1969</v>
      </c>
      <c r="B187" t="s">
        <v>2246</v>
      </c>
      <c r="C187"/>
      <c r="D187"/>
      <c r="E187" t="s">
        <v>2060</v>
      </c>
      <c r="F187" s="22" t="s">
        <v>1959</v>
      </c>
      <c r="G187" t="s">
        <v>1928</v>
      </c>
      <c r="H187">
        <v>0</v>
      </c>
      <c r="I187" t="str" cm="1">
        <f t="array" aca="1" ref="I18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08.461.46.05.0.0</v>
      </c>
      <c r="J187" t="s">
        <v>2455</v>
      </c>
      <c r="K187" s="10" t="str">
        <f>TRIM(SUBSTITUTE( LEFT(DATA_Requirements[[#This Row],[Path]], FIND("/", SUBSTITUTE( DATA_Requirements[[#This Row],[Path]]," ","/"),1)-1), ".",""))</f>
        <v>Definition</v>
      </c>
      <c r="L187"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Agreements: Partners</v>
      </c>
      <c r="M18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adhere to prior agreements (eg: interdepartmental, Partners, SoWs)</v>
      </c>
    </row>
    <row r="188" spans="1:13">
      <c r="A188" t="s">
        <v>1969</v>
      </c>
      <c r="B188" t="s">
        <v>2246</v>
      </c>
      <c r="C188"/>
      <c r="D188"/>
      <c r="E188" t="s">
        <v>2126</v>
      </c>
      <c r="F188" s="22" t="s">
        <v>1959</v>
      </c>
      <c r="G188" t="s">
        <v>1928</v>
      </c>
      <c r="H188">
        <v>0</v>
      </c>
      <c r="I188" t="str" cm="1">
        <f t="array" aca="1" ref="I18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08.461.78.05.0.0</v>
      </c>
      <c r="J188" t="s">
        <v>2456</v>
      </c>
      <c r="K188" s="10" t="str">
        <f>TRIM(SUBSTITUTE( LEFT(DATA_Requirements[[#This Row],[Path]], FIND("/", SUBSTITUTE( DATA_Requirements[[#This Row],[Path]]," ","/"),1)-1), ".",""))</f>
        <v>Definition</v>
      </c>
      <c r="L188"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Frameworks: NZ DIMP</v>
      </c>
      <c r="M18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follow the NZ DIMP Framework</v>
      </c>
    </row>
    <row r="189" spans="1:13">
      <c r="A189" t="s">
        <v>1969</v>
      </c>
      <c r="B189" t="s">
        <v>2246</v>
      </c>
      <c r="C189"/>
      <c r="D189"/>
      <c r="E189" t="s">
        <v>2126</v>
      </c>
      <c r="F189" s="22" t="s">
        <v>1959</v>
      </c>
      <c r="G189" t="s">
        <v>1928</v>
      </c>
      <c r="H189">
        <v>0</v>
      </c>
      <c r="I189" t="str" cm="1">
        <f t="array" aca="1" ref="I18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08.461.78.05.0.0</v>
      </c>
      <c r="J189" t="s">
        <v>2457</v>
      </c>
      <c r="K189" s="10" t="str">
        <f>TRIM(SUBSTITUTE( LEFT(DATA_Requirements[[#This Row],[Path]], FIND("/", SUBSTITUTE( DATA_Requirements[[#This Row],[Path]]," ","/"),1)-1), ".",""))</f>
        <v>Definition</v>
      </c>
      <c r="L189"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Frameworks: NZISM</v>
      </c>
      <c r="M18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Stakeholder Analyst MUST follow the NZISM Framework</v>
      </c>
    </row>
    <row r="190" spans="1:13">
      <c r="A190" t="s">
        <v>1969</v>
      </c>
      <c r="B190" t="s">
        <v>2246</v>
      </c>
      <c r="C190"/>
      <c r="D190"/>
      <c r="E190" t="s">
        <v>2060</v>
      </c>
      <c r="F190" s="22" t="s">
        <v>1959</v>
      </c>
      <c r="G190" t="s">
        <v>1928</v>
      </c>
      <c r="H190">
        <v>0</v>
      </c>
      <c r="I190" t="str" cm="1">
        <f t="array" aca="1" ref="I19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08.461.46.05.0.0</v>
      </c>
      <c r="J190" t="s">
        <v>2458</v>
      </c>
      <c r="K190" s="10" t="str">
        <f>TRIM(SUBSTITUTE( LEFT(DATA_Requirements[[#This Row],[Path]], FIND("/", SUBSTITUTE( DATA_Requirements[[#This Row],[Path]]," ","/"),1)-1), ".",""))</f>
        <v>Definition</v>
      </c>
      <c r="L190"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Principles: AoG Digital Service</v>
      </c>
      <c r="M19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follow the guideance of the AoG Digital Service Principles</v>
      </c>
    </row>
    <row r="191" spans="1:13">
      <c r="A191" t="s">
        <v>1969</v>
      </c>
      <c r="B191" t="s">
        <v>2246</v>
      </c>
      <c r="C191"/>
      <c r="D191"/>
      <c r="E191" t="s">
        <v>2126</v>
      </c>
      <c r="F191" s="21" t="s">
        <v>1967</v>
      </c>
      <c r="G191" t="s">
        <v>1928</v>
      </c>
      <c r="H191">
        <v>0</v>
      </c>
      <c r="I191" s="21" t="str" cm="1">
        <f t="array" aca="1" ref="I19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08.461.78.07.0.0</v>
      </c>
      <c r="J191" s="21" t="s">
        <v>2459</v>
      </c>
      <c r="K191" s="10" t="str">
        <f>TRIM(SUBSTITUTE( LEFT(DATA_Requirements[[#This Row],[Path]], FIND("/", SUBSTITUTE( DATA_Requirements[[#This Row],[Path]]," ","/"),1)-1), ".",""))</f>
        <v>Definition</v>
      </c>
      <c r="L19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Endorsability: Privacy Assurance</v>
      </c>
      <c r="M19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endorsable as being compliant with Privacy Obligations</v>
      </c>
    </row>
    <row r="192" spans="1:13">
      <c r="A192" t="s">
        <v>1969</v>
      </c>
      <c r="B192" t="s">
        <v>2246</v>
      </c>
      <c r="C192"/>
      <c r="D192"/>
      <c r="E192" t="s">
        <v>2126</v>
      </c>
      <c r="F192" t="s">
        <v>1967</v>
      </c>
      <c r="G192" t="s">
        <v>1928</v>
      </c>
      <c r="H192">
        <v>0</v>
      </c>
      <c r="I192" t="str" cm="1">
        <f t="array" aca="1" ref="I19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08.461.78.07.0.0</v>
      </c>
      <c r="J192" t="s">
        <v>2460</v>
      </c>
      <c r="K192" s="10" t="str">
        <f>TRIM(SUBSTITUTE( LEFT(DATA_Requirements[[#This Row],[Path]], FIND("/", SUBSTITUTE( DATA_Requirements[[#This Row],[Path]]," ","/"),1)-1), ".",""))</f>
        <v>Desires</v>
      </c>
      <c r="L19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Versioned Disclosures</v>
      </c>
      <c r="M19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InfoService MUST be able to present and record acceptance to Versioned Statements and Disclosures (eg: Tracking, Data Correction, Data Use, Opt-Out Processes &amp; Policies)</v>
      </c>
    </row>
    <row r="193" spans="1:13">
      <c r="A193" t="s">
        <v>1969</v>
      </c>
      <c r="B193" t="s">
        <v>2246</v>
      </c>
      <c r="C193"/>
      <c r="D193"/>
      <c r="E193" t="s">
        <v>2126</v>
      </c>
      <c r="F193" t="s">
        <v>1953</v>
      </c>
      <c r="G193" t="s">
        <v>1928</v>
      </c>
      <c r="H193">
        <v>0</v>
      </c>
      <c r="I193" t="str" cm="1">
        <f t="array" aca="1" ref="I19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08.461.78.04.0.0</v>
      </c>
      <c r="J193" t="s">
        <v>2461</v>
      </c>
      <c r="K193" s="10" t="str">
        <f>TRIM(SUBSTITUTE( LEFT(DATA_Requirements[[#This Row],[Path]], FIND("/", SUBSTITUTE( DATA_Requirements[[#This Row],[Path]]," ","/"),1)-1), ".",""))</f>
        <v>Desires</v>
      </c>
      <c r="L19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 Governance Stakeholders: SEO</v>
      </c>
      <c r="M19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Content MUST be presented such that it can be indexed and become discoverable by public Search engines.</v>
      </c>
    </row>
    <row r="194" spans="1:13">
      <c r="A194" t="s">
        <v>1969</v>
      </c>
      <c r="B194" t="s">
        <v>2246</v>
      </c>
      <c r="C194"/>
      <c r="D194"/>
      <c r="E194" t="s">
        <v>2126</v>
      </c>
      <c r="F194"/>
      <c r="G194" t="s">
        <v>1928</v>
      </c>
      <c r="H194">
        <v>0</v>
      </c>
      <c r="I194" t="str" cm="1">
        <f t="array" aca="1" ref="I19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08.461.78..0.0</v>
      </c>
      <c r="J194" t="s">
        <v>2462</v>
      </c>
      <c r="K194" s="10" t="str">
        <f>TRIM(SUBSTITUTE( LEFT(DATA_Requirements[[#This Row],[Path]], FIND("/", SUBSTITUTE( DATA_Requirements[[#This Row],[Path]]," ","/"),1)-1), ".",""))</f>
        <v>Desires</v>
      </c>
      <c r="L19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 Governance Stakeholders: API Attributes</v>
      </c>
      <c r="M19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To meet policy based Organisation Data Aggregation agreements, export (by API or DataStorage) data attributes MUST receive governance board design endorsement</v>
      </c>
    </row>
    <row r="195" spans="1:13">
      <c r="A195" t="s">
        <v>1969</v>
      </c>
      <c r="B195" t="s">
        <v>2246</v>
      </c>
      <c r="C195"/>
      <c r="D195"/>
      <c r="F195"/>
      <c r="G195" t="s">
        <v>1928</v>
      </c>
      <c r="H195">
        <v>0</v>
      </c>
      <c r="I195" t="str" cm="1">
        <f t="array" aca="1" ref="I19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08.461...0.0</v>
      </c>
      <c r="J195" t="s">
        <v>2463</v>
      </c>
      <c r="K195" s="10" t="str">
        <f>TRIM(SUBSTITUTE( LEFT(DATA_Requirements[[#This Row],[Path]], FIND("/", SUBSTITUTE( DATA_Requirements[[#This Row],[Path]]," ","/"),1)-1), ".",""))</f>
        <v>Desires</v>
      </c>
      <c r="L19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APIs</v>
      </c>
      <c r="M19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To adhere to DIMP objectives, as much system information that is not PII or Confidential MUST be made available via authenticated access API (See API-First design Principle).</v>
      </c>
    </row>
    <row r="196" spans="1:13">
      <c r="A196" t="s">
        <v>1969</v>
      </c>
      <c r="B196" t="s">
        <v>2246</v>
      </c>
      <c r="C196"/>
      <c r="D196"/>
      <c r="F196" s="11"/>
      <c r="G196" t="s">
        <v>1928</v>
      </c>
      <c r="H196">
        <v>0</v>
      </c>
      <c r="I196" s="11" t="str" cm="1">
        <f t="array" aca="1" ref="I19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08.461...0.0</v>
      </c>
      <c r="J196" s="11" t="s">
        <v>2464</v>
      </c>
      <c r="K196" s="10" t="str">
        <f>TRIM(SUBSTITUTE( LEFT(DATA_Requirements[[#This Row],[Path]], FIND("/", SUBSTITUTE( DATA_Requirements[[#This Row],[Path]]," ","/"),1)-1), ".",""))</f>
        <v>Desires</v>
      </c>
      <c r="L19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 Governance Stakeholders: Data Classification</v>
      </c>
      <c r="M19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Data Classification of Information handled by the Service MUST be determined as early as practical, as it informs Risk and Security Framework decisions</v>
      </c>
    </row>
    <row r="197" spans="1:13">
      <c r="A197" t="s">
        <v>1969</v>
      </c>
      <c r="B197" t="s">
        <v>2246</v>
      </c>
      <c r="C197"/>
      <c r="D197"/>
      <c r="F197"/>
      <c r="G197" t="s">
        <v>1928</v>
      </c>
      <c r="H197">
        <v>0</v>
      </c>
      <c r="I197" t="str" cm="1">
        <f t="array" aca="1" ref="I19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08.461...0.0</v>
      </c>
      <c r="J197" t="s">
        <v>2465</v>
      </c>
      <c r="K197" s="10" t="str">
        <f>TRIM(SUBSTITUTE( LEFT(DATA_Requirements[[#This Row],[Path]], FIND("/", SUBSTITUTE( DATA_Requirements[[#This Row],[Path]]," ","/"),1)-1), ".",""))</f>
        <v>Desires</v>
      </c>
      <c r="L19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 Governance Stakeholders: SENSITIVE</v>
      </c>
      <c r="M19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not already specified, for planning purposes, Data Classification of Information handled by the Service SHOULD be assumed to be SENSITIVE until specified otherwise.</v>
      </c>
    </row>
    <row r="198" spans="1:13">
      <c r="A198" t="s">
        <v>1969</v>
      </c>
      <c r="B198" t="s">
        <v>2246</v>
      </c>
      <c r="C198"/>
      <c r="D198"/>
      <c r="F198" s="21"/>
      <c r="G198" t="s">
        <v>1928</v>
      </c>
      <c r="H198">
        <v>0</v>
      </c>
      <c r="I198" s="21" t="str" cm="1">
        <f t="array" aca="1" ref="I19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08.461...0.0</v>
      </c>
      <c r="J198" s="21" t="s">
        <v>2466</v>
      </c>
      <c r="K198" s="10" t="str">
        <f>TRIM(SUBSTITUTE( LEFT(DATA_Requirements[[#This Row],[Path]], FIND("/", SUBSTITUTE( DATA_Requirements[[#This Row],[Path]]," ","/"),1)-1), ".",""))</f>
        <v>Definition</v>
      </c>
      <c r="L19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Design Governance Stakeholders</v>
      </c>
      <c r="M19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demonstrably meet the functional and quality expectations of design governance stakeholders</v>
      </c>
    </row>
    <row r="199" spans="1:13">
      <c r="A199" t="s">
        <v>1969</v>
      </c>
      <c r="B199" t="s">
        <v>2246</v>
      </c>
      <c r="C199"/>
      <c r="D199"/>
      <c r="F199" s="11"/>
      <c r="G199" t="s">
        <v>1928</v>
      </c>
      <c r="H199">
        <v>0</v>
      </c>
      <c r="I199" s="11" t="str" cm="1">
        <f t="array" aca="1" ref="I19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08.461...0.0</v>
      </c>
      <c r="J199" s="11" t="s">
        <v>2467</v>
      </c>
      <c r="K199" s="10" t="str">
        <f>TRIM(SUBSTITUTE( LEFT(DATA_Requirements[[#This Row],[Path]], FIND("/", SUBSTITUTE( DATA_Requirements[[#This Row],[Path]]," ","/"),1)-1), ".",""))</f>
        <v>Definition</v>
      </c>
      <c r="L19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Stakeholders: TWG: Design Endorsement Required</v>
      </c>
      <c r="M19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Governance Stakeholders DESIRE the system design be endorsed by the organisation's technical design governance board (TWG) before development.</v>
      </c>
    </row>
    <row r="200" spans="1:13">
      <c r="A200" t="s">
        <v>1969</v>
      </c>
      <c r="B200" t="s">
        <v>2246</v>
      </c>
      <c r="C200"/>
      <c r="D200"/>
      <c r="F200"/>
      <c r="G200" t="s">
        <v>1928</v>
      </c>
      <c r="H200">
        <v>0</v>
      </c>
      <c r="I200" t="str" cm="1">
        <f t="array" aca="1" ref="I20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08.461...0.0</v>
      </c>
      <c r="J200" t="s">
        <v>2468</v>
      </c>
      <c r="K200" s="10" t="str">
        <f>TRIM(SUBSTITUTE( LEFT(DATA_Requirements[[#This Row],[Path]], FIND("/", SUBSTITUTE( DATA_Requirements[[#This Row],[Path]]," ","/"),1)-1), ".",""))</f>
        <v>Definition</v>
      </c>
      <c r="L20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Stakeholders: TWG: Architecturally Significant Changes</v>
      </c>
      <c r="M20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Governance Stakeholders DESIRE Architecturally significant changes to system designs be presented &amp; [re]endorsed by the organisation's technical design governance board (TWG).</v>
      </c>
    </row>
    <row r="201" spans="1:13">
      <c r="A201" t="s">
        <v>1969</v>
      </c>
      <c r="B201" t="s">
        <v>2246</v>
      </c>
      <c r="C201"/>
      <c r="D201"/>
      <c r="F201"/>
      <c r="G201" t="s">
        <v>1928</v>
      </c>
      <c r="H201">
        <v>0</v>
      </c>
      <c r="I201" t="str" cm="1">
        <f t="array" aca="1" ref="I20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08.461...0.0</v>
      </c>
      <c r="J201" t="s">
        <v>2469</v>
      </c>
      <c r="K201" s="10" t="str">
        <f>TRIM(SUBSTITUTE( LEFT(DATA_Requirements[[#This Row],[Path]], FIND("/", SUBSTITUTE( DATA_Requirements[[#This Row],[Path]]," ","/"),1)-1), ".",""))</f>
        <v>Desires</v>
      </c>
      <c r="L20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Design Governance Stakeholders: Server Client Separation</v>
      </c>
      <c r="M20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To mitigate redundency, the Service Client MUST be a separate System than the Service (see: separate SPA-PWA interface)</v>
      </c>
    </row>
    <row r="202" spans="1:13">
      <c r="A202" t="s">
        <v>1969</v>
      </c>
      <c r="B202" t="s">
        <v>2246</v>
      </c>
      <c r="C202"/>
      <c r="D202"/>
      <c r="F202"/>
      <c r="G202" t="s">
        <v>1928</v>
      </c>
      <c r="H202">
        <v>0</v>
      </c>
      <c r="I202" t="str" cm="1">
        <f t="array" aca="1" ref="I20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08.461...0.0</v>
      </c>
      <c r="J202" t="s">
        <v>2470</v>
      </c>
      <c r="K202" s="10" t="str">
        <f>TRIM(SUBSTITUTE( LEFT(DATA_Requirements[[#This Row],[Path]], FIND("/", SUBSTITUTE( DATA_Requirements[[#This Row],[Path]]," ","/"),1)-1), ".",""))</f>
        <v>Desires</v>
      </c>
      <c r="L20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Design Governance Stakeholders: Cloud First</v>
      </c>
      <c r="M20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To meet regulation obligations, the Service MUST be hosted in a cloud environment</v>
      </c>
    </row>
    <row r="203" spans="1:13">
      <c r="A203" t="s">
        <v>1969</v>
      </c>
      <c r="B203" t="s">
        <v>2246</v>
      </c>
      <c r="C203"/>
      <c r="D203"/>
      <c r="F203"/>
      <c r="G203" t="s">
        <v>1928</v>
      </c>
      <c r="H203">
        <v>0</v>
      </c>
      <c r="I203" t="str" cm="1">
        <f t="array" aca="1" ref="I20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08.461...0.0</v>
      </c>
      <c r="J203" t="s">
        <v>2471</v>
      </c>
      <c r="K203" s="10" t="str">
        <f>TRIM(SUBSTITUTE( LEFT(DATA_Requirements[[#This Row],[Path]], FIND("/", SUBSTITUTE( DATA_Requirements[[#This Row],[Path]]," ","/"),1)-1), ".",""))</f>
        <v>Desires</v>
      </c>
      <c r="L20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Design Governance Stakeholders: Procurement Preference</v>
      </c>
      <c r="M20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To Lower Delivery Risk the proposed SHOULD prefer existing commodity Services -- as long as expected functionality and outcomes are not compromised.</v>
      </c>
    </row>
    <row r="204" spans="1:13">
      <c r="A204" t="s">
        <v>1969</v>
      </c>
      <c r="B204" t="s">
        <v>2270</v>
      </c>
      <c r="C204"/>
      <c r="D204"/>
      <c r="E204" t="s">
        <v>2130</v>
      </c>
      <c r="F204" s="22" t="s">
        <v>1959</v>
      </c>
      <c r="G204" t="s">
        <v>1928</v>
      </c>
      <c r="H204">
        <v>0</v>
      </c>
      <c r="I204" t="str" cm="1">
        <f t="array" aca="1" ref="I20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08.523.80.05.0.0</v>
      </c>
      <c r="J204" t="s">
        <v>2472</v>
      </c>
      <c r="K204" s="10" t="str">
        <f>TRIM(SUBSTITUTE( LEFT(DATA_Requirements[[#This Row],[Path]], FIND("/", SUBSTITUTE( DATA_Requirements[[#This Row],[Path]]," ","/"),1)-1), ".",""))</f>
        <v>Definition</v>
      </c>
      <c r="L20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Regulations</v>
      </c>
      <c r="M20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client interface MUST demonstrably meet WCAG expectations</v>
      </c>
    </row>
    <row r="205" spans="1:13">
      <c r="A205" t="s">
        <v>1969</v>
      </c>
      <c r="B205" t="s">
        <v>2270</v>
      </c>
      <c r="C205"/>
      <c r="D205"/>
      <c r="E205" t="s">
        <v>2130</v>
      </c>
      <c r="F205" s="22" t="s">
        <v>1959</v>
      </c>
      <c r="G205" t="s">
        <v>1928</v>
      </c>
      <c r="H205">
        <v>0</v>
      </c>
      <c r="I205" t="str" cm="1">
        <f t="array" aca="1" ref="I20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08.523.80.05.0.0</v>
      </c>
      <c r="J205" t="s">
        <v>2473</v>
      </c>
      <c r="K205" s="10" t="str">
        <f>TRIM(SUBSTITUTE( LEFT(DATA_Requirements[[#This Row],[Path]], FIND("/", SUBSTITUTE( DATA_Requirements[[#This Row],[Path]]," ","/"),1)-1), ".",""))</f>
        <v>Definition</v>
      </c>
      <c r="L205"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Regulations: Accessibilty</v>
      </c>
      <c r="M20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meet the obligations of the country's Accessibility Laws, Regulations</v>
      </c>
    </row>
    <row r="206" spans="1:13">
      <c r="A206" t="s">
        <v>1969</v>
      </c>
      <c r="B206" t="s">
        <v>2270</v>
      </c>
      <c r="C206"/>
      <c r="D206"/>
      <c r="E206" t="s">
        <v>2130</v>
      </c>
      <c r="F206" s="22" t="s">
        <v>1959</v>
      </c>
      <c r="G206" t="s">
        <v>1928</v>
      </c>
      <c r="H206">
        <v>0</v>
      </c>
      <c r="I206" t="str" cm="1">
        <f t="array" aca="1" ref="I20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08.523.80.05.0.0</v>
      </c>
      <c r="J206" t="s">
        <v>2474</v>
      </c>
      <c r="K206" s="10" t="str">
        <f>TRIM(SUBSTITUTE( LEFT(DATA_Requirements[[#This Row],[Path]], FIND("/", SUBSTITUTE( DATA_Requirements[[#This Row],[Path]]," ","/"),1)-1), ".",""))</f>
        <v>Definition</v>
      </c>
      <c r="L20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Regulations: Usability</v>
      </c>
      <c r="M20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meet the obligations of the country's Usability Directives</v>
      </c>
    </row>
    <row r="207" spans="1:13">
      <c r="A207" t="s">
        <v>1969</v>
      </c>
      <c r="C207"/>
      <c r="D207"/>
      <c r="E207" t="s">
        <v>2068</v>
      </c>
      <c r="F207" s="21" t="s">
        <v>1991</v>
      </c>
      <c r="G207" t="s">
        <v>1928</v>
      </c>
      <c r="H207">
        <v>0</v>
      </c>
      <c r="I207" s="21" t="str" cm="1">
        <f t="array" aca="1" ref="I20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08..49.14.0.0</v>
      </c>
      <c r="J207" s="21" t="s">
        <v>2475</v>
      </c>
      <c r="K207" s="10" t="str">
        <f>TRIM(SUBSTITUTE( LEFT(DATA_Requirements[[#This Row],[Path]], FIND("/", SUBSTITUTE( DATA_Requirements[[#This Row],[Path]]," ","/"),1)-1), ".",""))</f>
        <v>Definition</v>
      </c>
      <c r="L20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Project Governance Stakeholders</v>
      </c>
      <c r="M20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demonstrably meet the functional and quality expectations of the TWG governance board</v>
      </c>
    </row>
    <row r="208" spans="1:13">
      <c r="A208" t="s">
        <v>1969</v>
      </c>
      <c r="C208"/>
      <c r="D208"/>
      <c r="E208" t="s">
        <v>2126</v>
      </c>
      <c r="F208" s="22" t="s">
        <v>1994</v>
      </c>
      <c r="G208" t="s">
        <v>1928</v>
      </c>
      <c r="H208">
        <v>0</v>
      </c>
      <c r="I208" s="22" t="str" cm="1">
        <f t="array" aca="1" ref="I20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08..78.15.0.0</v>
      </c>
      <c r="J208" s="22" t="s">
        <v>2476</v>
      </c>
      <c r="K208" s="10" t="str">
        <f>TRIM(SUBSTITUTE( LEFT(DATA_Requirements[[#This Row],[Path]], FIND("/", SUBSTITUTE( DATA_Requirements[[#This Row],[Path]]," ","/"),1)-1), ".",""))</f>
        <v>Definition</v>
      </c>
      <c r="L20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GOVERNANCE STAKEHOLDERS</v>
      </c>
      <c r="M20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demonstrably meet the functional and quality expectations of data content stakeholders</v>
      </c>
    </row>
    <row r="209" spans="1:13">
      <c r="A209" t="s">
        <v>1969</v>
      </c>
      <c r="C209"/>
      <c r="D209"/>
      <c r="F209"/>
      <c r="G209" t="s">
        <v>1928</v>
      </c>
      <c r="H209">
        <v>0</v>
      </c>
      <c r="I209" t="str" cm="1">
        <f t="array" aca="1" ref="I20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09" t="s">
        <v>2477</v>
      </c>
      <c r="K209" s="10" t="str">
        <f>TRIM(SUBSTITUTE( LEFT(DATA_Requirements[[#This Row],[Path]], FIND("/", SUBSTITUTE( DATA_Requirements[[#This Row],[Path]]," ","/"),1)-1), ".",""))</f>
        <v>Desires</v>
      </c>
      <c r="L209"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Assurance Services: Principles: Organisation Architecture</v>
      </c>
      <c r="M20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follow to the guidance of the Organisation's System Architecture Principles</v>
      </c>
    </row>
    <row r="210" spans="1:13">
      <c r="A210" t="s">
        <v>1969</v>
      </c>
      <c r="C210"/>
      <c r="D210"/>
      <c r="F210" s="22"/>
      <c r="G210" t="s">
        <v>1928</v>
      </c>
      <c r="H210">
        <v>0</v>
      </c>
      <c r="I210" s="22" t="str" cm="1">
        <f t="array" aca="1" ref="I21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10" s="22" t="s">
        <v>2478</v>
      </c>
      <c r="K210" s="10" t="str">
        <f>TRIM(SUBSTITUTE( LEFT(DATA_Requirements[[#This Row],[Path]], FIND("/", SUBSTITUTE( DATA_Requirements[[#This Row],[Path]]," ","/"),1)-1), ".",""))</f>
        <v>Definition</v>
      </c>
      <c r="L21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Endorsability: Security Assurance</v>
      </c>
      <c r="M21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endorsable by Security Assurance at CABS</v>
      </c>
    </row>
    <row r="211" spans="1:13">
      <c r="A211" t="s">
        <v>1969</v>
      </c>
      <c r="C211"/>
      <c r="D211"/>
      <c r="F211"/>
      <c r="G211" t="s">
        <v>1928</v>
      </c>
      <c r="H211">
        <v>0</v>
      </c>
      <c r="I211" t="str" cm="1">
        <f t="array" aca="1" ref="I21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11" t="s">
        <v>2479</v>
      </c>
      <c r="K211" s="10" t="str">
        <f>TRIM(SUBSTITUTE( LEFT(DATA_Requirements[[#This Row],[Path]], FIND("/", SUBSTITUTE( DATA_Requirements[[#This Row],[Path]]," ","/"),1)-1), ".",""))</f>
        <v>S0817:00601</v>
      </c>
      <c r="L21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Authorisation</v>
      </c>
      <c r="M21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InfoService MUST NOT rely on external services to determine permissions</v>
      </c>
    </row>
    <row r="212" spans="1:13">
      <c r="A212" t="s">
        <v>1969</v>
      </c>
      <c r="C212"/>
      <c r="D212"/>
      <c r="F212"/>
      <c r="G212" t="s">
        <v>1928</v>
      </c>
      <c r="H212">
        <v>0</v>
      </c>
      <c r="I212" t="str" cm="1">
        <f t="array" aca="1" ref="I21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12" t="s">
        <v>2480</v>
      </c>
      <c r="K212" s="10" t="str">
        <f>TRIM(SUBSTITUTE( LEFT(DATA_Requirements[[#This Row],[Path]], FIND("/", SUBSTITUTE( DATA_Requirements[[#This Row],[Path]]," ","/"),1)-1), ".",""))</f>
        <v>S0817:00602</v>
      </c>
      <c r="L21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IdP</v>
      </c>
      <c r="M21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Authorisation MUST integrate with an organisation endorsed 3rd party Identity Provider (IdP) Service to validate credentials</v>
      </c>
    </row>
    <row r="213" spans="1:13">
      <c r="A213" t="s">
        <v>1969</v>
      </c>
      <c r="C213"/>
      <c r="D213"/>
      <c r="F213"/>
      <c r="G213" t="s">
        <v>1928</v>
      </c>
      <c r="H213">
        <v>0</v>
      </c>
      <c r="I213" t="str" cm="1">
        <f t="array" aca="1" ref="I21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13" t="s">
        <v>2481</v>
      </c>
      <c r="K213" s="10" t="str">
        <f>TRIM(SUBSTITUTE( LEFT(DATA_Requirements[[#This Row],[Path]], FIND("/", SUBSTITUTE( DATA_Requirements[[#This Row],[Path]]," ","/"),1)-1), ".",""))</f>
        <v>S0817:00603</v>
      </c>
      <c r="L21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3rd party Technical Risk Assessment</v>
      </c>
      <c r="M21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independent of its environment, MUST be technically assessed by an acceptable accredited 3rd party</v>
      </c>
    </row>
    <row r="214" spans="1:13">
      <c r="A214" t="s">
        <v>1969</v>
      </c>
      <c r="C214"/>
      <c r="D214"/>
      <c r="F214"/>
      <c r="G214" t="s">
        <v>1928</v>
      </c>
      <c r="H214">
        <v>0</v>
      </c>
      <c r="I214" t="str" cm="1">
        <f t="array" aca="1" ref="I21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14" t="s">
        <v>2482</v>
      </c>
      <c r="K214" s="10" t="str">
        <f>TRIM(SUBSTITUTE( LEFT(DATA_Requirements[[#This Row],[Path]], FIND("/", SUBSTITUTE( DATA_Requirements[[#This Row],[Path]]," ","/"),1)-1), ".",""))</f>
        <v>S0817:00604</v>
      </c>
      <c r="L21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Remove User Access</v>
      </c>
      <c r="M21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Authorised Users MUST be able disable a System User</v>
      </c>
    </row>
    <row r="215" spans="1:13">
      <c r="A215" t="s">
        <v>1969</v>
      </c>
      <c r="C215"/>
      <c r="D215"/>
      <c r="F215"/>
      <c r="G215" t="s">
        <v>1928</v>
      </c>
      <c r="H215">
        <v>0</v>
      </c>
      <c r="I215" t="str" cm="1">
        <f t="array" aca="1" ref="I21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15" t="s">
        <v>2483</v>
      </c>
      <c r="K215" s="10" t="str">
        <f>TRIM(SUBSTITUTE( LEFT(DATA_Requirements[[#This Row],[Path]], FIND("/", SUBSTITUTE( DATA_Requirements[[#This Row],[Path]]," ","/"),1)-1), ".",""))</f>
        <v>S0817:00605</v>
      </c>
      <c r="L21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Temorarily Disable Users</v>
      </c>
      <c r="M21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Authorised Users MUST be able disable a System User for a specified duration (eg: after multiple incorrect operations)</v>
      </c>
    </row>
    <row r="216" spans="1:13">
      <c r="A216" t="s">
        <v>1969</v>
      </c>
      <c r="C216"/>
      <c r="D216"/>
      <c r="F216" s="21"/>
      <c r="G216" t="s">
        <v>1928</v>
      </c>
      <c r="H216">
        <v>0</v>
      </c>
      <c r="I216" s="21" t="str" cm="1">
        <f t="array" aca="1" ref="I21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16" s="21" t="s">
        <v>2484</v>
      </c>
      <c r="K216" s="10" t="str">
        <f>TRIM(SUBSTITUTE( LEFT(DATA_Requirements[[#This Row],[Path]], FIND("/", SUBSTITUTE( DATA_Requirements[[#This Row],[Path]]," ","/"),1)-1), ".",""))</f>
        <v>Definition</v>
      </c>
      <c r="L21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STAKEHOLDERS</v>
      </c>
      <c r="M21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217" spans="1:13">
      <c r="A217" t="s">
        <v>1969</v>
      </c>
      <c r="C217"/>
      <c r="D217"/>
      <c r="F217"/>
      <c r="G217" t="s">
        <v>1928</v>
      </c>
      <c r="H217">
        <v>0</v>
      </c>
      <c r="I217" t="str" cm="1">
        <f t="array" aca="1" ref="I21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17" t="s">
        <v>2485</v>
      </c>
      <c r="K217" s="10" t="str">
        <f>TRIM(SUBSTITUTE( LEFT(DATA_Requirements[[#This Row],[Path]], FIND("/", SUBSTITUTE( DATA_Requirements[[#This Row],[Path]]," ","/"),1)-1), ".",""))</f>
        <v>Definition</v>
      </c>
      <c r="L21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Security Testable Environments</v>
      </c>
      <c r="M21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Organisation C&amp;A stakeholders MUST be provided an environment that can be technically Risk Assessed, unless exempted.</v>
      </c>
    </row>
    <row r="218" spans="1:13">
      <c r="A218" t="s">
        <v>1969</v>
      </c>
      <c r="C218"/>
      <c r="D218"/>
      <c r="F218" s="21"/>
      <c r="G218" t="s">
        <v>1928</v>
      </c>
      <c r="H218">
        <v>0</v>
      </c>
      <c r="I218" s="21" t="str" cm="1">
        <f t="array" aca="1" ref="I21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18" s="21" t="s">
        <v>2486</v>
      </c>
      <c r="K218" s="10" t="str">
        <f>TRIM(SUBSTITUTE( LEFT(DATA_Requirements[[#This Row],[Path]], FIND("/", SUBSTITUTE( DATA_Requirements[[#This Row],[Path]]," ","/"),1)-1), ".",""))</f>
        <v>Definition</v>
      </c>
      <c r="L21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STAKEHOLDERS</v>
      </c>
      <c r="M21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219" spans="1:13">
      <c r="A219" t="s">
        <v>1969</v>
      </c>
      <c r="C219"/>
      <c r="D219"/>
      <c r="F219" s="21"/>
      <c r="G219" t="s">
        <v>1928</v>
      </c>
      <c r="H219">
        <v>0</v>
      </c>
      <c r="I219" s="21" t="str" cm="1">
        <f t="array" aca="1" ref="I21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19" s="21" t="s">
        <v>2487</v>
      </c>
      <c r="K219" s="10" t="str">
        <f>TRIM(SUBSTITUTE( LEFT(DATA_Requirements[[#This Row],[Path]], FIND("/", SUBSTITUTE( DATA_Requirements[[#This Row],[Path]]," ","/"),1)-1), ".",""))</f>
        <v>Definition</v>
      </c>
      <c r="L21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Project Management Stakeholders</v>
      </c>
      <c r="M21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demonstrably meet the functional and quality expectations of Project Management Stakeholders</v>
      </c>
    </row>
    <row r="220" spans="1:13">
      <c r="A220" t="s">
        <v>1969</v>
      </c>
      <c r="C220"/>
      <c r="D220"/>
      <c r="F220"/>
      <c r="G220" t="s">
        <v>1928</v>
      </c>
      <c r="H220">
        <v>0</v>
      </c>
      <c r="I220" t="str" cm="1">
        <f t="array" aca="1" ref="I22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20" t="s">
        <v>2488</v>
      </c>
      <c r="K220" s="10" t="str">
        <f>TRIM(SUBSTITUTE( LEFT(DATA_Requirements[[#This Row],[Path]], FIND("/", SUBSTITUTE( DATA_Requirements[[#This Row],[Path]]," ","/"),1)-1), ".",""))</f>
        <v>Definition</v>
      </c>
      <c r="L22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Stakeholders: 3rd party Certification Cost</v>
      </c>
      <c r="M22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As per Management Stakeholders desires, To increase quality and decrease costs, requirements compliance by 3rd party certifications MUST be at service supplier's cost</v>
      </c>
    </row>
    <row r="221" spans="1:13">
      <c r="A221" t="s">
        <v>1969</v>
      </c>
      <c r="C221"/>
      <c r="D221"/>
      <c r="F221"/>
      <c r="G221" t="s">
        <v>1928</v>
      </c>
      <c r="H221">
        <v>0</v>
      </c>
      <c r="I221" t="str" cm="1">
        <f t="array" aca="1" ref="I22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21" t="s">
        <v>2489</v>
      </c>
      <c r="K221" s="10" t="str">
        <f>TRIM(SUBSTITUTE( LEFT(DATA_Requirements[[#This Row],[Path]], FIND("/", SUBSTITUTE( DATA_Requirements[[#This Row],[Path]]," ","/"),1)-1), ".",""))</f>
        <v>Definition</v>
      </c>
      <c r="L22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Stakeholders: ALM Access</v>
      </c>
      <c r="M22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Management Stakeholders require ALM Task Services &amp; dashboards be accessible and manageable by approved organisation and consultant users for the service's lifetime</v>
      </c>
    </row>
    <row r="222" spans="1:13">
      <c r="A222" t="s">
        <v>1969</v>
      </c>
      <c r="C222"/>
      <c r="D222"/>
      <c r="F222"/>
      <c r="G222" t="s">
        <v>1928</v>
      </c>
      <c r="H222">
        <v>0</v>
      </c>
      <c r="I222" t="str" cm="1">
        <f t="array" aca="1" ref="I22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22" t="s">
        <v>2490</v>
      </c>
      <c r="K222" s="10" t="str">
        <f>TRIM(SUBSTITUTE( LEFT(DATA_Requirements[[#This Row],[Path]], FIND("/", SUBSTITUTE( DATA_Requirements[[#This Row],[Path]]," ","/"),1)-1), ".",""))</f>
        <v>Definition</v>
      </c>
      <c r="L22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Stakeholders: Organisation ALM</v>
      </c>
      <c r="M22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Management Services The ALM Service Suite SHOULD be Organisation provided or approved</v>
      </c>
    </row>
    <row r="223" spans="1:13">
      <c r="A223" t="s">
        <v>1969</v>
      </c>
      <c r="C223"/>
      <c r="D223"/>
      <c r="F223"/>
      <c r="G223" t="s">
        <v>1928</v>
      </c>
      <c r="H223">
        <v>0</v>
      </c>
      <c r="I223" t="str" cm="1">
        <f t="array" aca="1" ref="I22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23" t="s">
        <v>2491</v>
      </c>
      <c r="K223" s="10" t="str">
        <f>TRIM(SUBSTITUTE( LEFT(DATA_Requirements[[#This Row],[Path]], FIND("/", SUBSTITUTE( DATA_Requirements[[#This Row],[Path]]," ","/"),1)-1), ".",""))</f>
        <v>Definition</v>
      </c>
      <c r="L22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Stakeholders: Status Dashboard</v>
      </c>
      <c r="M22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 ALM based Dashboard MUST be WWW accessible to show and forcast functionality and qualities progress against milestones and objectives</v>
      </c>
    </row>
    <row r="224" spans="1:13">
      <c r="A224" t="s">
        <v>1969</v>
      </c>
      <c r="C224"/>
      <c r="D224"/>
      <c r="F224"/>
      <c r="G224" t="s">
        <v>1928</v>
      </c>
      <c r="H224">
        <v>0</v>
      </c>
      <c r="I224" t="str" cm="1">
        <f t="array" aca="1" ref="I22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24" t="s">
        <v>2492</v>
      </c>
      <c r="K224" s="10" t="str">
        <f>TRIM(SUBSTITUTE( LEFT(DATA_Requirements[[#This Row],[Path]], FIND("/", SUBSTITUTE( DATA_Requirements[[#This Row],[Path]]," ","/"),1)-1), ".",""))</f>
        <v>Definition</v>
      </c>
      <c r="L22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Stakeholders: WorkItems</v>
      </c>
      <c r="M22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As per Management Stakeholders desires, WorkItems MUST be managed in a WWW accessible ALM Service Suite provided by the organisation</v>
      </c>
    </row>
    <row r="225" spans="1:13">
      <c r="A225" t="s">
        <v>1969</v>
      </c>
      <c r="C225"/>
      <c r="D225"/>
      <c r="F225"/>
      <c r="G225" t="s">
        <v>1928</v>
      </c>
      <c r="H225">
        <v>0</v>
      </c>
      <c r="I225" t="str" cm="1">
        <f t="array" aca="1" ref="I22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25" t="s">
        <v>2493</v>
      </c>
      <c r="K225" s="10" t="str">
        <f>TRIM(SUBSTITUTE( LEFT(DATA_Requirements[[#This Row],[Path]], FIND("/", SUBSTITUTE( DATA_Requirements[[#This Row],[Path]]," ","/"),1)-1), ".",""))</f>
        <v>Definition</v>
      </c>
      <c r="L22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Stakeholders: Code Access</v>
      </c>
      <c r="M22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Custom Code Repositories MUST be accessible and manageable by approved organisation users for the service's lifetime.</v>
      </c>
    </row>
    <row r="226" spans="1:13">
      <c r="A226" t="s">
        <v>1969</v>
      </c>
      <c r="C226"/>
      <c r="D226"/>
      <c r="F226" s="21"/>
      <c r="G226" t="s">
        <v>1928</v>
      </c>
      <c r="H226">
        <v>0</v>
      </c>
      <c r="I226" s="21" t="str" cm="1">
        <f t="array" aca="1" ref="I22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26" s="21" t="s">
        <v>2494</v>
      </c>
      <c r="K226" s="10" t="str">
        <f>TRIM(SUBSTITUTE( LEFT(DATA_Requirements[[#This Row],[Path]], FIND("/", SUBSTITUTE( DATA_Requirements[[#This Row],[Path]]," ","/"),1)-1), ".",""))</f>
        <v>DESIRE</v>
      </c>
      <c r="L22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Obligations: Quality Assurance</v>
      </c>
      <c r="M22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service's functionality and qualities MUST meet be endorsable by Quality Assurance specialists at CAB</v>
      </c>
    </row>
    <row r="227" spans="1:13">
      <c r="A227" t="s">
        <v>1969</v>
      </c>
      <c r="C227"/>
      <c r="D227"/>
      <c r="F227"/>
      <c r="G227" t="s">
        <v>1928</v>
      </c>
      <c r="H227">
        <v>0</v>
      </c>
      <c r="I227" t="str" cm="1">
        <f t="array" aca="1" ref="I22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27" t="s">
        <v>2495</v>
      </c>
      <c r="K227" s="10" t="str">
        <f>TRIM(SUBSTITUTE( LEFT(DATA_Requirements[[#This Row],[Path]], FIND("/", SUBSTITUTE( DATA_Requirements[[#This Row],[Path]]," ","/"),1)-1), ".",""))</f>
        <v>Definition</v>
      </c>
      <c r="L22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Fresh Test Environments</v>
      </c>
      <c r="M22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Organisation QA stakeholders MUST have remote access over the WWW to QA environments that are refreshed daily</v>
      </c>
    </row>
    <row r="228" spans="1:13">
      <c r="A228" t="s">
        <v>1969</v>
      </c>
      <c r="C228"/>
      <c r="D228"/>
      <c r="F228" s="21"/>
      <c r="G228" t="s">
        <v>1928</v>
      </c>
      <c r="H228">
        <v>0</v>
      </c>
      <c r="I228" s="21" t="str" cm="1">
        <f t="array" aca="1" ref="I22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28" s="21" t="s">
        <v>2496</v>
      </c>
      <c r="K228" s="10" t="str">
        <f>TRIM(SUBSTITUTE( LEFT(DATA_Requirements[[#This Row],[Path]], FIND("/", SUBSTITUTE( DATA_Requirements[[#This Row],[Path]]," ","/"),1)-1), ".",""))</f>
        <v>Definition</v>
      </c>
      <c r="L22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Public Users</v>
      </c>
      <c r="M22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demonstrably meet the functional and quality expectations of the Public (Unauthenticated) Users SME.</v>
      </c>
    </row>
    <row r="229" spans="1:13">
      <c r="A229" t="s">
        <v>1969</v>
      </c>
      <c r="C229"/>
      <c r="D229"/>
      <c r="F229"/>
      <c r="G229" t="s">
        <v>1928</v>
      </c>
      <c r="H229">
        <v>0</v>
      </c>
      <c r="I229" t="str" cm="1">
        <f t="array" aca="1" ref="I22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29" t="s">
        <v>2497</v>
      </c>
      <c r="K229" s="10" t="str">
        <f>TRIM(SUBSTITUTE( LEFT(DATA_Requirements[[#This Row],[Path]], FIND("/", SUBSTITUTE( DATA_Requirements[[#This Row],[Path]]," ","/"),1)-1), ".",""))</f>
        <v>Definition</v>
      </c>
      <c r="L22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Usability: Accessibility: Colour Impaired</v>
      </c>
      <c r="M22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Colour impaired users MUST be able to use the interface productively</v>
      </c>
    </row>
    <row r="230" spans="1:13">
      <c r="A230" t="s">
        <v>1969</v>
      </c>
      <c r="C230"/>
      <c r="D230"/>
      <c r="F230"/>
      <c r="G230" t="s">
        <v>1928</v>
      </c>
      <c r="H230">
        <v>0</v>
      </c>
      <c r="I230" t="str" cm="1">
        <f t="array" aca="1" ref="I23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30" t="s">
        <v>2498</v>
      </c>
      <c r="K230" s="10" t="str">
        <f>TRIM(SUBSTITUTE( LEFT(DATA_Requirements[[#This Row],[Path]], FIND("/", SUBSTITUTE( DATA_Requirements[[#This Row],[Path]]," ","/"),1)-1), ".",""))</f>
        <v>S0822:00601</v>
      </c>
      <c r="L23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Business Customers Support: Contact Page</v>
      </c>
      <c r="M23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Users MUST be able to quickly find how to Contact Support, preferably by asynchronous Email first.</v>
      </c>
    </row>
    <row r="231" spans="1:13">
      <c r="A231" t="s">
        <v>1969</v>
      </c>
      <c r="C231"/>
      <c r="D231"/>
      <c r="F231"/>
      <c r="G231" t="s">
        <v>1928</v>
      </c>
      <c r="H231">
        <v>0</v>
      </c>
      <c r="I231" t="str" cm="1">
        <f t="array" aca="1" ref="I23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31" t="s">
        <v>2499</v>
      </c>
      <c r="K231" s="10" t="str">
        <f>TRIM(SUBSTITUTE( LEFT(DATA_Requirements[[#This Row],[Path]], FIND("/", SUBSTITUTE( DATA_Requirements[[#This Row],[Path]]," ","/"),1)-1), ".",""))</f>
        <v>Definition</v>
      </c>
      <c r="L23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Usability: Accessibility: User Language Preference</v>
      </c>
      <c r="M23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Authenticated Users MUST be able to persist The InfoService Client interface language in their Profile.</v>
      </c>
    </row>
    <row r="232" spans="1:13">
      <c r="A232" t="s">
        <v>1969</v>
      </c>
      <c r="C232"/>
      <c r="D232"/>
      <c r="F232"/>
      <c r="G232" t="s">
        <v>1928</v>
      </c>
      <c r="H232">
        <v>0</v>
      </c>
      <c r="I232" t="str" cm="1">
        <f t="array" aca="1" ref="I23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32" t="s">
        <v>2500</v>
      </c>
      <c r="K232" s="10" t="str">
        <f>TRIM(SUBSTITUTE( LEFT(DATA_Requirements[[#This Row],[Path]], FIND("/", SUBSTITUTE( DATA_Requirements[[#This Row],[Path]]," ","/"),1)-1), ".",""))</f>
        <v>S0822:00602</v>
      </c>
      <c r="L23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Business Customers Support: Organisation Branding</v>
      </c>
      <c r="M23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InfoService Client Interface MUST Demonstrably meet WCAG 3(+), Bronze(+) Accessibility standards</v>
      </c>
    </row>
    <row r="233" spans="1:13">
      <c r="A233" t="s">
        <v>1969</v>
      </c>
      <c r="C233"/>
      <c r="D233"/>
      <c r="F233"/>
      <c r="G233" t="s">
        <v>1928</v>
      </c>
      <c r="H233">
        <v>0</v>
      </c>
      <c r="I233" t="str" cm="1">
        <f t="array" aca="1" ref="I23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33" t="s">
        <v>2501</v>
      </c>
      <c r="K233" s="10" t="str">
        <f>TRIM(SUBSTITUTE( LEFT(DATA_Requirements[[#This Row],[Path]], FIND("/", SUBSTITUTE( DATA_Requirements[[#This Row],[Path]]," ","/"),1)-1), ".",""))</f>
        <v>Definition</v>
      </c>
      <c r="L23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Usability: Accessibility: User Language</v>
      </c>
      <c r="M23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Users MUST be able to switch The InfoService Client interface language to one of the national written languages.</v>
      </c>
    </row>
    <row r="234" spans="1:13">
      <c r="A234" t="s">
        <v>1969</v>
      </c>
      <c r="C234"/>
      <c r="D234"/>
      <c r="F234"/>
      <c r="G234" t="s">
        <v>1928</v>
      </c>
      <c r="H234">
        <v>0</v>
      </c>
      <c r="I234" t="str" cm="1">
        <f t="array" aca="1" ref="I23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34" t="s">
        <v>2502</v>
      </c>
      <c r="K234" s="10" t="str">
        <f>TRIM(SUBSTITUTE( LEFT(DATA_Requirements[[#This Row],[Path]], FIND("/", SUBSTITUTE( DATA_Requirements[[#This Row],[Path]]," ","/"),1)-1), ".",""))</f>
        <v>Definition</v>
      </c>
      <c r="L23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Usability: Accessibility: Visually Impaired Reader Preference</v>
      </c>
      <c r="M23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For Visually impaired users, structure and content MUST be developed for being reading aloud before visually enhancements (eg: specific, succinct, skippable)</v>
      </c>
    </row>
    <row r="235" spans="1:13">
      <c r="A235" t="s">
        <v>1969</v>
      </c>
      <c r="C235"/>
      <c r="D235"/>
      <c r="F235"/>
      <c r="G235" t="s">
        <v>1928</v>
      </c>
      <c r="H235">
        <v>0</v>
      </c>
      <c r="I235" t="str" cm="1">
        <f t="array" aca="1" ref="I23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35" t="s">
        <v>2503</v>
      </c>
      <c r="K235" s="10" t="str">
        <f>TRIM(SUBSTITUTE( LEFT(DATA_Requirements[[#This Row],[Path]], FIND("/", SUBSTITUTE( DATA_Requirements[[#This Row],[Path]]," ","/"),1)-1), ".",""))</f>
        <v>Definition</v>
      </c>
      <c r="L23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Usability: Accessibility: Visually Impaired</v>
      </c>
      <c r="M23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Visually impaired users MUST be able to use the interface productively using a screen reader</v>
      </c>
    </row>
    <row r="236" spans="1:13">
      <c r="A236" t="s">
        <v>1969</v>
      </c>
      <c r="C236"/>
      <c r="D236"/>
      <c r="F236"/>
      <c r="G236" t="s">
        <v>1928</v>
      </c>
      <c r="H236">
        <v>0</v>
      </c>
      <c r="I236" t="str" cm="1">
        <f t="array" aca="1" ref="I23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36" t="s">
        <v>2504</v>
      </c>
      <c r="K236" s="10" t="str">
        <f>TRIM(SUBSTITUTE( LEFT(DATA_Requirements[[#This Row],[Path]], FIND("/", SUBSTITUTE( DATA_Requirements[[#This Row],[Path]]," ","/"),1)-1), ".",""))</f>
        <v>Definition</v>
      </c>
      <c r="L23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Usability: Operability: Internal Search</v>
      </c>
      <c r="M23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Users MUST be able to find resources quickly, based on Attributes, Metadata, Synonyms, Ranknig, etc (eg: using a system specific Search engine)</v>
      </c>
    </row>
    <row r="237" spans="1:13">
      <c r="A237" t="s">
        <v>1969</v>
      </c>
      <c r="C237"/>
      <c r="D237"/>
      <c r="F237"/>
      <c r="G237" t="s">
        <v>1928</v>
      </c>
      <c r="H237">
        <v>0</v>
      </c>
      <c r="I237" t="str" cm="1">
        <f t="array" aca="1" ref="I23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37" t="s">
        <v>2505</v>
      </c>
      <c r="K237" s="10" t="str">
        <f>TRIM(SUBSTITUTE( LEFT(DATA_Requirements[[#This Row],[Path]], FIND("/", SUBSTITUTE( DATA_Requirements[[#This Row],[Path]]," ","/"),1)-1), ".",""))</f>
        <v>Definition</v>
      </c>
      <c r="L23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Usability: Operability: External (WWW) Search</v>
      </c>
      <c r="M23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Users MUST be able to find SEO optimised publicly accessible resources using Google and other public search engines</v>
      </c>
    </row>
    <row r="238" spans="1:13">
      <c r="A238" t="s">
        <v>1969</v>
      </c>
      <c r="C238"/>
      <c r="D238"/>
      <c r="F238" s="21"/>
      <c r="G238" t="s">
        <v>1928</v>
      </c>
      <c r="H238">
        <v>0</v>
      </c>
      <c r="I238" s="21" t="str" cm="1">
        <f t="array" aca="1" ref="I23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38" s="21" t="s">
        <v>2506</v>
      </c>
      <c r="K238" s="10" t="str">
        <f>TRIM(SUBSTITUTE( LEFT(DATA_Requirements[[#This Row],[Path]], FIND("/", SUBSTITUTE( DATA_Requirements[[#This Row],[Path]]," ","/"),1)-1), ".",""))</f>
        <v>Definition</v>
      </c>
      <c r="L23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Authenticated Users</v>
      </c>
      <c r="M23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demonstrably meet the functional and quality expectations of the Authenticated User SME.</v>
      </c>
    </row>
    <row r="239" spans="1:13">
      <c r="A239" t="s">
        <v>1969</v>
      </c>
      <c r="C239"/>
      <c r="D239"/>
      <c r="F239" s="21"/>
      <c r="G239" t="s">
        <v>1928</v>
      </c>
      <c r="H239">
        <v>0</v>
      </c>
      <c r="I239" s="21" t="str" cm="1">
        <f t="array" aca="1" ref="I23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39" s="21" t="s">
        <v>2507</v>
      </c>
      <c r="K239" s="10" t="str">
        <f>TRIM(SUBSTITUTE( LEFT(DATA_Requirements[[#This Row],[Path]], FIND("/", SUBSTITUTE( DATA_Requirements[[#This Row],[Path]]," ","/"),1)-1), ".",""))</f>
        <v>DESIRE</v>
      </c>
      <c r="L23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Business Customer Support Stakeholders</v>
      </c>
      <c r="M23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demonstrably meet the functional and quality expectations of internal Business Customer User Support Stakeholders.</v>
      </c>
    </row>
    <row r="240" spans="1:13">
      <c r="A240" t="s">
        <v>1969</v>
      </c>
      <c r="C240"/>
      <c r="D240"/>
      <c r="F240"/>
      <c r="G240" t="s">
        <v>1928</v>
      </c>
      <c r="H240">
        <v>0</v>
      </c>
      <c r="I240" t="str" cm="1">
        <f t="array" aca="1" ref="I24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40" t="s">
        <v>2508</v>
      </c>
      <c r="K240" s="10" t="str">
        <f>TRIM(SUBSTITUTE( LEFT(DATA_Requirements[[#This Row],[Path]], FIND("/", SUBSTITUTE( DATA_Requirements[[#This Row],[Path]]," ","/"),1)-1), ".",""))</f>
        <v>Definition</v>
      </c>
      <c r="L24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Usability: Accessibility: Group Profiles</v>
      </c>
      <c r="M24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Authorised Users MUST be able to customize Group Profiles</v>
      </c>
    </row>
    <row r="241" spans="1:13">
      <c r="A241" t="s">
        <v>1969</v>
      </c>
      <c r="C241"/>
      <c r="D241"/>
      <c r="F241"/>
      <c r="G241" t="s">
        <v>1928</v>
      </c>
      <c r="H241">
        <v>0</v>
      </c>
      <c r="I241" t="str" cm="1">
        <f t="array" aca="1" ref="I24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41" t="s">
        <v>2509</v>
      </c>
      <c r="K241" s="10" t="str">
        <f>TRIM(SUBSTITUTE( LEFT(DATA_Requirements[[#This Row],[Path]], FIND("/", SUBSTITUTE( DATA_Requirements[[#This Row],[Path]]," ","/"),1)-1), ".",""))</f>
        <v>Definition</v>
      </c>
      <c r="L24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Usability: Accessibility: User Profiles</v>
      </c>
      <c r="M24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Authenticated Users MUST be able to persist a User Profile which they can customize</v>
      </c>
    </row>
    <row r="242" spans="1:13">
      <c r="A242" t="s">
        <v>1969</v>
      </c>
      <c r="C242"/>
      <c r="D242"/>
      <c r="F242"/>
      <c r="G242" t="s">
        <v>1928</v>
      </c>
      <c r="H242">
        <v>0</v>
      </c>
      <c r="I242" t="str" cm="1">
        <f t="array" aca="1" ref="I24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42" t="s">
        <v>2510</v>
      </c>
      <c r="K242" s="10" t="str">
        <f>TRIM(SUBSTITUTE( LEFT(DATA_Requirements[[#This Row],[Path]], FIND("/", SUBSTITUTE( DATA_Requirements[[#This Row],[Path]]," ","/"),1)-1), ".",""))</f>
        <v>S0823:00603</v>
      </c>
      <c r="L24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Business Customers Support: User Impersonation</v>
      </c>
      <c r="M24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Users MUST be able to invite other Users to be delegated their Role &amp; Permissions for a specified duration.</v>
      </c>
    </row>
    <row r="243" spans="1:13">
      <c r="A243" t="s">
        <v>1969</v>
      </c>
      <c r="C243"/>
      <c r="D243"/>
      <c r="F243" s="21"/>
      <c r="G243" t="s">
        <v>1928</v>
      </c>
      <c r="H243">
        <v>0</v>
      </c>
      <c r="I243" s="21" t="str" cm="1">
        <f t="array" aca="1" ref="I24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43" s="21" t="s">
        <v>2511</v>
      </c>
      <c r="K243" s="10" t="str">
        <f>TRIM(SUBSTITUTE( LEFT(DATA_Requirements[[#This Row],[Path]], FIND("/", SUBSTITUTE( DATA_Requirements[[#This Row],[Path]]," ","/"),1)-1), ".",""))</f>
        <v>DESIRESUPPORT</v>
      </c>
      <c r="L24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General Customer Stakeholders</v>
      </c>
      <c r="M24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demonstrably meet the functional and quality expectations of general customers.</v>
      </c>
    </row>
    <row r="244" spans="1:13">
      <c r="A244" t="s">
        <v>1969</v>
      </c>
      <c r="C244"/>
      <c r="D244"/>
      <c r="F244"/>
      <c r="G244" t="s">
        <v>1928</v>
      </c>
      <c r="H244">
        <v>0</v>
      </c>
      <c r="I244" t="str" cm="1">
        <f t="array" aca="1" ref="I24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44" t="s">
        <v>2512</v>
      </c>
      <c r="K244" s="10" t="str">
        <f>TRIM(SUBSTITUTE( LEFT(DATA_Requirements[[#This Row],[Path]], FIND("/", SUBSTITUTE( DATA_Requirements[[#This Row],[Path]]," ","/"),1)-1), ".",""))</f>
        <v>S0824:00601</v>
      </c>
      <c r="L24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Customers Support: Contact Page</v>
      </c>
      <c r="M24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Support Users SHOULD be able to review the History of Users Operations</v>
      </c>
    </row>
    <row r="245" spans="1:13">
      <c r="A245" t="s">
        <v>1969</v>
      </c>
      <c r="C245"/>
      <c r="D245"/>
      <c r="F245"/>
      <c r="G245" t="s">
        <v>1928</v>
      </c>
      <c r="H245">
        <v>0</v>
      </c>
      <c r="I245" t="str" cm="1">
        <f t="array" aca="1" ref="I24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45" t="s">
        <v>2513</v>
      </c>
      <c r="K245" s="10" t="str">
        <f>TRIM(SUBSTITUTE( LEFT(DATA_Requirements[[#This Row],[Path]], FIND("/", SUBSTITUTE( DATA_Requirements[[#This Row],[Path]]," ","/"),1)-1), ".",""))</f>
        <v>S0824:00602</v>
      </c>
      <c r="L24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Customers Support: Session Operation History</v>
      </c>
      <c r="M24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Authorised Users MUST be able review the Session Operations of other Users.</v>
      </c>
    </row>
    <row r="246" spans="1:13">
      <c r="A246" t="s">
        <v>1969</v>
      </c>
      <c r="C246"/>
      <c r="D246"/>
      <c r="F246" s="21"/>
      <c r="G246" t="s">
        <v>1928</v>
      </c>
      <c r="H246">
        <v>0</v>
      </c>
      <c r="I246" s="21" t="str" cm="1">
        <f t="array" aca="1" ref="I24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46" s="21" t="s">
        <v>2514</v>
      </c>
      <c r="K246" s="10" t="str">
        <f>TRIM(SUBSTITUTE( LEFT(DATA_Requirements[[#This Row],[Path]], FIND("/", SUBSTITUTE( DATA_Requirements[[#This Row],[Path]]," ","/"),1)-1), ".",""))</f>
        <v>Definition</v>
      </c>
      <c r="L24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Business User Stakeholders</v>
      </c>
      <c r="M24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demonstrably meet the functional and quality expectations of internal Business User Stakeholders.</v>
      </c>
    </row>
    <row r="247" spans="1:13">
      <c r="A247" t="s">
        <v>1969</v>
      </c>
      <c r="C247"/>
      <c r="D247"/>
      <c r="F247"/>
      <c r="G247" t="s">
        <v>1928</v>
      </c>
      <c r="H247">
        <v>0</v>
      </c>
      <c r="I247" t="str" cm="1">
        <f t="array" aca="1" ref="I24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47" t="s">
        <v>2515</v>
      </c>
      <c r="K247" s="10" t="str">
        <f>TRIM(SUBSTITUTE( LEFT(DATA_Requirements[[#This Row],[Path]], FIND("/", SUBSTITUTE( DATA_Requirements[[#This Row],[Path]]," ","/"),1)-1), ".",""))</f>
        <v>S0826:00601</v>
      </c>
      <c r="L24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Maintainability: Quickly Updatable Content</v>
      </c>
      <c r="M24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system's content MUST be updatable without requiring a redeployment of the service</v>
      </c>
    </row>
    <row r="248" spans="1:13">
      <c r="A248" t="s">
        <v>1969</v>
      </c>
      <c r="C248"/>
      <c r="D248"/>
      <c r="F248"/>
      <c r="G248" t="s">
        <v>1928</v>
      </c>
      <c r="H248">
        <v>0</v>
      </c>
      <c r="I248" t="str" cm="1">
        <f t="array" aca="1" ref="I24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48" t="s">
        <v>2516</v>
      </c>
      <c r="K248" s="10" t="str">
        <f>TRIM(SUBSTITUTE( LEFT(DATA_Requirements[[#This Row],[Path]], FIND("/", SUBSTITUTE( DATA_Requirements[[#This Row],[Path]]," ","/"),1)-1), ".",""))</f>
        <v>S0826:00601</v>
      </c>
      <c r="L24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IF</v>
      </c>
      <c r="M24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hosted, Monitoring Services MUST be provided the means to monitor resources &amp; exceptions versus performance &amp; results delivered</v>
      </c>
    </row>
    <row r="249" spans="1:13">
      <c r="A249" t="s">
        <v>1969</v>
      </c>
      <c r="C249"/>
      <c r="D249"/>
      <c r="F249"/>
      <c r="G249" t="s">
        <v>1928</v>
      </c>
      <c r="H249">
        <v>0</v>
      </c>
      <c r="I249" t="str" cm="1">
        <f t="array" aca="1" ref="I24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49" t="s">
        <v>2517</v>
      </c>
      <c r="K249" s="10" t="str">
        <f>TRIM(SUBSTITUTE( LEFT(DATA_Requirements[[#This Row],[Path]], FIND("/", SUBSTITUTE( DATA_Requirements[[#This Row],[Path]]," ","/"),1)-1), ".",""))</f>
        <v>S0826:00602</v>
      </c>
      <c r="L24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Quickly Updatable Resouces</v>
      </c>
      <c r="M24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resource text &amp; media SHOULD be updatable without requiring a redeployment of the service</v>
      </c>
    </row>
    <row r="250" spans="1:13">
      <c r="A250" t="s">
        <v>1969</v>
      </c>
      <c r="C250"/>
      <c r="D250"/>
      <c r="F250"/>
      <c r="G250" t="s">
        <v>1928</v>
      </c>
      <c r="H250">
        <v>0</v>
      </c>
      <c r="I250" t="str" cm="1">
        <f t="array" aca="1" ref="I25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50" t="s">
        <v>2518</v>
      </c>
      <c r="K250" s="10" t="str">
        <f>TRIM(SUBSTITUTE( LEFT(DATA_Requirements[[#This Row],[Path]], FIND("/", SUBSTITUTE( DATA_Requirements[[#This Row],[Path]]," ","/"),1)-1), ".",""))</f>
        <v>S0826:00603</v>
      </c>
      <c r="L25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 ISO-25010: Usability: Operability: User Group Management</v>
      </c>
      <c r="M25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Authorised Users MUST be able to be Discover other Users within their Groups</v>
      </c>
    </row>
    <row r="251" spans="1:13">
      <c r="A251" t="s">
        <v>1969</v>
      </c>
      <c r="C251"/>
      <c r="D251"/>
      <c r="F251"/>
      <c r="G251" t="s">
        <v>1928</v>
      </c>
      <c r="H251">
        <v>0</v>
      </c>
      <c r="I251" t="str" cm="1">
        <f t="array" aca="1" ref="I25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51" t="s">
        <v>2519</v>
      </c>
      <c r="K251" s="10" t="str">
        <f>TRIM(SUBSTITUTE( LEFT(DATA_Requirements[[#This Row],[Path]], FIND("/", SUBSTITUTE( DATA_Requirements[[#This Row],[Path]]," ","/"),1)-1), ".",""))</f>
        <v>S0826:00604</v>
      </c>
      <c r="L25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Business User Stakeholders: User Group Nesting</v>
      </c>
      <c r="M25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Groups MUST be capable of being Nested, inheriting Attributes unless overridden</v>
      </c>
    </row>
    <row r="252" spans="1:13">
      <c r="A252" t="s">
        <v>1969</v>
      </c>
      <c r="C252"/>
      <c r="D252"/>
      <c r="F252"/>
      <c r="G252" t="s">
        <v>1928</v>
      </c>
      <c r="H252">
        <v>0</v>
      </c>
      <c r="I252" t="str" cm="1">
        <f t="array" aca="1" ref="I25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52" t="s">
        <v>2520</v>
      </c>
      <c r="K252" s="10" t="str">
        <f>TRIM(SUBSTITUTE( LEFT(DATA_Requirements[[#This Row],[Path]], FIND("/", SUBSTITUTE( DATA_Requirements[[#This Row],[Path]]," ","/"),1)-1), ".",""))</f>
        <v>S0826:00605</v>
      </c>
      <c r="L25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Business User Stakeholders: User Group Role Invitations</v>
      </c>
      <c r="M25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Authorised Users MUST be able to be invite others to Group Roles via Messages (eg: SMTP)</v>
      </c>
    </row>
    <row r="253" spans="1:13">
      <c r="A253" t="s">
        <v>1969</v>
      </c>
      <c r="C253"/>
      <c r="D253"/>
      <c r="F253"/>
      <c r="G253" t="s">
        <v>1928</v>
      </c>
      <c r="H253">
        <v>0</v>
      </c>
      <c r="I253" t="str" cm="1">
        <f t="array" aca="1" ref="I25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53" t="s">
        <v>2521</v>
      </c>
      <c r="K253" s="10" t="str">
        <f>TRIM(SUBSTITUTE( LEFT(DATA_Requirements[[#This Row],[Path]], FIND("/", SUBSTITUTE( DATA_Requirements[[#This Row],[Path]]," ","/"),1)-1), ".",""))</f>
        <v>S0826:00606</v>
      </c>
      <c r="L25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Business User Stakeholders: User Group Roles</v>
      </c>
      <c r="M25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Users MUST be able to be assigned a Time-Limited Role in one or more Groups</v>
      </c>
    </row>
    <row r="254" spans="1:13">
      <c r="A254" t="s">
        <v>1969</v>
      </c>
      <c r="C254"/>
      <c r="D254"/>
      <c r="F254" s="21"/>
      <c r="G254" t="s">
        <v>1928</v>
      </c>
      <c r="H254">
        <v>0</v>
      </c>
      <c r="I254" s="21" t="str" cm="1">
        <f t="array" aca="1" ref="I25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54" s="21" t="s">
        <v>2522</v>
      </c>
      <c r="K254" s="10" t="str">
        <f>TRIM(SUBSTITUTE( LEFT(DATA_Requirements[[#This Row],[Path]], FIND("/", SUBSTITUTE( DATA_Requirements[[#This Row],[Path]]," ","/"),1)-1), ".",""))</f>
        <v>Definition</v>
      </c>
      <c r="L25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Training Stakeholders</v>
      </c>
      <c r="M25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demonstrably meet the functional and quality expectations of business user training services.</v>
      </c>
    </row>
    <row r="255" spans="1:13">
      <c r="A255" t="s">
        <v>1969</v>
      </c>
      <c r="C255"/>
      <c r="D255"/>
      <c r="F255"/>
      <c r="G255" t="s">
        <v>1928</v>
      </c>
      <c r="H255">
        <v>0</v>
      </c>
      <c r="I255" t="str" cm="1">
        <f t="array" aca="1" ref="I25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55" t="s">
        <v>2523</v>
      </c>
      <c r="K255" s="10" t="str">
        <f>TRIM(SUBSTITUTE( LEFT(DATA_Requirements[[#This Row],[Path]], FIND("/", SUBSTITUTE( DATA_Requirements[[#This Row],[Path]]," ","/"),1)-1), ".",""))</f>
        <v>S0831:00601</v>
      </c>
      <c r="L25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Business Training: Training Environment</v>
      </c>
      <c r="M25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training is expected, one or more Tenancies or other isolated, resettable, environments MUST be provided</v>
      </c>
    </row>
    <row r="256" spans="1:13">
      <c r="A256" t="s">
        <v>1969</v>
      </c>
      <c r="C256"/>
      <c r="D256"/>
      <c r="F256" s="21"/>
      <c r="G256" t="s">
        <v>1928</v>
      </c>
      <c r="H256">
        <v>0</v>
      </c>
      <c r="I256" s="21" t="str" cm="1">
        <f t="array" aca="1" ref="I25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56" s="21" t="s">
        <v>2524</v>
      </c>
      <c r="K256" s="10" t="str">
        <f>TRIM(SUBSTITUTE( LEFT(DATA_Requirements[[#This Row],[Path]], FIND("/", SUBSTITUTE( DATA_Requirements[[#This Row],[Path]]," ","/"),1)-1), ".",""))</f>
        <v>Definition</v>
      </c>
      <c r="L25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STAKEHOLDERS</v>
      </c>
      <c r="M25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257" spans="1:13">
      <c r="A257" t="s">
        <v>1969</v>
      </c>
      <c r="C257"/>
      <c r="D257"/>
      <c r="F257"/>
      <c r="G257" t="s">
        <v>1928</v>
      </c>
      <c r="H257">
        <v>0</v>
      </c>
      <c r="I257" t="str" cm="1">
        <f t="array" aca="1" ref="I25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57" t="s">
        <v>2525</v>
      </c>
      <c r="K257" s="10" t="str">
        <f>TRIM(SUBSTITUTE( LEFT(DATA_Requirements[[#This Row],[Path]], FIND("/", SUBSTITUTE( DATA_Requirements[[#This Row],[Path]]," ","/"),1)-1), ".",""))</f>
        <v>S0834:00601</v>
      </c>
      <c r="L25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Utilisation</v>
      </c>
      <c r="M25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Hosted, Service Components will not require exceptional device capabilities or licensing (memory &amp; cpu no higher than 2x minimum OS requirements)</v>
      </c>
    </row>
    <row r="258" spans="1:13">
      <c r="A258" t="s">
        <v>1969</v>
      </c>
      <c r="C258"/>
      <c r="D258"/>
      <c r="F258"/>
      <c r="G258" t="s">
        <v>1928</v>
      </c>
      <c r="H258">
        <v>0</v>
      </c>
      <c r="I258" t="str" cm="1">
        <f t="array" aca="1" ref="I25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58" t="s">
        <v>2526</v>
      </c>
      <c r="K258" s="10" t="str">
        <f>TRIM(SUBSTITUTE( LEFT(DATA_Requirements[[#This Row],[Path]], FIND("/", SUBSTITUTE( DATA_Requirements[[#This Row],[Path]]," ","/"),1)-1), ".",""))</f>
        <v>S0834:00602</v>
      </c>
      <c r="L25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Utilisation</v>
      </c>
      <c r="M25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Hosted, the use of VMs MUST be avoided unless endorsed by Design Governance (VMs are costly in the cloud, being more appropriate to legacy hosting environments)</v>
      </c>
    </row>
    <row r="259" spans="1:13">
      <c r="A259" t="s">
        <v>1969</v>
      </c>
      <c r="C259"/>
      <c r="D259"/>
      <c r="F259" s="21"/>
      <c r="G259" t="s">
        <v>1928</v>
      </c>
      <c r="H259">
        <v>0</v>
      </c>
      <c r="I259" s="21" t="str" cm="1">
        <f t="array" aca="1" ref="I25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59" s="21" t="s">
        <v>2527</v>
      </c>
      <c r="K259" s="10" t="str">
        <f>TRIM(SUBSTITUTE( LEFT(DATA_Requirements[[#This Row],[Path]], FIND("/", SUBSTITUTE( DATA_Requirements[[#This Row],[Path]]," ","/"),1)-1), ".",""))</f>
        <v>DESIRE</v>
      </c>
      <c r="L25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MONITORING SERVICES STAKEHOLDERS</v>
      </c>
      <c r="M25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260" spans="1:13">
      <c r="A260" t="s">
        <v>1969</v>
      </c>
      <c r="C260"/>
      <c r="D260"/>
      <c r="F260" s="21" t="s">
        <v>2098</v>
      </c>
      <c r="G260" t="s">
        <v>1928</v>
      </c>
      <c r="H260">
        <v>0</v>
      </c>
      <c r="I260" s="21" t="str" cm="1">
        <f t="array" aca="1" ref="I26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08...64.0.0</v>
      </c>
      <c r="J260" s="21" t="s">
        <v>2528</v>
      </c>
      <c r="K260" s="10" t="str">
        <f>TRIM(SUBSTITUTE( LEFT(DATA_Requirements[[#This Row],[Path]], FIND("/", SUBSTITUTE( DATA_Requirements[[#This Row],[Path]]," ","/"),1)-1), ".",""))</f>
        <v>Definition</v>
      </c>
      <c r="L26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STAKEHOLDERS</v>
      </c>
      <c r="M26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261" spans="1:13">
      <c r="A261" t="s">
        <v>1969</v>
      </c>
      <c r="C261"/>
      <c r="D261"/>
      <c r="F261" s="21" t="s">
        <v>2100</v>
      </c>
      <c r="G261" t="s">
        <v>1928</v>
      </c>
      <c r="H261">
        <v>0</v>
      </c>
      <c r="I261" s="21" t="str" cm="1">
        <f t="array" aca="1" ref="I26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08...65.0.0</v>
      </c>
      <c r="J261" s="21" t="s">
        <v>2529</v>
      </c>
      <c r="K261" s="10" t="str">
        <f>TRIM(SUBSTITUTE( LEFT(DATA_Requirements[[#This Row],[Path]], FIND("/", SUBSTITUTE( DATA_Requirements[[#This Row],[Path]]," ","/"),1)-1), ".",""))</f>
        <v>Definition</v>
      </c>
      <c r="L26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 STAKEHOLDERS</v>
      </c>
      <c r="M26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262" spans="1:13">
      <c r="A262" t="s">
        <v>1969</v>
      </c>
      <c r="C262"/>
      <c r="D262"/>
      <c r="F262" s="21" t="s">
        <v>2054</v>
      </c>
      <c r="G262" t="s">
        <v>1928</v>
      </c>
      <c r="H262">
        <v>0</v>
      </c>
      <c r="I262" s="21" t="str" cm="1">
        <f t="array" aca="1" ref="I26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08...43.0.0</v>
      </c>
      <c r="J262" s="21" t="s">
        <v>2530</v>
      </c>
      <c r="K262" s="10" t="str">
        <f>TRIM(SUBSTITUTE( LEFT(DATA_Requirements[[#This Row],[Path]], FIND("/", SUBSTITUTE( DATA_Requirements[[#This Row],[Path]]," ","/"),1)-1), ".",""))</f>
        <v>Definition</v>
      </c>
      <c r="L26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Endorsability: Arching</v>
      </c>
      <c r="M26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endorsable as being compliant with Archiving Obligations</v>
      </c>
    </row>
    <row r="263" spans="1:13">
      <c r="A263" t="s">
        <v>1969</v>
      </c>
      <c r="C263"/>
      <c r="D263"/>
      <c r="F263" s="21" t="s">
        <v>2054</v>
      </c>
      <c r="G263" t="s">
        <v>1928</v>
      </c>
      <c r="H263">
        <v>0</v>
      </c>
      <c r="I263" t="str" cm="1">
        <f t="array" aca="1" ref="I26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08...43.0.0</v>
      </c>
      <c r="J263" t="s">
        <v>2531</v>
      </c>
      <c r="K263" s="10" t="str">
        <f>TRIM(SUBSTITUTE( LEFT(DATA_Requirements[[#This Row],[Path]], FIND("/", SUBSTITUTE( DATA_Requirements[[#This Row],[Path]]," ","/"),1)-1), ".",""))</f>
        <v>S0842:00601</v>
      </c>
      <c r="L26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Virtual Delete Records</v>
      </c>
      <c r="M26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Records MUST not be physically deleted (only use State to Logically delete)</v>
      </c>
    </row>
    <row r="264" spans="1:13">
      <c r="A264" t="s">
        <v>1969</v>
      </c>
      <c r="C264"/>
      <c r="D264"/>
      <c r="F264" s="21" t="s">
        <v>2060</v>
      </c>
      <c r="G264" t="s">
        <v>1928</v>
      </c>
      <c r="H264">
        <v>0</v>
      </c>
      <c r="I264" s="21" t="str" cm="1">
        <f t="array" aca="1" ref="I26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08...46.0.0</v>
      </c>
      <c r="J264" s="21" t="s">
        <v>2532</v>
      </c>
      <c r="K264" s="10" t="str">
        <f>TRIM(SUBSTITUTE( LEFT(DATA_Requirements[[#This Row],[Path]], FIND("/", SUBSTITUTE( DATA_Requirements[[#This Row],[Path]]," ","/"),1)-1), ".",""))</f>
        <v>Definition</v>
      </c>
      <c r="L26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v>
      </c>
      <c r="M26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265" spans="1:13">
      <c r="A265" t="s">
        <v>1969</v>
      </c>
      <c r="C265"/>
      <c r="D265"/>
      <c r="F265" s="21" t="s">
        <v>2060</v>
      </c>
      <c r="G265" t="s">
        <v>1928</v>
      </c>
      <c r="H265">
        <v>0</v>
      </c>
      <c r="I265" t="str" cm="1">
        <f t="array" aca="1" ref="I26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08...46.0.0</v>
      </c>
      <c r="J265" t="s">
        <v>2533</v>
      </c>
      <c r="K265" s="10" t="str">
        <f>TRIM(SUBSTITUTE( LEFT(DATA_Requirements[[#This Row],[Path]], FIND("/", SUBSTITUTE( DATA_Requirements[[#This Row],[Path]]," ","/"),1)-1), ".",""))</f>
        <v>S0843:00601</v>
      </c>
      <c r="L26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By Automation</v>
      </c>
      <c r="M26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Configured or Custom or Hosted, the deployment and or changes MUST be managed via an automated pipeline</v>
      </c>
    </row>
    <row r="266" spans="1:13">
      <c r="A266" t="s">
        <v>1969</v>
      </c>
      <c r="C266"/>
      <c r="D266"/>
      <c r="F266" s="21" t="s">
        <v>2060</v>
      </c>
      <c r="G266" t="s">
        <v>1928</v>
      </c>
      <c r="H266">
        <v>0</v>
      </c>
      <c r="I266" t="str" cm="1">
        <f t="array" aca="1" ref="I26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08...46.0.0</v>
      </c>
      <c r="J266" t="s">
        <v>2534</v>
      </c>
      <c r="K266" s="10" t="str">
        <f>TRIM(SUBSTITUTE( LEFT(DATA_Requirements[[#This Row],[Path]], FIND("/", SUBSTITUTE( DATA_Requirements[[#This Row],[Path]]," ","/"),1)-1), ".",""))</f>
        <v>S0843:00602</v>
      </c>
      <c r="L26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ISO-25301 Environment</v>
      </c>
      <c r="M26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Environments for the Service MUST be developed in Independently assessed ISO-25301, Level 2, environments</v>
      </c>
    </row>
    <row r="267" spans="1:13">
      <c r="A267" t="s">
        <v>1969</v>
      </c>
      <c r="C267"/>
      <c r="D267"/>
      <c r="F267" s="21" t="s">
        <v>2088</v>
      </c>
      <c r="G267" t="s">
        <v>1928</v>
      </c>
      <c r="H267">
        <v>0</v>
      </c>
      <c r="I267" s="21" t="str" cm="1">
        <f t="array" aca="1" ref="I26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08...59.0.0</v>
      </c>
      <c r="J267" s="21" t="s">
        <v>2535</v>
      </c>
      <c r="K267" s="10" t="str">
        <f>TRIM(SUBSTITUTE( LEFT(DATA_Requirements[[#This Row],[Path]], FIND("/", SUBSTITUTE( DATA_Requirements[[#This Row],[Path]]," ","/"),1)-1), ".",""))</f>
        <v>Definition</v>
      </c>
      <c r="L26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SCHEMA STAKEHOLDERS</v>
      </c>
      <c r="M26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268" spans="1:13">
      <c r="A268" t="s">
        <v>1969</v>
      </c>
      <c r="C268"/>
      <c r="D268"/>
      <c r="F268"/>
      <c r="G268" t="s">
        <v>1928</v>
      </c>
      <c r="H268">
        <v>0</v>
      </c>
      <c r="I268" t="str" cm="1">
        <f t="array" aca="1" ref="I26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68" t="s">
        <v>2536</v>
      </c>
      <c r="K268" s="10" t="str">
        <f>TRIM(SUBSTITUTE( LEFT(DATA_Requirements[[#This Row],[Path]], FIND("/", SUBSTITUTE( DATA_Requirements[[#This Row],[Path]]," ","/"),1)-1), ".",""))</f>
        <v>S0850:00601</v>
      </c>
      <c r="L26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Schema &amp; Data Updates</v>
      </c>
      <c r="M26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Hosted, Data Support Services MUST be provided Idempotent updates for DB Schemas and seeding material.</v>
      </c>
    </row>
    <row r="269" spans="1:13">
      <c r="A269" t="s">
        <v>1969</v>
      </c>
      <c r="C269"/>
      <c r="D269"/>
      <c r="F269" s="21"/>
      <c r="G269" t="s">
        <v>1928</v>
      </c>
      <c r="H269">
        <v>0</v>
      </c>
      <c r="I269" s="21" t="str" cm="1">
        <f t="array" aca="1" ref="I26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69" s="21" t="s">
        <v>2537</v>
      </c>
      <c r="K269" s="10" t="str">
        <f>TRIM(SUBSTITUTE( LEFT(DATA_Requirements[[#This Row],[Path]], FIND("/", SUBSTITUTE( DATA_Requirements[[#This Row],[Path]]," ","/"),1)-1), ".",""))</f>
        <v>DESIRE</v>
      </c>
      <c r="L26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SERVER STAKEHOLDERS</v>
      </c>
      <c r="M26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270" spans="1:13">
      <c r="A270" t="s">
        <v>1969</v>
      </c>
      <c r="C270"/>
      <c r="D270"/>
      <c r="F270"/>
      <c r="G270" t="s">
        <v>1928</v>
      </c>
      <c r="H270">
        <v>0</v>
      </c>
      <c r="I270" t="str" cm="1">
        <f t="array" aca="1" ref="I27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70" t="s">
        <v>2538</v>
      </c>
      <c r="K270" s="10" t="str">
        <f>TRIM(SUBSTITUTE( LEFT(DATA_Requirements[[#This Row],[Path]], FIND("/", SUBSTITUTE( DATA_Requirements[[#This Row],[Path]]," ","/"),1)-1), ".",""))</f>
        <v>S0853:00601</v>
      </c>
      <c r="L27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History</v>
      </c>
      <c r="M27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Support Developers MUST retain access to the main development phase Documentation, Repo &amp; WorkItems, avoiding porting (and losing) valuable IP</v>
      </c>
    </row>
    <row r="271" spans="1:13">
      <c r="A271" t="s">
        <v>1969</v>
      </c>
      <c r="C271"/>
      <c r="D271"/>
      <c r="F271"/>
      <c r="G271" t="s">
        <v>1928</v>
      </c>
      <c r="H271">
        <v>0</v>
      </c>
      <c r="I271" t="str" cm="1">
        <f t="array" aca="1" ref="I27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71" t="s">
        <v>2539</v>
      </c>
      <c r="K271" s="10" t="str">
        <f>TRIM(SUBSTITUTE( LEFT(DATA_Requirements[[#This Row],[Path]], FIND("/", SUBSTITUTE( DATA_Requirements[[#This Row],[Path]]," ","/"),1)-1), ".",""))</f>
        <v>S0853:00602</v>
      </c>
      <c r="L27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 Components</v>
      </c>
      <c r="M27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InfoService Server components MUST be managed at all times to remain functional &amp; secure &amp; supported</v>
      </c>
    </row>
    <row r="272" spans="1:13">
      <c r="A272" t="s">
        <v>1969</v>
      </c>
      <c r="C272"/>
      <c r="D272"/>
      <c r="F272" s="21"/>
      <c r="G272" t="s">
        <v>1928</v>
      </c>
      <c r="H272">
        <v>0</v>
      </c>
      <c r="I272" s="21" t="str" cm="1">
        <f t="array" aca="1" ref="I27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72" s="21" t="s">
        <v>2540</v>
      </c>
      <c r="K272" s="10" t="str">
        <f>TRIM(SUBSTITUTE( LEFT(DATA_Requirements[[#This Row],[Path]], FIND("/", SUBSTITUTE( DATA_Requirements[[#This Row],[Path]]," ","/"),1)-1), ".",""))</f>
        <v>Definition</v>
      </c>
      <c r="L27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CLIENT STAKEHOLDERS</v>
      </c>
      <c r="M27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273" spans="1:13">
      <c r="A273" t="s">
        <v>1969</v>
      </c>
      <c r="C273"/>
      <c r="D273"/>
      <c r="F273"/>
      <c r="G273" t="s">
        <v>1928</v>
      </c>
      <c r="H273">
        <v>0</v>
      </c>
      <c r="I273" t="str" cm="1">
        <f t="array" aca="1" ref="I27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73" t="s">
        <v>2541</v>
      </c>
      <c r="K273" s="10" t="str">
        <f>TRIM(SUBSTITUTE( LEFT(DATA_Requirements[[#This Row],[Path]], FIND("/", SUBSTITUTE( DATA_Requirements[[#This Row],[Path]]," ","/"),1)-1), ".",""))</f>
        <v>S0854:00601</v>
      </c>
      <c r="L27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Client Components</v>
      </c>
      <c r="M27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InfoService Client Interface components MUST be managed at all times to remain functional, secure &amp; supported</v>
      </c>
    </row>
    <row r="274" spans="1:13">
      <c r="A274" t="s">
        <v>1969</v>
      </c>
      <c r="C274"/>
      <c r="D274"/>
      <c r="F274"/>
      <c r="G274" t="s">
        <v>1928</v>
      </c>
      <c r="H274">
        <v>0</v>
      </c>
      <c r="I274" t="str" cm="1">
        <f t="array" aca="1" ref="I27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74" t="s">
        <v>2542</v>
      </c>
      <c r="K274" s="10" t="str">
        <f>TRIM(SUBSTITUTE( LEFT(DATA_Requirements[[#This Row],[Path]], FIND("/", SUBSTITUTE( DATA_Requirements[[#This Row],[Path]]," ","/"),1)-1), ".",""))</f>
        <v>S0854:00602</v>
      </c>
      <c r="L27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Interface</v>
      </c>
      <c r="M27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InfoService Client Interface MUST be managed at all times to remain functional,secure &amp; supported in the 2 latest versions of the 2 market leading Browsers</v>
      </c>
    </row>
    <row r="275" spans="1:13">
      <c r="A275" t="s">
        <v>1969</v>
      </c>
      <c r="C275"/>
      <c r="D275"/>
      <c r="F275"/>
      <c r="G275" t="s">
        <v>1928</v>
      </c>
      <c r="H275">
        <v>0</v>
      </c>
      <c r="I275" t="str" cm="1">
        <f t="array" aca="1" ref="I27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08....0.0</v>
      </c>
      <c r="J275" t="s">
        <v>2543</v>
      </c>
      <c r="K275" s="10" t="str">
        <f>TRIM(SUBSTITUTE( LEFT(DATA_Requirements[[#This Row],[Path]], FIND("/", SUBSTITUTE( DATA_Requirements[[#This Row],[Path]]," ","/"),1)-1), ".",""))</f>
        <v>S0854:00603</v>
      </c>
      <c r="L27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Branding</v>
      </c>
      <c r="M27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InfoService Client Interface MUST follow Organisation branding &amp; Styling policy for recognisability and trustability objectives</v>
      </c>
    </row>
    <row r="276" spans="1:13">
      <c r="A276" t="s">
        <v>1973</v>
      </c>
      <c r="B276" t="s">
        <v>2246</v>
      </c>
      <c r="C276"/>
      <c r="D276"/>
      <c r="F276" t="s">
        <v>2032</v>
      </c>
      <c r="G276" t="s">
        <v>1968</v>
      </c>
      <c r="H276">
        <v>0</v>
      </c>
      <c r="I276" t="str" cm="1">
        <f t="array" aca="1" ref="I27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09.461..32.7.0</v>
      </c>
      <c r="J276" t="s">
        <v>2544</v>
      </c>
      <c r="K276" s="10" t="str">
        <f>TRIM(SUBSTITUTE( LEFT(DATA_Requirements[[#This Row],[Path]], FIND("/", SUBSTITUTE( DATA_Requirements[[#This Row],[Path]]," ","/"),1)-1), ".",""))</f>
        <v>Procurement</v>
      </c>
      <c r="L27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Group</v>
      </c>
      <c r="M27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Group Management</v>
      </c>
    </row>
    <row r="277" spans="1:13">
      <c r="A277" t="s">
        <v>1973</v>
      </c>
      <c r="B277" t="s">
        <v>2246</v>
      </c>
      <c r="C277"/>
      <c r="D277"/>
      <c r="F277" t="s">
        <v>2032</v>
      </c>
      <c r="G277" t="s">
        <v>1968</v>
      </c>
      <c r="H277">
        <v>0</v>
      </c>
      <c r="I277" t="str" cm="1">
        <f t="array" aca="1" ref="I27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09.461..32.7.0</v>
      </c>
      <c r="J277" t="s">
        <v>2545</v>
      </c>
      <c r="K277" s="10" t="str">
        <f>TRIM(SUBSTITUTE( LEFT(DATA_Requirements[[#This Row],[Path]], FIND("/", SUBSTITUTE( DATA_Requirements[[#This Row],[Path]]," ","/"),1)-1), ".",""))</f>
        <v>Procurement</v>
      </c>
      <c r="L27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v>
      </c>
      <c r="M27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Media Management</v>
      </c>
    </row>
    <row r="278" spans="1:13">
      <c r="A278" t="s">
        <v>1973</v>
      </c>
      <c r="B278" t="s">
        <v>2246</v>
      </c>
      <c r="C278"/>
      <c r="D278"/>
      <c r="F278" t="s">
        <v>2032</v>
      </c>
      <c r="G278" t="s">
        <v>1968</v>
      </c>
      <c r="H278">
        <v>0</v>
      </c>
      <c r="I278" t="str" cm="1">
        <f t="array" aca="1" ref="I27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09.461..32.7.0</v>
      </c>
      <c r="J278" t="s">
        <v>2546</v>
      </c>
      <c r="K278" s="10" t="str">
        <f>TRIM(SUBSTITUTE( LEFT(DATA_Requirements[[#This Row],[Path]], FIND("/", SUBSTITUTE( DATA_Requirements[[#This Row],[Path]]," ","/"),1)-1), ".",""))</f>
        <v>Procurement</v>
      </c>
      <c r="L27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v>
      </c>
      <c r="M27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 Group Role Management</v>
      </c>
    </row>
    <row r="279" spans="1:13">
      <c r="A279" t="s">
        <v>1973</v>
      </c>
      <c r="B279" t="s">
        <v>2246</v>
      </c>
      <c r="C279"/>
      <c r="D279"/>
      <c r="F279" t="s">
        <v>2032</v>
      </c>
      <c r="G279" t="s">
        <v>1968</v>
      </c>
      <c r="H279">
        <v>0</v>
      </c>
      <c r="I279" t="str" cm="1">
        <f t="array" aca="1" ref="I27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09.461..32.7.0</v>
      </c>
      <c r="J279" t="s">
        <v>2547</v>
      </c>
      <c r="K279" s="10" t="str">
        <f>TRIM(SUBSTITUTE( LEFT(DATA_Requirements[[#This Row],[Path]], FIND("/", SUBSTITUTE( DATA_Requirements[[#This Row],[Path]]," ","/"),1)-1), ".",""))</f>
        <v>Procurement</v>
      </c>
      <c r="L27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v>
      </c>
      <c r="M27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 Management</v>
      </c>
    </row>
    <row r="280" spans="1:13">
      <c r="A280" t="s">
        <v>1973</v>
      </c>
      <c r="B280" t="s">
        <v>2246</v>
      </c>
      <c r="C280"/>
      <c r="D280"/>
      <c r="F280"/>
      <c r="G280" t="s">
        <v>1964</v>
      </c>
      <c r="H280">
        <v>0</v>
      </c>
      <c r="I280" t="str" cm="1">
        <f t="array" aca="1" ref="I28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09.461...6.0</v>
      </c>
      <c r="J280" t="s">
        <v>2548</v>
      </c>
      <c r="K280" s="10" t="str">
        <f>TRIM(SUBSTITUTE( LEFT(DATA_Requirements[[#This Row],[Path]], FIND("/", SUBSTITUTE( DATA_Requirements[[#This Row],[Path]]," ","/"),1)-1), ".",""))</f>
        <v>Procurement</v>
      </c>
      <c r="L28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Compatibility</v>
      </c>
      <c r="M28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Compatibility</v>
      </c>
    </row>
    <row r="281" spans="1:13">
      <c r="A281" t="s">
        <v>1973</v>
      </c>
      <c r="B281" t="s">
        <v>2246</v>
      </c>
      <c r="C281" t="s">
        <v>2549</v>
      </c>
      <c r="D281"/>
      <c r="F281"/>
      <c r="G281" t="s">
        <v>1964</v>
      </c>
      <c r="H281">
        <v>0</v>
      </c>
      <c r="I281" t="str" cm="1">
        <f t="array" aca="1" ref="I28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09.461...6.0</v>
      </c>
      <c r="J281" t="s">
        <v>2550</v>
      </c>
      <c r="K281" s="10" t="str">
        <f>TRIM(SUBSTITUTE( LEFT(DATA_Requirements[[#This Row],[Path]], FIND("/", SUBSTITUTE( DATA_Requirements[[#This Row],[Path]]," ","/"),1)-1), ".",""))</f>
        <v>Procurement</v>
      </c>
      <c r="L28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Functionality</v>
      </c>
      <c r="M28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Functionality (Multiple Orgs, Groups, Users, Roles, Permissions, Media, Business Needs)</v>
      </c>
    </row>
    <row r="282" spans="1:13">
      <c r="A282" t="s">
        <v>1973</v>
      </c>
      <c r="B282" t="s">
        <v>2246</v>
      </c>
      <c r="C282" t="s">
        <v>2551</v>
      </c>
      <c r="D282"/>
      <c r="F282"/>
      <c r="G282" t="s">
        <v>1964</v>
      </c>
      <c r="H282">
        <v>0</v>
      </c>
      <c r="I282" t="str" cm="1">
        <f t="array" aca="1" ref="I28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09.461...6.0</v>
      </c>
      <c r="J282" t="s">
        <v>2552</v>
      </c>
      <c r="K282" s="10" t="str">
        <f>TRIM(SUBSTITUTE( LEFT(DATA_Requirements[[#This Row],[Path]], FIND("/", SUBSTITUTE( DATA_Requirements[[#This Row],[Path]]," ","/"),1)-1), ".",""))</f>
        <v>Procurement</v>
      </c>
      <c r="L28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Maintainability</v>
      </c>
      <c r="M28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Maintainability</v>
      </c>
    </row>
    <row r="283" spans="1:13">
      <c r="A283" t="s">
        <v>1973</v>
      </c>
      <c r="B283" t="s">
        <v>2246</v>
      </c>
      <c r="C283" t="s">
        <v>2551</v>
      </c>
      <c r="D283"/>
      <c r="F283"/>
      <c r="G283" t="s">
        <v>1964</v>
      </c>
      <c r="H283">
        <v>0</v>
      </c>
      <c r="I283" t="str" cm="1">
        <f t="array" aca="1" ref="I28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09.461...6.0</v>
      </c>
      <c r="J283" t="s">
        <v>2553</v>
      </c>
      <c r="K283" s="10" t="str">
        <f>TRIM(SUBSTITUTE( LEFT(DATA_Requirements[[#This Row],[Path]], FIND("/", SUBSTITUTE( DATA_Requirements[[#This Row],[Path]]," ","/"),1)-1), ".",""))</f>
        <v>Procurement</v>
      </c>
      <c r="L28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Component</v>
      </c>
      <c r="M28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Component (Latest Minor Version, minus 2) Version Health Within 3 months</v>
      </c>
    </row>
    <row r="284" spans="1:13">
      <c r="A284" t="s">
        <v>1973</v>
      </c>
      <c r="B284" t="s">
        <v>2246</v>
      </c>
      <c r="C284" t="s">
        <v>2551</v>
      </c>
      <c r="D284"/>
      <c r="F284"/>
      <c r="G284" t="s">
        <v>1964</v>
      </c>
      <c r="H284">
        <v>0</v>
      </c>
      <c r="I284" t="str" cm="1">
        <f t="array" aca="1" ref="I28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09.461...6.0</v>
      </c>
      <c r="J284" t="s">
        <v>2554</v>
      </c>
      <c r="K284" s="10" t="str">
        <f>TRIM(SUBSTITUTE( LEFT(DATA_Requirements[[#This Row],[Path]], FIND("/", SUBSTITUTE( DATA_Requirements[[#This Row],[Path]]," ","/"),1)-1), ".",""))</f>
        <v>Procurement</v>
      </c>
      <c r="L28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Support</v>
      </c>
      <c r="M28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Support Costs</v>
      </c>
    </row>
    <row r="285" spans="1:13">
      <c r="A285" t="s">
        <v>1973</v>
      </c>
      <c r="B285" t="s">
        <v>2246</v>
      </c>
      <c r="C285" t="s">
        <v>2555</v>
      </c>
      <c r="D285"/>
      <c r="F285"/>
      <c r="G285" t="s">
        <v>1964</v>
      </c>
      <c r="H285">
        <v>0</v>
      </c>
      <c r="I285" t="str" cm="1">
        <f t="array" aca="1" ref="I28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09.461...6.0</v>
      </c>
      <c r="J285" t="s">
        <v>2556</v>
      </c>
      <c r="K285" s="10" t="str">
        <f>TRIM(SUBSTITUTE( LEFT(DATA_Requirements[[#This Row],[Path]], FIND("/", SUBSTITUTE( DATA_Requirements[[#This Row],[Path]]," ","/"),1)-1), ".",""))</f>
        <v>Procurement</v>
      </c>
      <c r="L28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Performance</v>
      </c>
      <c r="M28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Performance</v>
      </c>
    </row>
    <row r="286" spans="1:13">
      <c r="A286" t="s">
        <v>1973</v>
      </c>
      <c r="B286" t="s">
        <v>2246</v>
      </c>
      <c r="C286" t="s">
        <v>2557</v>
      </c>
      <c r="D286"/>
      <c r="F286"/>
      <c r="G286" t="s">
        <v>1964</v>
      </c>
      <c r="H286">
        <v>0</v>
      </c>
      <c r="I286" t="str" cm="1">
        <f t="array" aca="1" ref="I28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09.461...6.0</v>
      </c>
      <c r="J286" t="s">
        <v>2558</v>
      </c>
      <c r="K286" s="10" t="str">
        <f>TRIM(SUBSTITUTE( LEFT(DATA_Requirements[[#This Row],[Path]], FIND("/", SUBSTITUTE( DATA_Requirements[[#This Row],[Path]]," ","/"),1)-1), ".",""))</f>
        <v>Procurement</v>
      </c>
      <c r="L28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Portability</v>
      </c>
      <c r="M28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Portability</v>
      </c>
    </row>
    <row r="287" spans="1:13">
      <c r="A287" t="s">
        <v>1973</v>
      </c>
      <c r="B287" t="s">
        <v>2246</v>
      </c>
      <c r="C287" t="s">
        <v>2559</v>
      </c>
      <c r="D287"/>
      <c r="F287" t="s">
        <v>1967</v>
      </c>
      <c r="G287" t="s">
        <v>1964</v>
      </c>
      <c r="H287">
        <v>0</v>
      </c>
      <c r="I287" t="str" cm="1">
        <f t="array" aca="1" ref="I28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09.461..07.6.0</v>
      </c>
      <c r="J287" t="s">
        <v>2560</v>
      </c>
      <c r="K287" s="10" t="str">
        <f>TRIM(SUBSTITUTE( LEFT(DATA_Requirements[[#This Row],[Path]], FIND("/", SUBSTITUTE( DATA_Requirements[[#This Row],[Path]]," ","/"),1)-1), ".",""))</f>
        <v>Procurement</v>
      </c>
      <c r="L28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v>
      </c>
      <c r="M28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Privacy</v>
      </c>
    </row>
    <row r="288" spans="1:13">
      <c r="A288" t="s">
        <v>1973</v>
      </c>
      <c r="B288" t="s">
        <v>2246</v>
      </c>
      <c r="C288" t="s">
        <v>2561</v>
      </c>
      <c r="D288"/>
      <c r="F288"/>
      <c r="G288" t="s">
        <v>1964</v>
      </c>
      <c r="H288">
        <v>0</v>
      </c>
      <c r="I288" t="str" cm="1">
        <f t="array" aca="1" ref="I28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09.461...6.0</v>
      </c>
      <c r="J288"/>
      <c r="K288" s="10" t="e">
        <f>TRIM(SUBSTITUTE( LEFT(DATA_Requirements[[#This Row],[Path]], FIND("/", SUBSTITUTE( DATA_Requirements[[#This Row],[Path]]," ","/"),1)-1), ".",""))</f>
        <v>#VALUE!</v>
      </c>
      <c r="L288"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288"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289" spans="1:13">
      <c r="A289" t="s">
        <v>1973</v>
      </c>
      <c r="B289" t="s">
        <v>2246</v>
      </c>
      <c r="C289"/>
      <c r="D289"/>
      <c r="F289" t="s">
        <v>2014</v>
      </c>
      <c r="G289" t="s">
        <v>1964</v>
      </c>
      <c r="H289">
        <v>0</v>
      </c>
      <c r="I289" t="str" cm="1">
        <f t="array" aca="1" ref="I28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09.461..23.6.0</v>
      </c>
      <c r="J289" t="s">
        <v>2562</v>
      </c>
      <c r="K289" s="10" t="str">
        <f>TRIM(SUBSTITUTE( LEFT(DATA_Requirements[[#This Row],[Path]], FIND("/", SUBSTITUTE( DATA_Requirements[[#This Row],[Path]]," ","/"),1)-1), ".",""))</f>
        <v>Procurement</v>
      </c>
      <c r="L28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At</v>
      </c>
      <c r="M28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At Rest (ISO-31001, Credential Storage, Audited Access, Production, Backups)</v>
      </c>
    </row>
    <row r="290" spans="1:13">
      <c r="A290" t="s">
        <v>1973</v>
      </c>
      <c r="B290" t="s">
        <v>2246</v>
      </c>
      <c r="C290"/>
      <c r="D290"/>
      <c r="F290" t="s">
        <v>2014</v>
      </c>
      <c r="G290" t="s">
        <v>1964</v>
      </c>
      <c r="H290">
        <v>0</v>
      </c>
      <c r="I290" t="str" cm="1">
        <f t="array" aca="1" ref="I29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09.461..23.6.0</v>
      </c>
      <c r="J290" t="s">
        <v>2563</v>
      </c>
      <c r="K290" s="10" t="str">
        <f>TRIM(SUBSTITUTE( LEFT(DATA_Requirements[[#This Row],[Path]], FIND("/", SUBSTITUTE( DATA_Requirements[[#This Row],[Path]]," ","/"),1)-1), ".",""))</f>
        <v>Procurement</v>
      </c>
      <c r="L29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v>
      </c>
      <c r="M29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 Transit (HTTPS)</v>
      </c>
    </row>
    <row r="291" spans="1:13">
      <c r="A291" t="s">
        <v>1973</v>
      </c>
      <c r="B291" t="s">
        <v>2246</v>
      </c>
      <c r="C291"/>
      <c r="D291"/>
      <c r="F291" t="s">
        <v>2014</v>
      </c>
      <c r="G291" t="s">
        <v>1964</v>
      </c>
      <c r="H291">
        <v>0</v>
      </c>
      <c r="I291" t="str" cm="1">
        <f t="array" aca="1" ref="I29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09.461..23.6.0</v>
      </c>
      <c r="J291" t="s">
        <v>2564</v>
      </c>
      <c r="K291" s="10" t="str">
        <f>TRIM(SUBSTITUTE( LEFT(DATA_Requirements[[#This Row],[Path]], FIND("/", SUBSTITUTE( DATA_Requirements[[#This Row],[Path]]," ","/"),1)-1), ".",""))</f>
        <v>Procurement</v>
      </c>
      <c r="L29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AntiMalware</v>
      </c>
      <c r="M29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AntiMalware</v>
      </c>
    </row>
    <row r="292" spans="1:13">
      <c r="A292" t="s">
        <v>1973</v>
      </c>
      <c r="B292" t="s">
        <v>2246</v>
      </c>
      <c r="C292" t="s">
        <v>2565</v>
      </c>
      <c r="D292"/>
      <c r="F292" t="s">
        <v>2032</v>
      </c>
      <c r="G292" t="s">
        <v>1964</v>
      </c>
      <c r="H292">
        <v>0</v>
      </c>
      <c r="I292" t="str" cm="1">
        <f t="array" aca="1" ref="I29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09.461..32.6.0</v>
      </c>
      <c r="J292"/>
      <c r="K292" s="10" t="e">
        <f>TRIM(SUBSTITUTE( LEFT(DATA_Requirements[[#This Row],[Path]], FIND("/", SUBSTITUTE( DATA_Requirements[[#This Row],[Path]]," ","/"),1)-1), ".",""))</f>
        <v>#VALUE!</v>
      </c>
      <c r="L292"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292"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293" spans="1:13">
      <c r="A293" t="s">
        <v>1973</v>
      </c>
      <c r="B293" t="s">
        <v>2246</v>
      </c>
      <c r="C293" t="s">
        <v>2566</v>
      </c>
      <c r="D293"/>
      <c r="F293" t="s">
        <v>2032</v>
      </c>
      <c r="G293" t="s">
        <v>1964</v>
      </c>
      <c r="H293">
        <v>0</v>
      </c>
      <c r="I293" t="str" cm="1">
        <f t="array" aca="1" ref="I29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09.461..32.6.0</v>
      </c>
      <c r="J293" t="s">
        <v>2567</v>
      </c>
      <c r="K293" s="10" t="str">
        <f>TRIM(SUBSTITUTE( LEFT(DATA_Requirements[[#This Row],[Path]], FIND("/", SUBSTITUTE( DATA_Requirements[[#This Row],[Path]]," ","/"),1)-1), ".",""))</f>
        <v>The</v>
      </c>
      <c r="L293"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293"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294" spans="1:13">
      <c r="A294" s="16" t="s">
        <v>1973</v>
      </c>
      <c r="B294" s="16"/>
      <c r="C294"/>
      <c r="D294"/>
      <c r="E294" s="16"/>
      <c r="F294" s="16"/>
      <c r="G294" t="s">
        <v>1928</v>
      </c>
      <c r="H294">
        <v>0</v>
      </c>
      <c r="I294" s="16" t="str" cm="1">
        <f t="array" aca="1" ref="I29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09....0.0</v>
      </c>
      <c r="J294" s="16" t="s">
        <v>2568</v>
      </c>
      <c r="K294" s="10" t="str">
        <f>TRIM(SUBSTITUTE( LEFT(DATA_Requirements[[#This Row],[Path]], FIND("/", SUBSTITUTE( DATA_Requirements[[#This Row],[Path]]," ","/"),1)-1), ".",""))</f>
        <v>PROCUREMENT</v>
      </c>
      <c r="L294"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29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295" spans="1:13">
      <c r="D295"/>
      <c r="F295" t="s">
        <v>2096</v>
      </c>
      <c r="H295">
        <v>0</v>
      </c>
      <c r="I295" t="str" cm="1">
        <f t="array" aca="1" ref="I29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...63..0</v>
      </c>
      <c r="J295" t="s">
        <v>2569</v>
      </c>
      <c r="K295" s="10" t="str">
        <f>TRIM(SUBSTITUTE( LEFT(DATA_Requirements[[#This Row],[Path]], FIND("/", SUBSTITUTE( DATA_Requirements[[#This Row],[Path]]," ","/"),1)-1), ".",""))</f>
        <v>Design</v>
      </c>
      <c r="L29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Developers</v>
      </c>
      <c r="M29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Developers MUST configure their workstations to develop under HTTPS</v>
      </c>
    </row>
    <row r="296" spans="1:13">
      <c r="D296"/>
      <c r="F296"/>
      <c r="H296">
        <v>0</v>
      </c>
      <c r="I296" t="str" cm="1">
        <f t="array" aca="1" ref="I29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296" t="s">
        <v>2570</v>
      </c>
      <c r="K296" s="10" t="str">
        <f>TRIM(SUBSTITUTE( LEFT(DATA_Requirements[[#This Row],[Path]], FIND("/", SUBSTITUTE( DATA_Requirements[[#This Row],[Path]]," ","/"),1)-1), ".",""))</f>
        <v>Design</v>
      </c>
      <c r="L29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Text</v>
      </c>
      <c r="M29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Resource Text MUST be developed with the objective of being quickly interpreted into our cultures</v>
      </c>
    </row>
    <row r="297" spans="1:13">
      <c r="D297"/>
      <c r="F297"/>
      <c r="H297">
        <v>0</v>
      </c>
      <c r="I297" t="str" cm="1">
        <f t="array" aca="1" ref="I29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297" t="s">
        <v>2571</v>
      </c>
      <c r="K297" s="10" t="str">
        <f>TRIM(SUBSTITUTE( LEFT(DATA_Requirements[[#This Row],[Path]], FIND("/", SUBSTITUTE( DATA_Requirements[[#This Row],[Path]]," ","/"),1)-1), ".",""))</f>
        <v>Design</v>
      </c>
      <c r="L29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Graphics</v>
      </c>
      <c r="M29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Graphics MUST be developed as Monochromatic Scalable Vector Graphics usable over coloured backgrounds.</v>
      </c>
    </row>
    <row r="298" spans="1:13">
      <c r="D298"/>
      <c r="F298"/>
      <c r="H298">
        <v>0</v>
      </c>
      <c r="I298" t="str" cm="1">
        <f t="array" aca="1" ref="I29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298" t="s">
        <v>2572</v>
      </c>
      <c r="K298" s="10" t="str">
        <f>TRIM(SUBSTITUTE( LEFT(DATA_Requirements[[#This Row],[Path]], FIND("/", SUBSTITUTE( DATA_Requirements[[#This Row],[Path]]," ","/"),1)-1), ".",""))</f>
        <v>Design</v>
      </c>
      <c r="L29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Text</v>
      </c>
      <c r="M29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Resource Text MUST be short to minimise scrolling, especially on mobile devices</v>
      </c>
    </row>
    <row r="299" spans="1:13">
      <c r="D299"/>
      <c r="F299"/>
      <c r="H299">
        <v>0</v>
      </c>
      <c r="I299" t="str" cm="1">
        <f t="array" aca="1" ref="I29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299" t="s">
        <v>2573</v>
      </c>
      <c r="K299" s="10" t="str">
        <f>TRIM(SUBSTITUTE( LEFT(DATA_Requirements[[#This Row],[Path]], FIND("/", SUBSTITUTE( DATA_Requirements[[#This Row],[Path]]," ","/"),1)-1), ".",""))</f>
        <v>Design</v>
      </c>
      <c r="L29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Instructions</v>
      </c>
      <c r="M29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Resource Text MUST be developed to repetively use the same instructions (SignIn, SignOut, Search, View, Save, Accept, Cancel, etc.)</v>
      </c>
    </row>
    <row r="300" spans="1:13">
      <c r="D300"/>
      <c r="F300"/>
      <c r="H300">
        <v>0</v>
      </c>
      <c r="I300" t="str" cm="1">
        <f t="array" aca="1" ref="I30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00" t="s">
        <v>2574</v>
      </c>
      <c r="K300" s="10" t="str">
        <f>TRIM(SUBSTITUTE( LEFT(DATA_Requirements[[#This Row],[Path]], FIND("/", SUBSTITUTE( DATA_Requirements[[#This Row],[Path]]," ","/"),1)-1), ".",""))</f>
        <v>1048:0100</v>
      </c>
      <c r="L30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v>
      </c>
      <c r="M30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Messages</v>
      </c>
    </row>
    <row r="301" spans="1:13">
      <c r="D301"/>
      <c r="F301"/>
      <c r="H301">
        <v>0</v>
      </c>
      <c r="I301" t="str" cm="1">
        <f t="array" aca="1" ref="I30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01" t="s">
        <v>2575</v>
      </c>
      <c r="K301" s="10" t="str">
        <f>TRIM(SUBSTITUTE( LEFT(DATA_Requirements[[#This Row],[Path]], FIND("/", SUBSTITUTE( DATA_Requirements[[#This Row],[Path]]," ","/"),1)-1), ".",""))</f>
        <v>Design</v>
      </c>
      <c r="L30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Branding</v>
      </c>
      <c r="M30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Branding</v>
      </c>
    </row>
    <row r="302" spans="1:13">
      <c r="D302"/>
      <c r="F302"/>
      <c r="H302">
        <v>0</v>
      </c>
      <c r="I302" t="str" cm="1">
        <f t="array" aca="1" ref="I30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02" t="s">
        <v>2576</v>
      </c>
      <c r="K302" s="10" t="str">
        <f>TRIM(SUBSTITUTE( LEFT(DATA_Requirements[[#This Row],[Path]], FIND("/", SUBSTITUTE( DATA_Requirements[[#This Row],[Path]]," ","/"),1)-1), ".",""))</f>
        <v>Design</v>
      </c>
      <c r="L30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Monochromatic Scalable Graphics</v>
      </c>
      <c r="M30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Accessible, Monochromatic, Scalable Vector Graphics MUST be developed</v>
      </c>
    </row>
    <row r="303" spans="1:13">
      <c r="D303"/>
      <c r="F303"/>
      <c r="H303">
        <v>0</v>
      </c>
      <c r="I303" t="str" cm="1">
        <f t="array" aca="1" ref="I30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03" t="s">
        <v>2577</v>
      </c>
      <c r="K303" s="10" t="str">
        <f>TRIM(SUBSTITUTE( LEFT(DATA_Requirements[[#This Row],[Path]], FIND("/", SUBSTITUTE( DATA_Requirements[[#This Row],[Path]]," ","/"),1)-1), ".",""))</f>
        <v>Design</v>
      </c>
      <c r="L30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UI Text</v>
      </c>
      <c r="M30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set of UX Operation (eg: BREAD) Title &amp; Description Resources MUST be developed</v>
      </c>
    </row>
    <row r="304" spans="1:13">
      <c r="D304"/>
      <c r="F304"/>
      <c r="H304">
        <v>0</v>
      </c>
      <c r="I304" t="str" cm="1">
        <f t="array" aca="1" ref="I30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04" t="s">
        <v>2578</v>
      </c>
      <c r="K304" s="10" t="str">
        <f>TRIM(SUBSTITUTE( LEFT(DATA_Requirements[[#This Row],[Path]], FIND("/", SUBSTITUTE( DATA_Requirements[[#This Row],[Path]]," ","/"),1)-1), ".",""))</f>
        <v>Design</v>
      </c>
      <c r="L30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Accessibility|Icons</v>
      </c>
      <c r="M30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Accessibility|Icons MUST be Monochrome Scalabe Graphics (displayable on coloured background)</v>
      </c>
    </row>
    <row r="305" spans="4:13">
      <c r="D305"/>
      <c r="F305"/>
      <c r="H305">
        <v>0</v>
      </c>
      <c r="I305" t="str" cm="1">
        <f t="array" aca="1" ref="I30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05" t="s">
        <v>2579</v>
      </c>
      <c r="K305" s="10" t="str">
        <f>TRIM(SUBSTITUTE( LEFT(DATA_Requirements[[#This Row],[Path]], FIND("/", SUBSTITUTE( DATA_Requirements[[#This Row],[Path]]," ","/"),1)-1), ".",""))</f>
        <v>Design</v>
      </c>
      <c r="L30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Group Role Msg</v>
      </c>
      <c r="M30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Template Message MUST be developed to Warn that a Group Role Duration is Expiring</v>
      </c>
    </row>
    <row r="306" spans="4:13">
      <c r="D306"/>
      <c r="F306"/>
      <c r="H306">
        <v>0</v>
      </c>
      <c r="I306" t="str" cm="1">
        <f t="array" aca="1" ref="I30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06" t="s">
        <v>2580</v>
      </c>
      <c r="K306" s="10" t="str">
        <f>TRIM(SUBSTITUTE( LEFT(DATA_Requirements[[#This Row],[Path]], FIND("/", SUBSTITUTE( DATA_Requirements[[#This Row],[Path]]," ","/"),1)-1), ".",""))</f>
        <v>Design</v>
      </c>
      <c r="L30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Interface</v>
      </c>
      <c r="M30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Interface Images and text MUST adhere to WCAG 3 or later specifications, Level Bronze or better</v>
      </c>
    </row>
    <row r="307" spans="4:13">
      <c r="D307"/>
      <c r="F307"/>
      <c r="H307">
        <v>0</v>
      </c>
      <c r="I307" t="str" cm="1">
        <f t="array" aca="1" ref="I30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07" t="s">
        <v>2581</v>
      </c>
      <c r="K307" s="10" t="str">
        <f>TRIM(SUBSTITUTE( LEFT(DATA_Requirements[[#This Row],[Path]], FIND("/", SUBSTITUTE( DATA_Requirements[[#This Row],[Path]]," ","/"),1)-1), ".",""))</f>
        <v>Design</v>
      </c>
      <c r="L30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Interface</v>
      </c>
      <c r="M30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Interface Resource Text MUST be delivered in the official written languages of countries where the service made available</v>
      </c>
    </row>
    <row r="308" spans="4:13">
      <c r="D308"/>
      <c r="F308"/>
      <c r="H308">
        <v>0</v>
      </c>
      <c r="I308" t="str" cm="1">
        <f t="array" aca="1" ref="I30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08" t="s">
        <v>2582</v>
      </c>
      <c r="K308" s="10" t="str">
        <f>TRIM(SUBSTITUTE( LEFT(DATA_Requirements[[#This Row],[Path]], FIND("/", SUBSTITUTE( DATA_Requirements[[#This Row],[Path]]," ","/"),1)-1), ".",""))</f>
        <v>1049:0100</v>
      </c>
      <c r="L30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Content</v>
      </c>
      <c r="M30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Metadata (Discoverability)</v>
      </c>
    </row>
    <row r="309" spans="4:13">
      <c r="D309"/>
      <c r="F309"/>
      <c r="H309">
        <v>0</v>
      </c>
      <c r="I309" t="str" cm="1">
        <f t="array" aca="1" ref="I30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09" t="s">
        <v>2583</v>
      </c>
      <c r="K309" s="10" t="str">
        <f>TRIM(SUBSTITUTE( LEFT(DATA_Requirements[[#This Row],[Path]], FIND("/", SUBSTITUTE( DATA_Requirements[[#This Row],[Path]]," ","/"),1)-1), ".",""))</f>
        <v>Design</v>
      </c>
      <c r="L30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Content</v>
      </c>
      <c r="M30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Content SHOULD be developed and maintained in a low level, format (eg: ASCIIDoc, Markdown)</v>
      </c>
    </row>
    <row r="310" spans="4:13">
      <c r="D310"/>
      <c r="F310"/>
      <c r="H310">
        <v>0</v>
      </c>
      <c r="I310" t="str" cm="1">
        <f t="array" aca="1" ref="I31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10" t="s">
        <v>2584</v>
      </c>
      <c r="K310" s="10" t="str">
        <f>TRIM(SUBSTITUTE( LEFT(DATA_Requirements[[#This Row],[Path]], FIND("/", SUBSTITUTE( DATA_Requirements[[#This Row],[Path]]," ","/"),1)-1), ".",""))</f>
        <v>Design</v>
      </c>
      <c r="L31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v>
      </c>
      <c r="M31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Media MUST be culturally Interpreted, not simply Translated</v>
      </c>
    </row>
    <row r="311" spans="4:13">
      <c r="D311"/>
      <c r="F311"/>
      <c r="H311">
        <v>0</v>
      </c>
      <c r="I311" t="str" cm="1">
        <f t="array" aca="1" ref="I31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11" t="s">
        <v>2585</v>
      </c>
      <c r="K311" s="10" t="str">
        <f>TRIM(SUBSTITUTE( LEFT(DATA_Requirements[[#This Row],[Path]], FIND("/", SUBSTITUTE( DATA_Requirements[[#This Row],[Path]]," ","/"),1)-1), ".",""))</f>
        <v>Design</v>
      </c>
      <c r="L31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Developed</v>
      </c>
      <c r="M31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Developed Content MUST be developed and managed to remain easily and quickly understood and actionable.</v>
      </c>
    </row>
    <row r="312" spans="4:13">
      <c r="D312"/>
      <c r="F312"/>
      <c r="H312">
        <v>0</v>
      </c>
      <c r="I312" t="str" cm="1">
        <f t="array" aca="1" ref="I31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12" t="s">
        <v>2586</v>
      </c>
      <c r="K312" s="10" t="str">
        <f>TRIM(SUBSTITUTE( LEFT(DATA_Requirements[[#This Row],[Path]], FIND("/", SUBSTITUTE( DATA_Requirements[[#This Row],[Path]]," ","/"),1)-1), ".",""))</f>
        <v>1049:019000</v>
      </c>
      <c r="L31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v>
      </c>
      <c r="M31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 Content Model</v>
      </c>
    </row>
    <row r="313" spans="4:13">
      <c r="D313"/>
      <c r="F313"/>
      <c r="H313">
        <v>0</v>
      </c>
      <c r="I313" t="str" cm="1">
        <f t="array" aca="1" ref="I31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13" t="s">
        <v>2587</v>
      </c>
      <c r="K313" s="10" t="str">
        <f>TRIM(SUBSTITUTE( LEFT(DATA_Requirements[[#This Row],[Path]], FIND("/", SUBSTITUTE( DATA_Requirements[[#This Row],[Path]]," ","/"),1)-1), ".",""))</f>
        <v>1049:019000</v>
      </c>
      <c r="L31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v>
      </c>
      <c r="M31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 Content Type Actionable Schemas</v>
      </c>
    </row>
    <row r="314" spans="4:13">
      <c r="D314"/>
      <c r="F314"/>
      <c r="H314">
        <v>0</v>
      </c>
      <c r="I314" t="str" cm="1">
        <f t="array" aca="1" ref="I31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14" t="s">
        <v>2588</v>
      </c>
      <c r="K314" s="10" t="str">
        <f>TRIM(SUBSTITUTE( LEFT(DATA_Requirements[[#This Row],[Path]], FIND("/", SUBSTITUTE( DATA_Requirements[[#This Row],[Path]]," ","/"),1)-1), ".",""))</f>
        <v>1049:019000</v>
      </c>
      <c r="L31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v>
      </c>
      <c r="M31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 Content Types</v>
      </c>
    </row>
    <row r="315" spans="4:13">
      <c r="D315"/>
      <c r="F315" s="21"/>
      <c r="H315">
        <v>0</v>
      </c>
      <c r="I315" s="21" t="str" cm="1">
        <f t="array" aca="1" ref="I31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15" s="21" t="s">
        <v>2589</v>
      </c>
      <c r="K315" s="10" t="str">
        <f>TRIM(SUBSTITUTE( LEFT(DATA_Requirements[[#This Row],[Path]], FIND("/", SUBSTITUTE( DATA_Requirements[[#This Row],[Path]]," ","/"),1)-1), ".",""))</f>
        <v>DESIGN</v>
      </c>
      <c r="L31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CONTENT</v>
      </c>
      <c r="M31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316" spans="4:13">
      <c r="D316"/>
      <c r="F316"/>
      <c r="H316">
        <v>0</v>
      </c>
      <c r="I316" t="str" cm="1">
        <f t="array" aca="1" ref="I31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16" t="s">
        <v>2590</v>
      </c>
      <c r="K316" s="10" t="str">
        <f>TRIM(SUBSTITUTE( LEFT(DATA_Requirements[[#This Row],[Path]], FIND("/", SUBSTITUTE( DATA_Requirements[[#This Row],[Path]]," ","/"),1)-1), ".",""))</f>
        <v>Design</v>
      </c>
      <c r="L31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InfoServiceContent</v>
      </c>
      <c r="M31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
      </c>
    </row>
    <row r="317" spans="4:13">
      <c r="D317"/>
      <c r="F317" s="21"/>
      <c r="H317">
        <v>0</v>
      </c>
      <c r="I317" s="21" t="str" cm="1">
        <f t="array" aca="1" ref="I31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17" s="21" t="s">
        <v>2591</v>
      </c>
      <c r="K317" s="10" t="str">
        <f>TRIM(SUBSTITUTE( LEFT(DATA_Requirements[[#This Row],[Path]], FIND("/", SUBSTITUTE( DATA_Requirements[[#This Row],[Path]]," ","/"),1)-1), ".",""))</f>
        <v>DESIGN</v>
      </c>
      <c r="L31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ENVIRONMENTS</v>
      </c>
      <c r="M31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318" spans="4:13">
      <c r="D318"/>
      <c r="F318"/>
      <c r="H318">
        <v>0</v>
      </c>
      <c r="I318" t="str" cm="1">
        <f t="array" aca="1" ref="I31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18" t="s">
        <v>2592</v>
      </c>
      <c r="K318" s="10" t="str">
        <f>TRIM(SUBSTITUTE( LEFT(DATA_Requirements[[#This Row],[Path]], FIND("/", SUBSTITUTE( DATA_Requirements[[#This Row],[Path]]," ","/"),1)-1), ".",""))</f>
        <v>Design</v>
      </c>
      <c r="L31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Disclosures</v>
      </c>
      <c r="M31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Disclosures</v>
      </c>
    </row>
    <row r="319" spans="4:13">
      <c r="D319"/>
      <c r="F319"/>
      <c r="H319">
        <v>0</v>
      </c>
      <c r="I319" t="str" cm="1">
        <f t="array" aca="1" ref="I31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19" t="s">
        <v>2593</v>
      </c>
      <c r="K319" s="10" t="str">
        <f>TRIM(SUBSTITUTE( LEFT(DATA_Requirements[[#This Row],[Path]], FIND("/", SUBSTITUTE( DATA_Requirements[[#This Row],[Path]]," ","/"),1)-1), ".",""))</f>
        <v>Design</v>
      </c>
      <c r="L31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Terms&amp;Conditions</v>
      </c>
      <c r="M31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Terms&amp;Conditions</v>
      </c>
    </row>
    <row r="320" spans="4:13">
      <c r="D320"/>
      <c r="F320"/>
      <c r="H320">
        <v>0</v>
      </c>
      <c r="I320" t="str" cm="1">
        <f t="array" aca="1" ref="I32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20" t="s">
        <v>2594</v>
      </c>
      <c r="K320" s="10" t="str">
        <f>TRIM(SUBSTITUTE( LEFT(DATA_Requirements[[#This Row],[Path]], FIND("/", SUBSTITUTE( DATA_Requirements[[#This Row],[Path]]," ","/"),1)-1), ".",""))</f>
        <v>Design</v>
      </c>
      <c r="L32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Testing uses the API Client</v>
      </c>
      <c r="M32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permitted, Dynamic QA Testing of APIs MUST be via custom developed API Client Development Kit examples.</v>
      </c>
    </row>
    <row r="321" spans="4:13">
      <c r="D321"/>
      <c r="F321"/>
      <c r="H321">
        <v>0</v>
      </c>
      <c r="I321" t="str" cm="1">
        <f t="array" aca="1" ref="I32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21" t="s">
        <v>2595</v>
      </c>
      <c r="K321" s="10" t="str">
        <f>TRIM(SUBSTITUTE( LEFT(DATA_Requirements[[#This Row],[Path]], FIND("/", SUBSTITUTE( DATA_Requirements[[#This Row],[Path]]," ","/"),1)-1), ".",""))</f>
        <v>1044:00001</v>
      </c>
      <c r="L32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ALM: For Consultation</v>
      </c>
      <c r="M32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ALM suite MUST permit members from multiple organisation (eg: Consultants, Vendors, etc.) and their internal groups to participate and collaborate</v>
      </c>
    </row>
    <row r="322" spans="4:13">
      <c r="D322"/>
      <c r="F322"/>
      <c r="H322">
        <v>0</v>
      </c>
      <c r="I322" t="str" cm="1">
        <f t="array" aca="1" ref="I32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22" t="s">
        <v>2596</v>
      </c>
      <c r="K322" s="10" t="str">
        <f>TRIM(SUBSTITUTE( LEFT(DATA_Requirements[[#This Row],[Path]], FIND("/", SUBSTITUTE( DATA_Requirements[[#This Row],[Path]]," ","/"),1)-1), ".",""))</f>
        <v>1044:00002</v>
      </c>
      <c r="L32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ALM Service Suite</v>
      </c>
      <c r="M32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ALM Suite MUST provide and integrate the following services: WorkItems, Repository, Automation Pipelines, Documentation</v>
      </c>
    </row>
    <row r="323" spans="4:13">
      <c r="D323"/>
      <c r="F323"/>
      <c r="H323">
        <v>0</v>
      </c>
      <c r="I323" t="str" cm="1">
        <f t="array" aca="1" ref="I32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23" t="s">
        <v>2597</v>
      </c>
      <c r="K323" s="10" t="str">
        <f>TRIM(SUBSTITUTE( LEFT(DATA_Requirements[[#This Row],[Path]], FIND("/", SUBSTITUTE( DATA_Requirements[[#This Row],[Path]]," ","/"),1)-1), ".",""))</f>
        <v>1044:00003</v>
      </c>
      <c r="L32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Continued ALM syncing</v>
      </c>
      <c r="M32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the ALM is not organisation provided, the ALM data MUST be dynamically kept in sync with the Organisation provided ALM, to facilitate handover when required.</v>
      </c>
    </row>
    <row r="324" spans="4:13">
      <c r="D324"/>
      <c r="F324"/>
      <c r="H324">
        <v>0</v>
      </c>
      <c r="I324" t="str" cm="1">
        <f t="array" aca="1" ref="I32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24" t="s">
        <v>2598</v>
      </c>
      <c r="K324" s="10" t="str">
        <f>TRIM(SUBSTITUTE( LEFT(DATA_Requirements[[#This Row],[Path]], FIND("/", SUBSTITUTE( DATA_Requirements[[#This Row],[Path]]," ","/"),1)-1), ".",""))</f>
        <v>1044:00004</v>
      </c>
      <c r="L32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Continued ALM use</v>
      </c>
      <c r="M32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the ALM is not organisation provided, the ALM space MUST be maintained functional and secure for the delivered services full lifecycle, while allowing ongoing use, at no additional cost.</v>
      </c>
    </row>
    <row r="325" spans="4:13">
      <c r="D325"/>
      <c r="F325"/>
      <c r="H325">
        <v>0</v>
      </c>
      <c r="I325" t="str" cm="1">
        <f t="array" aca="1" ref="I32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25" t="s">
        <v>2599</v>
      </c>
      <c r="K325" s="10" t="str">
        <f>TRIM(SUBSTITUTE( LEFT(DATA_Requirements[[#This Row],[Path]], FIND("/", SUBSTITUTE( DATA_Requirements[[#This Row],[Path]]," ","/"),1)-1), ".",""))</f>
        <v>1044:00005</v>
      </c>
      <c r="L32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Endorsed ALMs Only</v>
      </c>
      <c r="M32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Projects MUST NOT use an alternate to an organisation provided ALM (eg: Vendors), unless technical governance board exempted.</v>
      </c>
    </row>
    <row r="326" spans="4:13">
      <c r="D326"/>
      <c r="F326"/>
      <c r="H326">
        <v>0</v>
      </c>
      <c r="I326" t="str" cm="1">
        <f t="array" aca="1" ref="I32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26" t="s">
        <v>2600</v>
      </c>
      <c r="K326" s="10" t="str">
        <f>TRIM(SUBSTITUTE( LEFT(DATA_Requirements[[#This Row],[Path]], FIND("/", SUBSTITUTE( DATA_Requirements[[#This Row],[Path]]," ","/"),1)-1), ".",""))</f>
        <v>1044:00006</v>
      </c>
      <c r="L32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WWW WAN Accessible ARM</v>
      </c>
      <c r="M32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ALM Service suite MUST be accessible outside organisation LANs, over the WWW.</v>
      </c>
    </row>
    <row r="327" spans="4:13">
      <c r="D327"/>
      <c r="F327"/>
      <c r="H327">
        <v>0</v>
      </c>
      <c r="I327" t="str" cm="1">
        <f t="array" aca="1" ref="I32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27" t="s">
        <v>2601</v>
      </c>
      <c r="K327" s="10" t="str">
        <f>TRIM(SUBSTITUTE( LEFT(DATA_Requirements[[#This Row],[Path]], FIND("/", SUBSTITUTE( DATA_Requirements[[#This Row],[Path]]," ","/"),1)-1), ".",""))</f>
        <v>Design</v>
      </c>
      <c r="L32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Direct Wiki Access</v>
      </c>
      <c r="M32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WWW Accessible Wiki MUST be accessible to Authorised Organisation Users</v>
      </c>
    </row>
    <row r="328" spans="4:13">
      <c r="D328"/>
      <c r="F328"/>
      <c r="H328">
        <v>0</v>
      </c>
      <c r="I328" t="str" cm="1">
        <f t="array" aca="1" ref="I32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28" t="s">
        <v>2602</v>
      </c>
      <c r="K328" s="10" t="str">
        <f>TRIM(SUBSTITUTE( LEFT(DATA_Requirements[[#This Row],[Path]], FIND("/", SUBSTITUTE( DATA_Requirements[[#This Row],[Path]]," ","/"),1)-1), ".",""))</f>
        <v>Design</v>
      </c>
      <c r="L32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Document within a Wiki</v>
      </c>
      <c r="M32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WWW Accessible Wiki MUST be used to record Design and Development information.</v>
      </c>
    </row>
    <row r="329" spans="4:13">
      <c r="D329"/>
      <c r="F329"/>
      <c r="H329">
        <v>0</v>
      </c>
      <c r="I329" t="str" cm="1">
        <f t="array" aca="1" ref="I32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29" t="s">
        <v>2603</v>
      </c>
      <c r="K329" s="10" t="str">
        <f>TRIM(SUBSTITUTE( LEFT(DATA_Requirements[[#This Row],[Path]], FIND("/", SUBSTITUTE( DATA_Requirements[[#This Row],[Path]]," ","/"),1)-1), ".",""))</f>
        <v>Design</v>
      </c>
      <c r="L32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DR within a Wiki</v>
      </c>
      <c r="M32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Wiki SHOULD document a Deployemnt Service Deployment Guide (describing how to invoke the available automation)</v>
      </c>
    </row>
    <row r="330" spans="4:13">
      <c r="D330"/>
      <c r="F330"/>
      <c r="H330">
        <v>0</v>
      </c>
      <c r="I330" t="str" cm="1">
        <f t="array" aca="1" ref="I33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30" t="s">
        <v>2604</v>
      </c>
      <c r="K330" s="10" t="str">
        <f>TRIM(SUBSTITUTE( LEFT(DATA_Requirements[[#This Row],[Path]], FIND("/", SUBSTITUTE( DATA_Requirements[[#This Row],[Path]]," ","/"),1)-1), ".",""))</f>
        <v>Design</v>
      </c>
      <c r="L33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DR within a Wiki</v>
      </c>
      <c r="M33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Wiki SHOULD document a Maintenance Service Disaster Recovery (DR) Plan (describing how to invoke the available idempotent redeployment automation)</v>
      </c>
    </row>
    <row r="331" spans="4:13">
      <c r="D331"/>
      <c r="F331"/>
      <c r="H331">
        <v>0</v>
      </c>
      <c r="I331" t="str" cm="1">
        <f t="array" aca="1" ref="I33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31" t="s">
        <v>2605</v>
      </c>
      <c r="K331" s="10" t="str">
        <f>TRIM(SUBSTITUTE( LEFT(DATA_Requirements[[#This Row],[Path]], FIND("/", SUBSTITUTE( DATA_Requirements[[#This Row],[Path]]," ","/"),1)-1), ".",""))</f>
        <v>Design</v>
      </c>
      <c r="L33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Wiki Git</v>
      </c>
      <c r="M33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using Azure Devops, Wiki MUST be default Wiki (as Git Repository access requires Basic License for all users)</v>
      </c>
    </row>
    <row r="332" spans="4:13">
      <c r="D332"/>
      <c r="F332" s="21"/>
      <c r="H332">
        <v>0</v>
      </c>
      <c r="I332" s="21" t="str" cm="1">
        <f t="array" aca="1" ref="I33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32" s="21" t="s">
        <v>2606</v>
      </c>
      <c r="K332" s="10" t="str">
        <f>TRIM(SUBSTITUTE( LEFT(DATA_Requirements[[#This Row],[Path]], FIND("/", SUBSTITUTE( DATA_Requirements[[#This Row],[Path]]," ","/"),1)-1), ".",""))</f>
        <v>DESIGN</v>
      </c>
      <c r="L33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DOCUMENTATION</v>
      </c>
      <c r="M33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333" spans="4:13">
      <c r="D333"/>
      <c r="F333"/>
      <c r="H333">
        <v>0</v>
      </c>
      <c r="I333" t="str" cm="1">
        <f t="array" aca="1" ref="I33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33" t="s">
        <v>2607</v>
      </c>
      <c r="K333" s="10" t="str">
        <f>TRIM(SUBSTITUTE( LEFT(DATA_Requirements[[#This Row],[Path]], FIND("/", SUBSTITUTE( DATA_Requirements[[#This Row],[Path]]," ","/"),1)-1), ".",""))</f>
        <v>Design</v>
      </c>
      <c r="L33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Developers</v>
      </c>
      <c r="M33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Developers MUST NOT begin development on WorkItems without Test Analysts Adding Acceptance Test Criteria</v>
      </c>
    </row>
    <row r="334" spans="4:13">
      <c r="D334"/>
      <c r="F334"/>
      <c r="H334">
        <v>0</v>
      </c>
      <c r="I334" t="str" cm="1">
        <f t="array" aca="1" ref="I33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34" t="s">
        <v>2608</v>
      </c>
      <c r="K334" s="10" t="str">
        <f>TRIM(SUBSTITUTE( LEFT(DATA_Requirements[[#This Row],[Path]], FIND("/", SUBSTITUTE( DATA_Requirements[[#This Row],[Path]]," ","/"),1)-1), ".",""))</f>
        <v>1047:0000</v>
      </c>
      <c r="L33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Maintainability</v>
      </c>
      <c r="M33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Code Quality</v>
      </c>
    </row>
    <row r="335" spans="4:13">
      <c r="D335"/>
      <c r="F335"/>
      <c r="H335">
        <v>0</v>
      </c>
      <c r="I335" t="str" cm="1">
        <f t="array" aca="1" ref="I33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35" t="s">
        <v>2609</v>
      </c>
      <c r="K335" s="10" t="str">
        <f>TRIM(SUBSTITUTE( LEFT(DATA_Requirements[[#This Row],[Path]], FIND("/", SUBSTITUTE( DATA_Requirements[[#This Row],[Path]]," ","/"),1)-1), ".",""))</f>
        <v>Design</v>
      </c>
      <c r="L33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Developers</v>
      </c>
      <c r="M33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Developers MUST NOT check Configuration Credentials into Code Repositories</v>
      </c>
    </row>
    <row r="336" spans="4:13">
      <c r="D336"/>
      <c r="F336"/>
      <c r="H336">
        <v>0</v>
      </c>
      <c r="I336" t="str" cm="1">
        <f t="array" aca="1" ref="I33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36" t="s">
        <v>2610</v>
      </c>
      <c r="K336" s="10" t="str">
        <f>TRIM(SUBSTITUTE( LEFT(DATA_Requirements[[#This Row],[Path]], FIND("/", SUBSTITUTE( DATA_Requirements[[#This Row],[Path]]," ","/"),1)-1), ".",""))</f>
        <v>Design</v>
      </c>
      <c r="L33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Protect the Repos</v>
      </c>
      <c r="M33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Repositories MUST be protected against checking in of Confidential information (eg: using Branching strategies, policies, scan checks).</v>
      </c>
    </row>
    <row r="337" spans="4:13">
      <c r="D337"/>
      <c r="F337"/>
      <c r="H337">
        <v>0</v>
      </c>
      <c r="I337" t="str" cm="1">
        <f t="array" aca="1" ref="I33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37" t="s">
        <v>2611</v>
      </c>
      <c r="K337" s="10" t="str">
        <f>TRIM(SUBSTITUTE( LEFT(DATA_Requirements[[#This Row],[Path]], FIND("/", SUBSTITUTE( DATA_Requirements[[#This Row],[Path]]," ","/"),1)-1), ".",""))</f>
        <v>Design</v>
      </c>
      <c r="L33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 Provided Repos</v>
      </c>
      <c r="M33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Any Custom or Configuration Automation developed MUST be persisted in the ALM's Repository.</v>
      </c>
    </row>
    <row r="338" spans="4:13">
      <c r="D338"/>
      <c r="F338"/>
      <c r="H338">
        <v>0</v>
      </c>
      <c r="I338" t="str" cm="1">
        <f t="array" aca="1" ref="I33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38" t="s">
        <v>2612</v>
      </c>
      <c r="K338" s="10" t="str">
        <f>TRIM(SUBSTITUTE( LEFT(DATA_Requirements[[#This Row],[Path]], FIND("/", SUBSTITUTE( DATA_Requirements[[#This Row],[Path]]," ","/"),1)-1), ".",""))</f>
        <v>Design</v>
      </c>
      <c r="L33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 the Repo Branching Strategy</v>
      </c>
      <c r="M33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 Organisation endorsed Branching strategy of the ALM's Repository MUST be used to facilitate ongoing support by organisation resources</v>
      </c>
    </row>
    <row r="339" spans="4:13">
      <c r="D339"/>
      <c r="F339"/>
      <c r="H339">
        <v>0</v>
      </c>
      <c r="I339" t="str" cm="1">
        <f t="array" aca="1" ref="I33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39" t="s">
        <v>2613</v>
      </c>
      <c r="K339" s="10" t="str">
        <f>TRIM(SUBSTITUTE( LEFT(DATA_Requirements[[#This Row],[Path]], FIND("/", SUBSTITUTE( DATA_Requirements[[#This Row],[Path]]," ","/"),1)-1), ".",""))</f>
        <v>Design</v>
      </c>
      <c r="L33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DeploymentPipelines</v>
      </c>
      <c r="M33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the system is Configurable, whether Hosted or Not, System Configurations MUST be idempotently deployable via an Deployment Pipeline Step(eg: using APIs)</v>
      </c>
    </row>
    <row r="340" spans="4:13">
      <c r="D340"/>
      <c r="F340"/>
      <c r="H340">
        <v>0</v>
      </c>
      <c r="I340" t="str" cm="1">
        <f t="array" aca="1" ref="I34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40" t="s">
        <v>2614</v>
      </c>
      <c r="K340" s="10" t="str">
        <f>TRIM(SUBSTITUTE( LEFT(DATA_Requirements[[#This Row],[Path]], FIND("/", SUBSTITUTE( DATA_Requirements[[#This Row],[Path]]," ","/"),1)-1), ".",""))</f>
        <v>Design</v>
      </c>
      <c r="L34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DeploymentPipelines</v>
      </c>
      <c r="M34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the system is Hosted, System Packages MUST be idempotently deployable via an Deployment Pipeline.</v>
      </c>
    </row>
    <row r="341" spans="4:13">
      <c r="D341"/>
      <c r="F341"/>
      <c r="H341">
        <v>0</v>
      </c>
      <c r="I341" t="str" cm="1">
        <f t="array" aca="1" ref="I34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41" t="s">
        <v>2615</v>
      </c>
      <c r="K341" s="10" t="str">
        <f>TRIM(SUBSTITUTE( LEFT(DATA_Requirements[[#This Row],[Path]], FIND("/", SUBSTITUTE( DATA_Requirements[[#This Row],[Path]]," ","/"),1)-1), ".",""))</f>
        <v>Design</v>
      </c>
      <c r="L34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InfoService Compilation</v>
      </c>
      <c r="M34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Custom, InfoService System Compilation MUST be a Step within Deployment Pipeline processes</v>
      </c>
    </row>
    <row r="342" spans="4:13">
      <c r="D342"/>
      <c r="F342"/>
      <c r="H342">
        <v>0</v>
      </c>
      <c r="I342" t="str" cm="1">
        <f t="array" aca="1" ref="I34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42" t="s">
        <v>2616</v>
      </c>
      <c r="K342" s="10" t="str">
        <f>TRIM(SUBSTITUTE( LEFT(DATA_Requirements[[#This Row],[Path]], FIND("/", SUBSTITUTE( DATA_Requirements[[#This Row],[Path]]," ","/"),1)-1), ".",""))</f>
        <v>Design</v>
      </c>
      <c r="L34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InfoService Packaging</v>
      </c>
      <c r="M34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Custom, InfoService System Packaging MUST be a Step within Deployment Pipeline processes</v>
      </c>
    </row>
    <row r="343" spans="4:13">
      <c r="D343"/>
      <c r="F343"/>
      <c r="H343">
        <v>0</v>
      </c>
      <c r="I343" t="str" cm="1">
        <f t="array" aca="1" ref="I34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43" t="s">
        <v>2617</v>
      </c>
      <c r="K343" s="10" t="str">
        <f>TRIM(SUBSTITUTE( LEFT(DATA_Requirements[[#This Row],[Path]], FIND("/", SUBSTITUTE( DATA_Requirements[[#This Row],[Path]]," ","/"),1)-1), ".",""))</f>
        <v>Design</v>
      </c>
      <c r="L34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InfoService: UIClient Transcompilation</v>
      </c>
      <c r="M34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Custom, InfoService Client System Compilation MUST be a Step within Deployment Pipeline processes</v>
      </c>
    </row>
    <row r="344" spans="4:13">
      <c r="D344"/>
      <c r="F344"/>
      <c r="H344">
        <v>0</v>
      </c>
      <c r="I344" t="str" cm="1">
        <f t="array" aca="1" ref="I34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44" t="s">
        <v>2618</v>
      </c>
      <c r="K344" s="10" t="str">
        <f>TRIM(SUBSTITUTE( LEFT(DATA_Requirements[[#This Row],[Path]], FIND("/", SUBSTITUTE( DATA_Requirements[[#This Row],[Path]]," ","/"),1)-1), ".",""))</f>
        <v>Design</v>
      </c>
      <c r="L34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Infrastructure Deployment</v>
      </c>
      <c r="M34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Infrastructure MUST be provisioned as an Idempotent Step within Deployment Pipeline processes</v>
      </c>
    </row>
    <row r="345" spans="4:13">
      <c r="D345"/>
      <c r="F345"/>
      <c r="H345">
        <v>0</v>
      </c>
      <c r="I345" t="str" cm="1">
        <f t="array" aca="1" ref="I34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45" t="s">
        <v>2619</v>
      </c>
      <c r="K345" s="10" t="str">
        <f>TRIM(SUBSTITUTE( LEFT(DATA_Requirements[[#This Row],[Path]], FIND("/", SUBSTITUTE( DATA_Requirements[[#This Row],[Path]]," ","/"),1)-1), ".",""))</f>
        <v>Design</v>
      </c>
      <c r="L34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DeploymentPipelines</v>
      </c>
      <c r="M34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Work across local and remote stakeholders within multiple organisations MUST be managed using an ALM's WorkItem Service (Kanban).</v>
      </c>
    </row>
    <row r="346" spans="4:13">
      <c r="D346"/>
      <c r="F346"/>
      <c r="H346">
        <v>0</v>
      </c>
      <c r="I346" t="str" cm="1">
        <f t="array" aca="1" ref="I34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46" t="s">
        <v>2620</v>
      </c>
      <c r="K346" s="10" t="str">
        <f>TRIM(SUBSTITUTE( LEFT(DATA_Requirements[[#This Row],[Path]], FIND("/", SUBSTITUTE( DATA_Requirements[[#This Row],[Path]]," ","/"),1)-1), ".",""))</f>
        <v>Design</v>
      </c>
      <c r="L34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DR Automation Instructions</v>
      </c>
      <c r="M34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Service Providers MUST regularly participate in developing and maintaining usable DR instructions for Maintenance Specialists.</v>
      </c>
    </row>
    <row r="347" spans="4:13">
      <c r="D347"/>
      <c r="F347"/>
      <c r="H347">
        <v>0</v>
      </c>
      <c r="I347" t="str" cm="1">
        <f t="array" aca="1" ref="I34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47" t="s">
        <v>2621</v>
      </c>
      <c r="K347" s="10" t="str">
        <f>TRIM(SUBSTITUTE( LEFT(DATA_Requirements[[#This Row],[Path]], FIND("/", SUBSTITUTE( DATA_Requirements[[#This Row],[Path]]," ","/"),1)-1), ".",""))</f>
        <v>Design</v>
      </c>
      <c r="L34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 Configuration Automation Instructions</v>
      </c>
      <c r="M34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Configurable, Service Providers MUST regularly participate in developing and maintaining usable Service Customization instructions for Deployment Specialists.</v>
      </c>
    </row>
    <row r="348" spans="4:13">
      <c r="D348"/>
      <c r="F348"/>
      <c r="H348">
        <v>0</v>
      </c>
      <c r="I348" t="str" cm="1">
        <f t="array" aca="1" ref="I34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48" t="s">
        <v>2622</v>
      </c>
      <c r="K348" s="10" t="str">
        <f>TRIM(SUBSTITUTE( LEFT(DATA_Requirements[[#This Row],[Path]], FIND("/", SUBSTITUTE( DATA_Requirements[[#This Row],[Path]]," ","/"),1)-1), ".",""))</f>
        <v>Design</v>
      </c>
      <c r="L34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Infrastructure</v>
      </c>
      <c r="M34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Infrastructure Instructions (IaC) MUST be developed for idempotent deployment.</v>
      </c>
    </row>
    <row r="349" spans="4:13">
      <c r="D349"/>
      <c r="F349" s="5"/>
      <c r="H349">
        <v>0</v>
      </c>
      <c r="I349" s="5" t="str" cm="1">
        <f t="array" aca="1" ref="I34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49" s="5" t="s">
        <v>2623</v>
      </c>
      <c r="K349" s="10" t="str">
        <f>TRIM(SUBSTITUTE( LEFT(DATA_Requirements[[#This Row],[Path]], FIND("/", SUBSTITUTE( DATA_Requirements[[#This Row],[Path]]," ","/"),1)-1), ".",""))</f>
        <v>Design</v>
      </c>
      <c r="L34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 Step of the Deployment Process MUST be to query and</v>
      </c>
      <c r="M34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or idempotently update mutable system configuration settings (via APIs or similar)</v>
      </c>
    </row>
    <row r="350" spans="4:13">
      <c r="D350"/>
      <c r="F350"/>
      <c r="H350">
        <v>0</v>
      </c>
      <c r="I350" t="str" cm="1">
        <f t="array" aca="1" ref="I35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50" t="s">
        <v>2624</v>
      </c>
      <c r="K350" s="10" t="str">
        <f>TRIM(SUBSTITUTE( LEFT(DATA_Requirements[[#This Row],[Path]], FIND("/", SUBSTITUTE( DATA_Requirements[[#This Row],[Path]]," ","/"),1)-1), ".",""))</f>
        <v>Design</v>
      </c>
      <c r="L35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Pipeline as Code</v>
      </c>
      <c r="M35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Pipeline MUST be developed using open source Code (versus NoCode or similar)</v>
      </c>
    </row>
    <row r="351" spans="4:13">
      <c r="D351"/>
      <c r="F351"/>
      <c r="H351">
        <v>0</v>
      </c>
      <c r="I351" t="str" cm="1">
        <f t="array" aca="1" ref="I35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51" t="s">
        <v>2625</v>
      </c>
      <c r="K351" s="10" t="str">
        <f>TRIM(SUBSTITUTE( LEFT(DATA_Requirements[[#This Row],[Path]], FIND("/", SUBSTITUTE( DATA_Requirements[[#This Row],[Path]]," ","/"),1)-1), ".",""))</f>
        <v>Design</v>
      </c>
      <c r="L35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Credentials entrusted to Automation only</v>
      </c>
      <c r="M35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Credentials for Infrastructure &amp; Dependency Service MUST be only accessible by the Deployment Service Agent</v>
      </c>
    </row>
    <row r="352" spans="4:13">
      <c r="D352"/>
      <c r="F352"/>
      <c r="H352">
        <v>0</v>
      </c>
      <c r="I352" t="str" cm="1">
        <f t="array" aca="1" ref="I35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52" t="s">
        <v>2626</v>
      </c>
      <c r="K352" s="10" t="str">
        <f>TRIM(SUBSTITUTE( LEFT(DATA_Requirements[[#This Row],[Path]], FIND("/", SUBSTITUTE( DATA_Requirements[[#This Row],[Path]]," ","/"),1)-1), ".",""))</f>
        <v>Design</v>
      </c>
      <c r="L35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Inaccessible Credentials</v>
      </c>
      <c r="M35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Credentials for Infrastructure &amp; Dependency Service Credentials MUST not be accessible to Resources</v>
      </c>
    </row>
    <row r="353" spans="4:13">
      <c r="D353"/>
      <c r="F353" s="5"/>
      <c r="H353">
        <v>0</v>
      </c>
      <c r="I353" s="5" t="str" cm="1">
        <f t="array" aca="1" ref="I35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53" s="5" t="s">
        <v>2627</v>
      </c>
      <c r="K353" s="10" t="str">
        <f>TRIM(SUBSTITUTE( LEFT(DATA_Requirements[[#This Row],[Path]], FIND("/", SUBSTITUTE( DATA_Requirements[[#This Row],[Path]]," ","/"),1)-1), ".",""))</f>
        <v>Design</v>
      </c>
      <c r="L35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Securely Stored Credentials</v>
      </c>
      <c r="M35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Credentials for Infrastructure &amp; Dependency Service MUST be persisted in Secure Storage</v>
      </c>
    </row>
    <row r="354" spans="4:13">
      <c r="D354"/>
      <c r="F354" s="21"/>
      <c r="H354">
        <v>0</v>
      </c>
      <c r="I354" s="21" t="str" cm="1">
        <f t="array" aca="1" ref="I35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54" s="21" t="s">
        <v>2628</v>
      </c>
      <c r="K354" s="10" t="str">
        <f>TRIM(SUBSTITUTE( LEFT(DATA_Requirements[[#This Row],[Path]], FIND("/", SUBSTITUTE( DATA_Requirements[[#This Row],[Path]]," ","/"),1)-1), ".",""))</f>
        <v>DESIGN</v>
      </c>
      <c r="L35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Design: ALM Service</v>
      </c>
      <c r="M35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Design MUST include the use of a ALM suite based collaborative development and delivery environment.</v>
      </c>
    </row>
    <row r="355" spans="4:13">
      <c r="D355"/>
      <c r="F355"/>
      <c r="H355">
        <v>0</v>
      </c>
      <c r="I355" t="str" cm="1">
        <f t="array" aca="1" ref="I35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55" t="s">
        <v>2629</v>
      </c>
      <c r="K355" s="10" t="str">
        <f>TRIM(SUBSTITUTE( LEFT(DATA_Requirements[[#This Row],[Path]], FIND("/", SUBSTITUTE( DATA_Requirements[[#This Row],[Path]]," ","/"),1)-1), ".",""))</f>
        <v>Design</v>
      </c>
      <c r="L35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 Schemas</v>
      </c>
      <c r="M35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System Configuration SHOULD be deployed as an Idempotent Step within Deployment Pipeline processes</v>
      </c>
    </row>
    <row r="356" spans="4:13">
      <c r="D356"/>
      <c r="F356"/>
      <c r="H356">
        <v>0</v>
      </c>
      <c r="I356" t="str" cm="1">
        <f t="array" aca="1" ref="I35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56" t="s">
        <v>2630</v>
      </c>
      <c r="K356" s="10" t="str">
        <f>TRIM(SUBSTITUTE( LEFT(DATA_Requirements[[#This Row],[Path]], FIND("/", SUBSTITUTE( DATA_Requirements[[#This Row],[Path]]," ","/"),1)-1), ".",""))</f>
        <v>Design</v>
      </c>
      <c r="L35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An</v>
      </c>
      <c r="M35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 Organisation Development environment DNS SubDomain Cert must be developed via code (eg: MYAPP.MYDEVORG.TLD)</v>
      </c>
    </row>
    <row r="357" spans="4:13">
      <c r="D357"/>
      <c r="F357"/>
      <c r="H357">
        <v>0</v>
      </c>
      <c r="I357" t="str" cm="1">
        <f t="array" aca="1" ref="I35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57" t="s">
        <v>2631</v>
      </c>
      <c r="K357" s="10" t="str">
        <f>TRIM(SUBSTITUTE( LEFT(DATA_Requirements[[#This Row],[Path]], FIND("/", SUBSTITUTE( DATA_Requirements[[#This Row],[Path]]," ","/"),1)-1), ".",""))</f>
        <v>Design</v>
      </c>
      <c r="L35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An</v>
      </c>
      <c r="M35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 Organisation Production environment DNS SubDomain Cert must be developed via code (eg: MYAPP.MYPRODORG.TLD).</v>
      </c>
    </row>
    <row r="358" spans="4:13">
      <c r="D358"/>
      <c r="F358"/>
      <c r="H358">
        <v>0</v>
      </c>
      <c r="I358" t="str" cm="1">
        <f t="array" aca="1" ref="I35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58" t="s">
        <v>2632</v>
      </c>
      <c r="K358" s="10" t="str">
        <f>TRIM(SUBSTITUTE( LEFT(DATA_Requirements[[#This Row],[Path]], FIND("/", SUBSTITUTE( DATA_Requirements[[#This Row],[Path]]," ","/"),1)-1), ".",""))</f>
        <v>Design</v>
      </c>
      <c r="L35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Infrastructure</v>
      </c>
      <c r="M35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Infrastructure Deployment MUST be developed as Declarative Code (eg: ARM), using Functional Code (eg: PowerShell) sparingly.</v>
      </c>
    </row>
    <row r="359" spans="4:13">
      <c r="D359"/>
      <c r="F359"/>
      <c r="H359">
        <v>0</v>
      </c>
      <c r="I359" t="str" cm="1">
        <f t="array" aca="1" ref="I35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59" t="s">
        <v>2633</v>
      </c>
      <c r="K359" s="10" t="str">
        <f>TRIM(SUBSTITUTE( LEFT(DATA_Requirements[[#This Row],[Path]], FIND("/", SUBSTITUTE( DATA_Requirements[[#This Row],[Path]]," ","/"),1)-1), ".",""))</f>
        <v>Design</v>
      </c>
      <c r="L35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Development</v>
      </c>
      <c r="M35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Development MUST be undertaken with Compiler Warnings set on the Highest Setting to force not accepting Warnings</v>
      </c>
    </row>
    <row r="360" spans="4:13">
      <c r="D360"/>
      <c r="F360"/>
      <c r="H360">
        <v>0</v>
      </c>
      <c r="I360" t="str" cm="1">
        <f t="array" aca="1" ref="I36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60" t="s">
        <v>2634</v>
      </c>
      <c r="K360" s="10" t="str">
        <f>TRIM(SUBSTITUTE( LEFT(DATA_Requirements[[#This Row],[Path]], FIND("/", SUBSTITUTE( DATA_Requirements[[#This Row],[Path]]," ","/"),1)-1), ".",""))</f>
        <v>Design</v>
      </c>
      <c r="L36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HostConfiguration</v>
      </c>
      <c r="M36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HostConfiguration</v>
      </c>
    </row>
    <row r="361" spans="4:13">
      <c r="D361"/>
      <c r="F361"/>
      <c r="H361">
        <v>0</v>
      </c>
      <c r="I361" t="str" cm="1">
        <f t="array" aca="1" ref="I36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61" t="s">
        <v>2635</v>
      </c>
      <c r="K361" s="10" t="str">
        <f>TRIM(SUBSTITUTE( LEFT(DATA_Requirements[[#This Row],[Path]], FIND("/", SUBSTITUTE( DATA_Requirements[[#This Row],[Path]]," ","/"),1)-1), ".",""))</f>
        <v>Design</v>
      </c>
      <c r="L36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DeploymentPipelines</v>
      </c>
      <c r="M36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permitted, QA Dynamic Tests MUST be run within a Deployment Pipeline Step (eg: Acceptance Tests)</v>
      </c>
    </row>
    <row r="362" spans="4:13">
      <c r="D362"/>
      <c r="F362"/>
      <c r="H362">
        <v>0</v>
      </c>
      <c r="I362" t="str" cm="1">
        <f t="array" aca="1" ref="I36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62" t="s">
        <v>2636</v>
      </c>
      <c r="K362" s="10" t="str">
        <f>TRIM(SUBSTITUTE( LEFT(DATA_Requirements[[#This Row],[Path]], FIND("/", SUBSTITUTE( DATA_Requirements[[#This Row],[Path]]," ","/"),1)-1), ".",""))</f>
        <v>Design</v>
      </c>
      <c r="L36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DeploymentPipelines</v>
      </c>
      <c r="M36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the system is Custom, QA Static Tests MUST be run within a Deployment Pipeline Step (eg: Unit Tests)</v>
      </c>
    </row>
    <row r="363" spans="4:13">
      <c r="D363"/>
      <c r="F363"/>
      <c r="H363">
        <v>0</v>
      </c>
      <c r="I363" t="str" cm="1">
        <f t="array" aca="1" ref="I36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63" t="s">
        <v>2637</v>
      </c>
      <c r="K363" s="10" t="str">
        <f>TRIM(SUBSTITUTE( LEFT(DATA_Requirements[[#This Row],[Path]], FIND("/", SUBSTITUTE( DATA_Requirements[[#This Row],[Path]]," ","/"),1)-1), ".",""))</f>
        <v>Design</v>
      </c>
      <c r="L36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QA Automation Instructions</v>
      </c>
      <c r="M36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Service Providers MUST regularly participate in developing and maintaining usable QA development, implementation and running instructions for QA Specialists.</v>
      </c>
    </row>
    <row r="364" spans="4:13">
      <c r="D364"/>
      <c r="F364" s="21"/>
      <c r="H364">
        <v>0</v>
      </c>
      <c r="I364" s="21" t="str" cm="1">
        <f t="array" aca="1" ref="I36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64" s="21" t="s">
        <v>2638</v>
      </c>
      <c r="K364" s="10" t="str">
        <f>TRIM(SUBSTITUTE( LEFT(DATA_Requirements[[#This Row],[Path]], FIND("/", SUBSTITUTE( DATA_Requirements[[#This Row],[Path]]," ","/"),1)-1), ".",""))</f>
        <v>DESIGN</v>
      </c>
      <c r="L36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QAAUTOMATION</v>
      </c>
      <c r="M36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365" spans="4:13">
      <c r="D365"/>
      <c r="F365"/>
      <c r="H365">
        <v>0</v>
      </c>
      <c r="I365" t="str" cm="1">
        <f t="array" aca="1" ref="I36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65" t="s">
        <v>2639</v>
      </c>
      <c r="K365" s="10" t="str">
        <f>TRIM(SUBSTITUTE( LEFT(DATA_Requirements[[#This Row],[Path]], FIND("/", SUBSTITUTE( DATA_Requirements[[#This Row],[Path]]," ","/"),1)-1), ".",""))</f>
        <v>Design</v>
      </c>
      <c r="L36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Behaviour</v>
      </c>
      <c r="M36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Behaviour Tests MUST encode QA knowledge by automation, protecting the project against resource attrition</v>
      </c>
    </row>
    <row r="366" spans="4:13">
      <c r="D366"/>
      <c r="F366"/>
      <c r="H366">
        <v>0</v>
      </c>
      <c r="I366" t="str" cm="1">
        <f t="array" aca="1" ref="I36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66" t="s">
        <v>2640</v>
      </c>
      <c r="K366" s="10" t="str">
        <f>TRIM(SUBSTITUTE( LEFT(DATA_Requirements[[#This Row],[Path]], FIND("/", SUBSTITUTE( DATA_Requirements[[#This Row],[Path]]," ","/"),1)-1), ".",""))</f>
        <v>1047:0000</v>
      </c>
      <c r="L36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Tests</v>
      </c>
      <c r="M36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API Coverage</v>
      </c>
    </row>
    <row r="367" spans="4:13">
      <c r="D367"/>
      <c r="F367"/>
      <c r="H367">
        <v>0</v>
      </c>
      <c r="I367" t="str" cm="1">
        <f t="array" aca="1" ref="I36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67" t="s">
        <v>2641</v>
      </c>
      <c r="K367" s="10" t="str">
        <f>TRIM(SUBSTITUTE( LEFT(DATA_Requirements[[#This Row],[Path]], FIND("/", SUBSTITUTE( DATA_Requirements[[#This Row],[Path]]," ","/"),1)-1), ".",""))</f>
        <v>1047:0000</v>
      </c>
      <c r="L36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Tests</v>
      </c>
      <c r="M36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Code Coverage</v>
      </c>
    </row>
    <row r="368" spans="4:13">
      <c r="D368"/>
      <c r="F368" s="5"/>
      <c r="H368">
        <v>0</v>
      </c>
      <c r="I368" s="5" t="str" cm="1">
        <f t="array" aca="1" ref="I36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68" s="5" t="s">
        <v>2642</v>
      </c>
      <c r="K368" s="10" t="str">
        <f>TRIM(SUBSTITUTE( LEFT(DATA_Requirements[[#This Row],[Path]], FIND("/", SUBSTITUTE( DATA_Requirements[[#This Row],[Path]]," ","/"),1)-1), ".",""))</f>
        <v>Design</v>
      </c>
      <c r="L36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Coverage</v>
      </c>
      <c r="M36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Custom Developed, 100% coverage of InfoService API Endpoints MUST be achieved</v>
      </c>
    </row>
    <row r="369" spans="4:13">
      <c r="D369"/>
      <c r="F369"/>
      <c r="H369">
        <v>0</v>
      </c>
      <c r="I369" t="str" cm="1">
        <f t="array" aca="1" ref="I36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69" t="s">
        <v>2643</v>
      </c>
      <c r="K369" s="10" t="str">
        <f>TRIM(SUBSTITUTE( LEFT(DATA_Requirements[[#This Row],[Path]], FIND("/", SUBSTITUTE( DATA_Requirements[[#This Row],[Path]]," ","/"),1)-1), ".",""))</f>
        <v>Design</v>
      </c>
      <c r="L36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IF</v>
      </c>
      <c r="M36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Custom Developed, QA Testing MUST include Unit Tests of Logic (not Functionality)</v>
      </c>
    </row>
    <row r="370" spans="4:13">
      <c r="D370"/>
      <c r="F370"/>
      <c r="H370">
        <v>0</v>
      </c>
      <c r="I370" t="str" cm="1">
        <f t="array" aca="1" ref="I37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70" t="s">
        <v>2644</v>
      </c>
      <c r="K370" s="10" t="str">
        <f>TRIM(SUBSTITUTE( LEFT(DATA_Requirements[[#This Row],[Path]], FIND("/", SUBSTITUTE( DATA_Requirements[[#This Row],[Path]]," ","/"),1)-1), ".",""))</f>
        <v>Design</v>
      </c>
      <c r="L37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QA Testing</v>
      </c>
      <c r="M37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Custom Developed, QA Automation MUST include Dynamic Functional Acceptance Testing (unless prohibited on SaaS Platforms)</v>
      </c>
    </row>
    <row r="371" spans="4:13">
      <c r="D371"/>
      <c r="F371"/>
      <c r="H371">
        <v>0</v>
      </c>
      <c r="I371" t="str" cm="1">
        <f t="array" aca="1" ref="I37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71" t="s">
        <v>2645</v>
      </c>
      <c r="K371" s="10" t="str">
        <f>TRIM(SUBSTITUTE( LEFT(DATA_Requirements[[#This Row],[Path]], FIND("/", SUBSTITUTE( DATA_Requirements[[#This Row],[Path]]," ","/"),1)-1), ".",""))</f>
        <v>Design</v>
      </c>
      <c r="L37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QA Automation MUST be developed to be run within automated deployment</v>
      </c>
      <c r="M37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delivery Pipelines</v>
      </c>
    </row>
    <row r="372" spans="4:13">
      <c r="D372"/>
      <c r="F372"/>
      <c r="H372">
        <v>0</v>
      </c>
      <c r="I372" t="str" cm="1">
        <f t="array" aca="1" ref="I37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72" t="s">
        <v>2646</v>
      </c>
      <c r="K372" s="10" t="str">
        <f>TRIM(SUBSTITUTE( LEFT(DATA_Requirements[[#This Row],[Path]], FIND("/", SUBSTITUTE( DATA_Requirements[[#This Row],[Path]]," ","/"),1)-1), ".",""))</f>
        <v>Design</v>
      </c>
      <c r="L37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 Schema Deployment</v>
      </c>
      <c r="M37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Data Schemas MUST be deployed as an Idempotent Step within Deployment Pipeline processes</v>
      </c>
    </row>
    <row r="373" spans="4:13">
      <c r="D373"/>
      <c r="F373"/>
      <c r="H373">
        <v>0</v>
      </c>
      <c r="I373" t="str" cm="1">
        <f t="array" aca="1" ref="I37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73" t="s">
        <v>2647</v>
      </c>
      <c r="K373" s="10" t="str">
        <f>TRIM(SUBSTITUTE( LEFT(DATA_Requirements[[#This Row],[Path]], FIND("/", SUBSTITUTE( DATA_Requirements[[#This Row],[Path]]," ","/"),1)-1), ".",""))</f>
        <v>Design</v>
      </c>
      <c r="L37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SEED DATA</v>
      </c>
      <c r="M37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System SEED DATA SHOULD be deployed as an Idempotent Step within Deployment Pipeline processes</v>
      </c>
    </row>
    <row r="374" spans="4:13">
      <c r="D374"/>
      <c r="F374"/>
      <c r="H374">
        <v>0</v>
      </c>
      <c r="I374" t="str" cm="1">
        <f t="array" aca="1" ref="I37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74" t="s">
        <v>2648</v>
      </c>
      <c r="K374" s="10" t="str">
        <f>TRIM(SUBSTITUTE( LEFT(DATA_Requirements[[#This Row],[Path]], FIND("/", SUBSTITUTE( DATA_Requirements[[#This Row],[Path]]," ","/"),1)-1), ".",""))</f>
        <v>Design</v>
      </c>
      <c r="L37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DNS</v>
      </c>
      <c r="M37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DNS subdomains require being registered (MYAPP.MYPRODORG.TLD).</v>
      </c>
    </row>
    <row r="375" spans="4:13">
      <c r="D375"/>
      <c r="F375" s="21"/>
      <c r="H375">
        <v>0</v>
      </c>
      <c r="I375" s="21" t="str" cm="1">
        <f t="array" aca="1" ref="I37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75" s="21" t="s">
        <v>2649</v>
      </c>
      <c r="K375" s="10" t="str">
        <f>TRIM(SUBSTITUTE( LEFT(DATA_Requirements[[#This Row],[Path]], FIND("/", SUBSTITUTE( DATA_Requirements[[#This Row],[Path]]," ","/"),1)-1), ".",""))</f>
        <v>DESIGN</v>
      </c>
      <c r="L37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SERVER</v>
      </c>
      <c r="M37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376" spans="4:13">
      <c r="D376"/>
      <c r="F376"/>
      <c r="H376">
        <v>0</v>
      </c>
      <c r="I376" t="str" cm="1">
        <f t="array" aca="1" ref="I37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76" t="s">
        <v>2650</v>
      </c>
      <c r="K376" s="10" t="str">
        <f>TRIM(SUBSTITUTE( LEFT(DATA_Requirements[[#This Row],[Path]], FIND("/", SUBSTITUTE( DATA_Requirements[[#This Row],[Path]]," ","/"),1)-1), ".",""))</f>
        <v>Design</v>
      </c>
      <c r="L37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RelationalDB</v>
      </c>
      <c r="M37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RelationalDB Service</v>
      </c>
    </row>
    <row r="377" spans="4:13">
      <c r="D377"/>
      <c r="F377"/>
      <c r="H377">
        <v>0</v>
      </c>
      <c r="I377" t="str" cm="1">
        <f t="array" aca="1" ref="I37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77" t="s">
        <v>2651</v>
      </c>
      <c r="K377" s="10" t="str">
        <f>TRIM(SUBSTITUTE( LEFT(DATA_Requirements[[#This Row],[Path]], FIND("/", SUBSTITUTE( DATA_Requirements[[#This Row],[Path]]," ","/"),1)-1), ".",""))</f>
        <v>Design</v>
      </c>
      <c r="L37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Viewing</v>
      </c>
      <c r="M37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Hosted by the Organisation, Support Staff SHOULD be able to review Exceptions to provide answers to Users</v>
      </c>
    </row>
    <row r="378" spans="4:13">
      <c r="D378"/>
      <c r="F378"/>
      <c r="H378">
        <v>0</v>
      </c>
      <c r="I378" t="str" cm="1">
        <f t="array" aca="1" ref="I37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78" t="s">
        <v>2652</v>
      </c>
      <c r="K378" s="10" t="str">
        <f>TRIM(SUBSTITUTE( LEFT(DATA_Requirements[[#This Row],[Path]], FIND("/", SUBSTITUTE( DATA_Requirements[[#This Row],[Path]]," ","/"),1)-1), ".",""))</f>
        <v>Design</v>
      </c>
      <c r="L37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Role Management</v>
      </c>
      <c r="M37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List a Groups Role Assignees</v>
      </c>
    </row>
    <row r="379" spans="4:13">
      <c r="D379"/>
      <c r="F379" s="11"/>
      <c r="H379">
        <v>0</v>
      </c>
      <c r="I379" s="11" t="str" cm="1">
        <f t="array" aca="1" ref="I37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79" s="11" t="s">
        <v>2653</v>
      </c>
      <c r="K379" s="10" t="str">
        <f>TRIM(SUBSTITUTE( LEFT(DATA_Requirements[[#This Row],[Path]], FIND("/", SUBSTITUTE( DATA_Requirements[[#This Row],[Path]]," ","/"),1)-1), ".",""))</f>
        <v>Design</v>
      </c>
      <c r="L37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Management</v>
      </c>
      <c r="M37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provide a means to manage user and group provided media in collections</v>
      </c>
    </row>
    <row r="380" spans="4:13">
      <c r="D380"/>
      <c r="F380"/>
      <c r="H380">
        <v>0</v>
      </c>
      <c r="I380" t="str" cm="1">
        <f t="array" aca="1" ref="I38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80" t="s">
        <v>2654</v>
      </c>
      <c r="K380" s="10" t="str">
        <f>TRIM(SUBSTITUTE( LEFT(DATA_Requirements[[#This Row],[Path]], FIND("/", SUBSTITUTE( DATA_Requirements[[#This Row],[Path]]," ","/"),1)-1), ".",""))</f>
        <v>Design</v>
      </c>
      <c r="L38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Management</v>
      </c>
      <c r="M38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Users can specify what Objects to search</v>
      </c>
    </row>
    <row r="381" spans="4:13">
      <c r="D381"/>
      <c r="F381"/>
      <c r="H381">
        <v>0</v>
      </c>
      <c r="I381" t="str" cm="1">
        <f t="array" aca="1" ref="I38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81" t="s">
        <v>2655</v>
      </c>
      <c r="K381" s="10" t="str">
        <f>TRIM(SUBSTITUTE( LEFT(DATA_Requirements[[#This Row],[Path]], FIND("/", SUBSTITUTE( DATA_Requirements[[#This Row],[Path]]," ","/"),1)-1), ".",""))</f>
        <v>Design</v>
      </c>
      <c r="L38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Management</v>
      </c>
      <c r="M38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Ability to Cancel Sessions</v>
      </c>
    </row>
    <row r="382" spans="4:13">
      <c r="D382"/>
      <c r="F382"/>
      <c r="H382">
        <v>0</v>
      </c>
      <c r="I382" t="str" cm="1">
        <f t="array" aca="1" ref="I38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82" t="s">
        <v>2656</v>
      </c>
      <c r="K382" s="10" t="str">
        <f>TRIM(SUBSTITUTE( LEFT(DATA_Requirements[[#This Row],[Path]], FIND("/", SUBSTITUTE( DATA_Requirements[[#This Row],[Path]]," ","/"),1)-1), ".",""))</f>
        <v>Design</v>
      </c>
      <c r="L38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Operation Management</v>
      </c>
      <c r="M38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List A Users Operations</v>
      </c>
    </row>
    <row r="383" spans="4:13">
      <c r="D383"/>
      <c r="F383"/>
      <c r="H383">
        <v>0</v>
      </c>
      <c r="I383" t="str" cm="1">
        <f t="array" aca="1" ref="I38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83" t="s">
        <v>2657</v>
      </c>
      <c r="K383" s="10" t="str">
        <f>TRIM(SUBSTITUTE( LEFT(DATA_Requirements[[#This Row],[Path]], FIND("/", SUBSTITUTE( DATA_Requirements[[#This Row],[Path]]," ","/"),1)-1), ".",""))</f>
        <v>Design</v>
      </c>
      <c r="L38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System</v>
      </c>
      <c r="M38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System Configuration (Cached from DB) Management</v>
      </c>
    </row>
    <row r="384" spans="4:13">
      <c r="D384"/>
      <c r="F384"/>
      <c r="H384">
        <v>0</v>
      </c>
      <c r="I384" t="str" cm="1">
        <f t="array" aca="1" ref="I38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84" t="s">
        <v>2658</v>
      </c>
      <c r="K384" s="10" t="str">
        <f>TRIM(SUBSTITUTE( LEFT(DATA_Requirements[[#This Row],[Path]], FIND("/", SUBSTITUTE( DATA_Requirements[[#This Row],[Path]]," ","/"),1)-1), ".",""))</f>
        <v>Design</v>
      </c>
      <c r="L38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v>
      </c>
      <c r="M38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 Management</v>
      </c>
    </row>
    <row r="385" spans="4:13">
      <c r="D385"/>
      <c r="F385"/>
      <c r="H385">
        <v>0</v>
      </c>
      <c r="I385" t="str" cm="1">
        <f t="array" aca="1" ref="I38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85" t="s">
        <v>2659</v>
      </c>
      <c r="K385" s="10" t="str">
        <f>TRIM(SUBSTITUTE( LEFT(DATA_Requirements[[#This Row],[Path]], FIND("/", SUBSTITUTE( DATA_Requirements[[#This Row],[Path]]," ","/"),1)-1), ".",""))</f>
        <v>Design</v>
      </c>
      <c r="L38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Validation</v>
      </c>
      <c r="M38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Validation Functionality (see Malware Detection)</v>
      </c>
    </row>
    <row r="386" spans="4:13">
      <c r="D386"/>
      <c r="F386"/>
      <c r="H386">
        <v>0</v>
      </c>
      <c r="I386" t="str" cm="1">
        <f t="array" aca="1" ref="I38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86" t="s">
        <v>2660</v>
      </c>
      <c r="K386" s="10" t="str">
        <f>TRIM(SUBSTITUTE( LEFT(DATA_Requirements[[#This Row],[Path]], FIND("/", SUBSTITUTE( DATA_Requirements[[#This Row],[Path]]," ","/"),1)-1), ".",""))</f>
        <v>Design</v>
      </c>
      <c r="L38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Diagnostics</v>
      </c>
      <c r="M38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Diagnostics Message Logging Functionality</v>
      </c>
    </row>
    <row r="387" spans="4:13">
      <c r="D387"/>
      <c r="F387"/>
      <c r="H387">
        <v>0</v>
      </c>
      <c r="I387" t="str" cm="1">
        <f t="array" aca="1" ref="I38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87" t="s">
        <v>2661</v>
      </c>
      <c r="K387" s="10" t="str">
        <f>TRIM(SUBSTITUTE( LEFT(DATA_Requirements[[#This Row],[Path]], FIND("/", SUBSTITUTE( DATA_Requirements[[#This Row],[Path]]," ","/"),1)-1), ".",""))</f>
        <v>Design</v>
      </c>
      <c r="L38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Interoperability</v>
      </c>
      <c r="M38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SHOULD provide WebHook endpoints to permit 3rd parties signaling events to the system</v>
      </c>
    </row>
    <row r="388" spans="4:13">
      <c r="D388"/>
      <c r="F388"/>
      <c r="H388">
        <v>0</v>
      </c>
      <c r="I388" t="str" cm="1">
        <f t="array" aca="1" ref="I38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88" t="s">
        <v>2662</v>
      </c>
      <c r="K388" s="10" t="str">
        <f>TRIM(SUBSTITUTE( LEFT(DATA_Requirements[[#This Row],[Path]], FIND("/", SUBSTITUTE( DATA_Requirements[[#This Row],[Path]]," ","/"),1)-1), ".",""))</f>
        <v>Design</v>
      </c>
      <c r="L38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38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Authorisation</v>
      </c>
    </row>
    <row r="389" spans="4:13">
      <c r="D389"/>
      <c r="F389"/>
      <c r="H389">
        <v>0</v>
      </c>
      <c r="I389" t="str" cm="1">
        <f t="array" aca="1" ref="I38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89" t="s">
        <v>2663</v>
      </c>
      <c r="K389" s="10" t="str">
        <f>TRIM(SUBSTITUTE( LEFT(DATA_Requirements[[#This Row],[Path]], FIND("/", SUBSTITUTE( DATA_Requirements[[#This Row],[Path]]," ","/"),1)-1), ".",""))</f>
        <v>Design</v>
      </c>
      <c r="L38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38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Configuration Management</v>
      </c>
    </row>
    <row r="390" spans="4:13">
      <c r="D390"/>
      <c r="F390"/>
      <c r="H390">
        <v>0</v>
      </c>
      <c r="I390" t="str" cm="1">
        <f t="array" aca="1" ref="I39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90" t="s">
        <v>2664</v>
      </c>
      <c r="K390" s="10" t="str">
        <f>TRIM(SUBSTITUTE( LEFT(DATA_Requirements[[#This Row],[Path]], FIND("/", SUBSTITUTE( DATA_Requirements[[#This Row],[Path]]," ","/"),1)-1), ".",""))</f>
        <v>Design</v>
      </c>
      <c r="L39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39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Customisation Management</v>
      </c>
    </row>
    <row r="391" spans="4:13">
      <c r="D391"/>
      <c r="F391"/>
      <c r="H391">
        <v>0</v>
      </c>
      <c r="I391" t="str" cm="1">
        <f t="array" aca="1" ref="I39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91" t="s">
        <v>2665</v>
      </c>
      <c r="K391" s="10" t="str">
        <f>TRIM(SUBSTITUTE( LEFT(DATA_Requirements[[#This Row],[Path]], FIND("/", SUBSTITUTE( DATA_Requirements[[#This Row],[Path]]," ","/"),1)-1), ".",""))</f>
        <v>Design</v>
      </c>
      <c r="L39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Exception Record (Permanent) Management</v>
      </c>
      <c r="M39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provide Exception Management Capabilities for Diagnostics purposes</v>
      </c>
    </row>
    <row r="392" spans="4:13">
      <c r="D392"/>
      <c r="F392"/>
      <c r="H392">
        <v>0</v>
      </c>
      <c r="I392" t="str" cm="1">
        <f t="array" aca="1" ref="I39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92" t="s">
        <v>2666</v>
      </c>
      <c r="K392" s="10" t="str">
        <f>TRIM(SUBSTITUTE( LEFT(DATA_Requirements[[#This Row],[Path]], FIND("/", SUBSTITUTE( DATA_Requirements[[#This Row],[Path]]," ","/"),1)-1), ".",""))</f>
        <v>Design</v>
      </c>
      <c r="L39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GroupManagement</v>
      </c>
      <c r="M39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provide Nestable Group Management Capabiligies</v>
      </c>
    </row>
    <row r="393" spans="4:13">
      <c r="D393"/>
      <c r="F393"/>
      <c r="H393">
        <v>0</v>
      </c>
      <c r="I393" t="str" cm="1">
        <f t="array" aca="1" ref="I39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93" t="s">
        <v>2667</v>
      </c>
      <c r="K393" s="10" t="str">
        <f>TRIM(SUBSTITUTE( LEFT(DATA_Requirements[[#This Row],[Path]], FIND("/", SUBSTITUTE( DATA_Requirements[[#This Row],[Path]]," ","/"),1)-1), ".",""))</f>
        <v>Design</v>
      </c>
      <c r="L39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GroupMembershipManagement</v>
      </c>
      <c r="M39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provide duration based Group Role Membership Management</v>
      </c>
    </row>
    <row r="394" spans="4:13">
      <c r="D394"/>
      <c r="F394"/>
      <c r="H394">
        <v>0</v>
      </c>
      <c r="I394" t="str" cm="1">
        <f t="array" aca="1" ref="I39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94" t="s">
        <v>2668</v>
      </c>
      <c r="K394" s="10" t="str">
        <f>TRIM(SUBSTITUTE( LEFT(DATA_Requirements[[#This Row],[Path]], FIND("/", SUBSTITUTE( DATA_Requirements[[#This Row],[Path]]," ","/"),1)-1), ".",""))</f>
        <v>Design</v>
      </c>
      <c r="L39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39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HostManagement</v>
      </c>
    </row>
    <row r="395" spans="4:13">
      <c r="D395"/>
      <c r="F395"/>
      <c r="H395">
        <v>0</v>
      </c>
      <c r="I395" t="str" cm="1">
        <f t="array" aca="1" ref="I39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95" t="s">
        <v>2669</v>
      </c>
      <c r="K395" s="10" t="str">
        <f>TRIM(SUBSTITUTE( LEFT(DATA_Requirements[[#This Row],[Path]], FIND("/", SUBSTITUTE( DATA_Requirements[[#This Row],[Path]]," ","/"),1)-1), ".",""))</f>
        <v>Design</v>
      </c>
      <c r="L39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HostManagement</v>
      </c>
      <c r="M39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provide Host Device ReadOnly Capabilities (to read config settings, etc.)</v>
      </c>
    </row>
    <row r="396" spans="4:13">
      <c r="D396"/>
      <c r="F396"/>
      <c r="H396">
        <v>0</v>
      </c>
      <c r="I396" t="str" cm="1">
        <f t="array" aca="1" ref="I39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96" t="s">
        <v>2670</v>
      </c>
      <c r="K396" s="10" t="str">
        <f>TRIM(SUBSTITUTE( LEFT(DATA_Requirements[[#This Row],[Path]], FIND("/", SUBSTITUTE( DATA_Requirements[[#This Row],[Path]]," ","/"),1)-1), ".",""))</f>
        <v>Design</v>
      </c>
      <c r="L39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NotificationManagement</v>
      </c>
      <c r="M39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provide Dated Duration Notification Management Capabilities (eg: Expected Shutdowns, Covid changes, etc.)</v>
      </c>
    </row>
    <row r="397" spans="4:13">
      <c r="D397"/>
      <c r="F397"/>
      <c r="H397">
        <v>0</v>
      </c>
      <c r="I397" t="str" cm="1">
        <f t="array" aca="1" ref="I39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97" t="s">
        <v>2671</v>
      </c>
      <c r="K397" s="10" t="str">
        <f>TRIM(SUBSTITUTE( LEFT(DATA_Requirements[[#This Row],[Path]], FIND("/", SUBSTITUTE( DATA_Requirements[[#This Row],[Path]]," ","/"),1)-1), ".",""))</f>
        <v>Design</v>
      </c>
      <c r="L39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ReportingManagement</v>
      </c>
      <c r="M39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Abandonment</v>
      </c>
    </row>
    <row r="398" spans="4:13">
      <c r="D398"/>
      <c r="F398"/>
      <c r="H398">
        <v>0</v>
      </c>
      <c r="I398" t="str" cm="1">
        <f t="array" aca="1" ref="I39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98" t="s">
        <v>2672</v>
      </c>
      <c r="K398" s="10" t="str">
        <f>TRIM(SUBSTITUTE( LEFT(DATA_Requirements[[#This Row],[Path]], FIND("/", SUBSTITUTE( DATA_Requirements[[#This Row],[Path]]," ","/"),1)-1), ".",""))</f>
        <v>Design</v>
      </c>
      <c r="L39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ReportingManagement</v>
      </c>
      <c r="M39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Exceptions</v>
      </c>
    </row>
    <row r="399" spans="4:13">
      <c r="D399"/>
      <c r="F399"/>
      <c r="H399">
        <v>0</v>
      </c>
      <c r="I399" t="str" cm="1">
        <f t="array" aca="1" ref="I39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399" t="s">
        <v>2673</v>
      </c>
      <c r="K399" s="10" t="str">
        <f>TRIM(SUBSTITUTE( LEFT(DATA_Requirements[[#This Row],[Path]], FIND("/", SUBSTITUTE( DATA_Requirements[[#This Row],[Path]]," ","/"),1)-1), ".",""))</f>
        <v>Design</v>
      </c>
      <c r="L39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ReportingManagement</v>
      </c>
      <c r="M39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Feedback</v>
      </c>
    </row>
    <row r="400" spans="4:13">
      <c r="D400"/>
      <c r="F400"/>
      <c r="H400">
        <v>0</v>
      </c>
      <c r="I400" t="str" cm="1">
        <f t="array" aca="1" ref="I40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00" t="s">
        <v>2674</v>
      </c>
      <c r="K400" s="10" t="str">
        <f>TRIM(SUBSTITUTE( LEFT(DATA_Requirements[[#This Row],[Path]], FIND("/", SUBSTITUTE( DATA_Requirements[[#This Row],[Path]]," ","/"),1)-1), ".",""))</f>
        <v>Design</v>
      </c>
      <c r="L40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ReportingManagement</v>
      </c>
      <c r="M40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Groups</v>
      </c>
    </row>
    <row r="401" spans="4:13">
      <c r="D401"/>
      <c r="F401"/>
      <c r="H401">
        <v>0</v>
      </c>
      <c r="I401" t="str" cm="1">
        <f t="array" aca="1" ref="I40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01" t="s">
        <v>2675</v>
      </c>
      <c r="K401" s="10" t="str">
        <f>TRIM(SUBSTITUTE( LEFT(DATA_Requirements[[#This Row],[Path]], FIND("/", SUBSTITUTE( DATA_Requirements[[#This Row],[Path]]," ","/"),1)-1), ".",""))</f>
        <v>Design</v>
      </c>
      <c r="L40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ReportingManagement</v>
      </c>
      <c r="M40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Operations</v>
      </c>
    </row>
    <row r="402" spans="4:13">
      <c r="D402"/>
      <c r="F402"/>
      <c r="H402">
        <v>0</v>
      </c>
      <c r="I402" t="str" cm="1">
        <f t="array" aca="1" ref="I40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02" t="s">
        <v>2676</v>
      </c>
      <c r="K402" s="10" t="str">
        <f>TRIM(SUBSTITUTE( LEFT(DATA_Requirements[[#This Row],[Path]], FIND("/", SUBSTITUTE( DATA_Requirements[[#This Row],[Path]]," ","/"),1)-1), ".",""))</f>
        <v>Design</v>
      </c>
      <c r="L40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ReportingManagement</v>
      </c>
      <c r="M40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Traffic</v>
      </c>
    </row>
    <row r="403" spans="4:13">
      <c r="D403"/>
      <c r="F403"/>
      <c r="H403">
        <v>0</v>
      </c>
      <c r="I403" t="str" cm="1">
        <f t="array" aca="1" ref="I40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03" t="s">
        <v>2677</v>
      </c>
      <c r="K403" s="10" t="str">
        <f>TRIM(SUBSTITUTE( LEFT(DATA_Requirements[[#This Row],[Path]], FIND("/", SUBSTITUTE( DATA_Requirements[[#This Row],[Path]]," ","/"),1)-1), ".",""))</f>
        <v>Design</v>
      </c>
      <c r="L40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ReportingManagement</v>
      </c>
      <c r="M40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Users</v>
      </c>
    </row>
    <row r="404" spans="4:13">
      <c r="D404"/>
      <c r="F404"/>
      <c r="H404">
        <v>0</v>
      </c>
      <c r="I404" t="str" cm="1">
        <f t="array" aca="1" ref="I40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04" t="s">
        <v>2678</v>
      </c>
      <c r="K404" s="10" t="str">
        <f>TRIM(SUBSTITUTE( LEFT(DATA_Requirements[[#This Row],[Path]], FIND("/", SUBSTITUTE( DATA_Requirements[[#This Row],[Path]]," ","/"),1)-1), ".",""))</f>
        <v>Design</v>
      </c>
      <c r="L40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ResourcesManagement</v>
      </c>
      <c r="M40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Deletion</v>
      </c>
    </row>
    <row r="405" spans="4:13">
      <c r="D405"/>
      <c r="F405"/>
      <c r="H405">
        <v>0</v>
      </c>
      <c r="I405" t="str" cm="1">
        <f t="array" aca="1" ref="I40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05" t="s">
        <v>2679</v>
      </c>
      <c r="K405" s="10" t="str">
        <f>TRIM(SUBSTITUTE( LEFT(DATA_Requirements[[#This Row],[Path]], FIND("/", SUBSTITUTE( DATA_Requirements[[#This Row],[Path]]," ","/"),1)-1), ".",""))</f>
        <v>Design</v>
      </c>
      <c r="L40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ResourcesManagement</v>
      </c>
      <c r="M40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Media</v>
      </c>
    </row>
    <row r="406" spans="4:13">
      <c r="D406"/>
      <c r="F406"/>
      <c r="H406">
        <v>0</v>
      </c>
      <c r="I406" t="str" cm="1">
        <f t="array" aca="1" ref="I40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06" t="s">
        <v>2680</v>
      </c>
      <c r="K406" s="10" t="str">
        <f>TRIM(SUBSTITUTE( LEFT(DATA_Requirements[[#This Row],[Path]], FIND("/", SUBSTITUTE( DATA_Requirements[[#This Row],[Path]]," ","/"),1)-1), ".",""))</f>
        <v>Design</v>
      </c>
      <c r="L40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ResourcesManagement</v>
      </c>
      <c r="M40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Routing</v>
      </c>
    </row>
    <row r="407" spans="4:13">
      <c r="D407"/>
      <c r="F407"/>
      <c r="H407">
        <v>0</v>
      </c>
      <c r="I407" t="str" cm="1">
        <f t="array" aca="1" ref="I40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07" t="s">
        <v>2681</v>
      </c>
      <c r="K407" s="10" t="str">
        <f>TRIM(SUBSTITUTE( LEFT(DATA_Requirements[[#This Row],[Path]], FIND("/", SUBSTITUTE( DATA_Requirements[[#This Row],[Path]]," ","/"),1)-1), ".",""))</f>
        <v>Design</v>
      </c>
      <c r="L40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ResourcesManagement</v>
      </c>
      <c r="M40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Versioning</v>
      </c>
    </row>
    <row r="408" spans="4:13">
      <c r="D408"/>
      <c r="F408"/>
      <c r="H408">
        <v>0</v>
      </c>
      <c r="I408" t="str" cm="1">
        <f t="array" aca="1" ref="I40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08" t="s">
        <v>2682</v>
      </c>
      <c r="K408" s="10" t="str">
        <f>TRIM(SUBSTITUTE( LEFT(DATA_Requirements[[#This Row],[Path]], FIND("/", SUBSTITUTE( DATA_Requirements[[#This Row],[Path]]," ","/"),1)-1), ".",""))</f>
        <v>Design</v>
      </c>
      <c r="L40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Workflows</v>
      </c>
      <c r="M40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the design requires Workflow Processing, it MUST be capable of handling the following cases: Approvals, Delegations, Escalations</v>
      </c>
    </row>
    <row r="409" spans="4:13">
      <c r="D409"/>
      <c r="F409"/>
      <c r="H409">
        <v>0</v>
      </c>
      <c r="I409" t="str" cm="1">
        <f t="array" aca="1" ref="I40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09" t="s">
        <v>2683</v>
      </c>
      <c r="K409" s="10" t="str">
        <f>TRIM(SUBSTITUTE( LEFT(DATA_Requirements[[#This Row],[Path]], FIND("/", SUBSTITUTE( DATA_Requirements[[#This Row],[Path]]," ","/"),1)-1), ".",""))</f>
        <v>Design</v>
      </c>
      <c r="L40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RolePermission Management</v>
      </c>
      <c r="M40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provide Permission to Role Assignment &amp; Management capabilities</v>
      </c>
    </row>
    <row r="410" spans="4:13">
      <c r="D410"/>
      <c r="F410"/>
      <c r="H410">
        <v>0</v>
      </c>
      <c r="I410" t="str" cm="1">
        <f t="array" aca="1" ref="I41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10" t="s">
        <v>2684</v>
      </c>
      <c r="K410" s="10" t="str">
        <f>TRIM(SUBSTITUTE( LEFT(DATA_Requirements[[#This Row],[Path]], FIND("/", SUBSTITUTE( DATA_Requirements[[#This Row],[Path]]," ","/"),1)-1), ".",""))</f>
        <v>Design</v>
      </c>
      <c r="L41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41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SearchManagement</v>
      </c>
    </row>
    <row r="411" spans="4:13">
      <c r="D411"/>
      <c r="F411"/>
      <c r="H411">
        <v>0</v>
      </c>
      <c r="I411" t="str" cm="1">
        <f t="array" aca="1" ref="I41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11" t="s">
        <v>2685</v>
      </c>
      <c r="K411" s="10" t="str">
        <f>TRIM(SUBSTITUTE( LEFT(DATA_Requirements[[#This Row],[Path]], FIND("/", SUBSTITUTE( DATA_Requirements[[#This Row],[Path]]," ","/"),1)-1), ".",""))</f>
        <v>Design</v>
      </c>
      <c r="L41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41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Stakeholders</v>
      </c>
    </row>
    <row r="412" spans="4:13">
      <c r="D412"/>
      <c r="F412"/>
      <c r="H412">
        <v>0</v>
      </c>
      <c r="I412" t="str" cm="1">
        <f t="array" aca="1" ref="I41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12" t="s">
        <v>2686</v>
      </c>
      <c r="K412" s="10" t="str">
        <f>TRIM(SUBSTITUTE( LEFT(DATA_Requirements[[#This Row],[Path]], FIND("/", SUBSTITUTE( DATA_Requirements[[#This Row],[Path]]," ","/"),1)-1), ".",""))</f>
        <v>Design</v>
      </c>
      <c r="L41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41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SystemManagement</v>
      </c>
    </row>
    <row r="413" spans="4:13">
      <c r="D413"/>
      <c r="F413"/>
      <c r="H413">
        <v>0</v>
      </c>
      <c r="I413" t="str" cm="1">
        <f t="array" aca="1" ref="I41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13" t="s">
        <v>2687</v>
      </c>
      <c r="K413" s="10" t="str">
        <f>TRIM(SUBSTITUTE( LEFT(DATA_Requirements[[#This Row],[Path]], FIND("/", SUBSTITUTE( DATA_Requirements[[#This Row],[Path]]," ","/"),1)-1), ".",""))</f>
        <v>Design</v>
      </c>
      <c r="L41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1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validate User Input Media for Malware before changing sate</v>
      </c>
    </row>
    <row r="414" spans="4:13">
      <c r="D414"/>
      <c r="F414"/>
      <c r="H414">
        <v>0</v>
      </c>
      <c r="I414" t="str" cm="1">
        <f t="array" aca="1" ref="I41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14" t="s">
        <v>2688</v>
      </c>
      <c r="K414" s="10" t="str">
        <f>TRIM(SUBSTITUTE( LEFT(DATA_Requirements[[#This Row],[Path]], FIND("/", SUBSTITUTE( DATA_Requirements[[#This Row],[Path]]," ","/"),1)-1), ".",""))</f>
        <v>Design</v>
      </c>
      <c r="L41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Correctness</v>
      </c>
      <c r="M41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 Money Types for persisting Currency Attributes</v>
      </c>
    </row>
    <row r="415" spans="4:13">
      <c r="D415"/>
      <c r="F415"/>
      <c r="H415">
        <v>0</v>
      </c>
      <c r="I415" t="str" cm="1">
        <f t="array" aca="1" ref="I41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15" t="s">
        <v>2689</v>
      </c>
      <c r="K415" s="10" t="str">
        <f>TRIM(SUBSTITUTE( LEFT(DATA_Requirements[[#This Row],[Path]], FIND("/", SUBSTITUTE( DATA_Requirements[[#This Row],[Path]]," ","/"),1)-1), ".",""))</f>
        <v>Design</v>
      </c>
      <c r="L41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Coexistence</v>
      </c>
      <c r="M41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MUST NOT require dedicating a whole server device</v>
      </c>
    </row>
    <row r="416" spans="4:13">
      <c r="D416"/>
      <c r="F416"/>
      <c r="H416">
        <v>0</v>
      </c>
      <c r="I416" t="str" cm="1">
        <f t="array" aca="1" ref="I41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16" t="s">
        <v>2690</v>
      </c>
      <c r="K416" s="10" t="str">
        <f>TRIM(SUBSTITUTE( LEFT(DATA_Requirements[[#This Row],[Path]], FIND("/", SUBSTITUTE( DATA_Requirements[[#This Row],[Path]]," ","/"),1)-1), ".",""))</f>
        <v>Design</v>
      </c>
      <c r="L41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41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 OperationQueue Service MUST be provided to queue Operations for async execution</v>
      </c>
    </row>
    <row r="417" spans="4:13">
      <c r="D417"/>
      <c r="F417"/>
      <c r="H417">
        <v>0</v>
      </c>
      <c r="I417" t="str" cm="1">
        <f t="array" aca="1" ref="I41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17" t="s">
        <v>2691</v>
      </c>
      <c r="K417" s="10" t="str">
        <f>TRIM(SUBSTITUTE( LEFT(DATA_Requirements[[#This Row],[Path]], FIND("/", SUBSTITUTE( DATA_Requirements[[#This Row],[Path]]," ","/"),1)-1), ".",""))</f>
        <v>Design</v>
      </c>
      <c r="L41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41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Authentication</v>
      </c>
    </row>
    <row r="418" spans="4:13">
      <c r="D418"/>
      <c r="F418"/>
      <c r="H418">
        <v>0</v>
      </c>
      <c r="I418" t="str" cm="1">
        <f t="array" aca="1" ref="I41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18" t="s">
        <v>2692</v>
      </c>
      <c r="K418" s="10" t="str">
        <f>TRIM(SUBSTITUTE( LEFT(DATA_Requirements[[#This Row],[Path]], FIND("/", SUBSTITUTE( DATA_Requirements[[#This Row],[Path]]," ","/"),1)-1), ".",""))</f>
        <v>Design</v>
      </c>
      <c r="L41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Blob Storage</v>
      </c>
      <c r="M41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Blob Storage Management Service MUST be provided to support storing media without reliance on the host's File System.</v>
      </c>
    </row>
    <row r="419" spans="4:13">
      <c r="D419"/>
      <c r="F419"/>
      <c r="H419">
        <v>0</v>
      </c>
      <c r="I419" t="str" cm="1">
        <f t="array" aca="1" ref="I41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19" t="s">
        <v>2693</v>
      </c>
      <c r="K419" s="10" t="str">
        <f>TRIM(SUBSTITUTE( LEFT(DATA_Requirements[[#This Row],[Path]], FIND("/", SUBSTITUTE( DATA_Requirements[[#This Row],[Path]]," ","/"),1)-1), ".",""))</f>
        <v>Design</v>
      </c>
      <c r="L41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Cache Service</v>
      </c>
      <c r="M41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Shared Cache Management Service MUST be provided</v>
      </c>
    </row>
    <row r="420" spans="4:13">
      <c r="D420"/>
      <c r="F420"/>
      <c r="H420">
        <v>0</v>
      </c>
      <c r="I420" t="str" cm="1">
        <f t="array" aca="1" ref="I42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20" t="s">
        <v>2694</v>
      </c>
      <c r="K420" s="10" t="str">
        <f>TRIM(SUBSTITUTE( LEFT(DATA_Requirements[[#This Row],[Path]], FIND("/", SUBSTITUTE( DATA_Requirements[[#This Row],[Path]]," ","/"),1)-1), ".",""))</f>
        <v>Design</v>
      </c>
      <c r="L42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Context</v>
      </c>
      <c r="M42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Location Service MUST be provided, to permit Location based automatic customisation</v>
      </c>
    </row>
    <row r="421" spans="4:13">
      <c r="D421"/>
      <c r="F421"/>
      <c r="H421">
        <v>0</v>
      </c>
      <c r="I421" t="str" cm="1">
        <f t="array" aca="1" ref="I42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21" t="s">
        <v>2695</v>
      </c>
      <c r="K421" s="10" t="str">
        <f>TRIM(SUBSTITUTE( LEFT(DATA_Requirements[[#This Row],[Path]], FIND("/", SUBSTITUTE( DATA_Requirements[[#This Row],[Path]]," ","/"),1)-1), ".",""))</f>
        <v>Design</v>
      </c>
      <c r="L42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Doc Storage</v>
      </c>
      <c r="M42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Doc DB Management Service MUST be provided to support no-sql, indexed organised document storage</v>
      </c>
    </row>
    <row r="422" spans="4:13">
      <c r="D422"/>
      <c r="F422"/>
      <c r="H422">
        <v>0</v>
      </c>
      <c r="I422" t="str" cm="1">
        <f t="array" aca="1" ref="I42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22" t="s">
        <v>2696</v>
      </c>
      <c r="K422" s="10" t="str">
        <f>TRIM(SUBSTITUTE( LEFT(DATA_Requirements[[#This Row],[Path]], FIND("/", SUBSTITUTE( DATA_Requirements[[#This Row],[Path]]," ","/"),1)-1), ".",""))</f>
        <v>Design</v>
      </c>
      <c r="L42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Graph Storage</v>
      </c>
      <c r="M42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Graph DB Management Service MUST be provided to support relating Resources</v>
      </c>
    </row>
    <row r="423" spans="4:13">
      <c r="D423"/>
      <c r="F423"/>
      <c r="H423">
        <v>0</v>
      </c>
      <c r="I423" t="str" cm="1">
        <f t="array" aca="1" ref="I42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23" t="s">
        <v>2697</v>
      </c>
      <c r="K423" s="10" t="str">
        <f>TRIM(SUBSTITUTE( LEFT(DATA_Requirements[[#This Row],[Path]], FIND("/", SUBSTITUTE( DATA_Requirements[[#This Row],[Path]]," ","/"),1)-1), ".",""))</f>
        <v>Design</v>
      </c>
      <c r="L42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42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Local Device Cache Management</v>
      </c>
    </row>
    <row r="424" spans="4:13">
      <c r="D424"/>
      <c r="F424"/>
      <c r="H424">
        <v>0</v>
      </c>
      <c r="I424" t="str" cm="1">
        <f t="array" aca="1" ref="I42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24" t="s">
        <v>2698</v>
      </c>
      <c r="K424" s="10" t="str">
        <f>TRIM(SUBSTITUTE( LEFT(DATA_Requirements[[#This Row],[Path]], FIND("/", SUBSTITUTE( DATA_Requirements[[#This Row],[Path]]," ","/"),1)-1), ".",""))</f>
        <v>Design</v>
      </c>
      <c r="L42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v>
      </c>
      <c r="M42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MalwareDetection Management Service MUST be provided to validate uploaded Media to be persisted in Blob Storage</v>
      </c>
    </row>
    <row r="425" spans="4:13">
      <c r="D425"/>
      <c r="F425"/>
      <c r="H425">
        <v>0</v>
      </c>
      <c r="I425" t="str" cm="1">
        <f t="array" aca="1" ref="I42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25" t="s">
        <v>2699</v>
      </c>
      <c r="K425" s="10" t="str">
        <f>TRIM(SUBSTITUTE( LEFT(DATA_Requirements[[#This Row],[Path]], FIND("/", SUBSTITUTE( DATA_Requirements[[#This Row],[Path]]," ","/"),1)-1), ".",""))</f>
        <v>Design</v>
      </c>
      <c r="L42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PubSub</v>
      </c>
      <c r="M42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PubSub Management Service MUST be provided to support immediate, efficient communication between server and client devices</v>
      </c>
    </row>
    <row r="426" spans="4:13">
      <c r="D426"/>
      <c r="F426"/>
      <c r="H426">
        <v>0</v>
      </c>
      <c r="I426" t="str" cm="1">
        <f t="array" aca="1" ref="I42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26" t="s">
        <v>2700</v>
      </c>
      <c r="K426" s="10" t="str">
        <f>TRIM(SUBSTITUTE( LEFT(DATA_Requirements[[#This Row],[Path]], FIND("/", SUBSTITUTE( DATA_Requirements[[#This Row],[Path]]," ","/"),1)-1), ".",""))</f>
        <v>Design</v>
      </c>
      <c r="L42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RDMS Storage</v>
      </c>
      <c r="M42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Relational DB Management Service MUST be provided to support a Generic Repository Service</v>
      </c>
    </row>
    <row r="427" spans="4:13">
      <c r="D427"/>
      <c r="F427"/>
      <c r="H427">
        <v>0</v>
      </c>
      <c r="I427" t="str" cm="1">
        <f t="array" aca="1" ref="I42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27" t="s">
        <v>2701</v>
      </c>
      <c r="K427" s="10" t="str">
        <f>TRIM(SUBSTITUTE( LEFT(DATA_Requirements[[#This Row],[Path]], FIND("/", SUBSTITUTE( DATA_Requirements[[#This Row],[Path]]," ","/"),1)-1), ".",""))</f>
        <v>Design</v>
      </c>
      <c r="L42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Repository Service</v>
      </c>
      <c r="M42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Generic Repository Service MUST be provided to facilitate data access development</v>
      </c>
    </row>
    <row r="428" spans="4:13">
      <c r="D428"/>
      <c r="F428"/>
      <c r="H428">
        <v>0</v>
      </c>
      <c r="I428" t="str" cm="1">
        <f t="array" aca="1" ref="I42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28" t="s">
        <v>2702</v>
      </c>
      <c r="K428" s="10" t="str">
        <f>TRIM(SUBSTITUTE( LEFT(DATA_Requirements[[#This Row],[Path]], FIND("/", SUBSTITUTE( DATA_Requirements[[#This Row],[Path]]," ","/"),1)-1), ".",""))</f>
        <v>Design</v>
      </c>
      <c r="L42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Rule Service</v>
      </c>
      <c r="M42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3rd party Rule Engine Service MUST be used if Rule Processing becomes required</v>
      </c>
    </row>
    <row r="429" spans="4:13">
      <c r="D429"/>
      <c r="F429"/>
      <c r="H429">
        <v>0</v>
      </c>
      <c r="I429" t="str" cm="1">
        <f t="array" aca="1" ref="I42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29" t="s">
        <v>2703</v>
      </c>
      <c r="K429" s="10" t="str">
        <f>TRIM(SUBSTITUTE( LEFT(DATA_Requirements[[#This Row],[Path]], FIND("/", SUBSTITUTE( DATA_Requirements[[#This Row],[Path]]," ","/"),1)-1), ".",""))</f>
        <v>Design</v>
      </c>
      <c r="L42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Search Service</v>
      </c>
      <c r="M42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3rd party Search Service MUST be used to facilitate indexing and Discovery of Non-Public Resources</v>
      </c>
    </row>
    <row r="430" spans="4:13">
      <c r="D430"/>
      <c r="F430"/>
      <c r="H430">
        <v>0</v>
      </c>
      <c r="I430" t="str" cm="1">
        <f t="array" aca="1" ref="I43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30" t="s">
        <v>2704</v>
      </c>
      <c r="K430" s="10" t="str">
        <f>TRIM(SUBSTITUTE( LEFT(DATA_Requirements[[#This Row],[Path]], FIND("/", SUBSTITUTE( DATA_Requirements[[#This Row],[Path]]," ","/"),1)-1), ".",""))</f>
        <v>Design</v>
      </c>
      <c r="L43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UserPermissionDelegationManagement</v>
      </c>
      <c r="M43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MUST be capable of assigning Permissions to Users via Roles, while providing a means of adding or removing specific Permissions</v>
      </c>
    </row>
    <row r="431" spans="4:13">
      <c r="D431"/>
      <c r="F431"/>
      <c r="H431">
        <v>0</v>
      </c>
      <c r="I431" t="str" cm="1">
        <f t="array" aca="1" ref="I43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31" t="s">
        <v>2705</v>
      </c>
      <c r="K431" s="10" t="str">
        <f>TRIM(SUBSTITUTE( LEFT(DATA_Requirements[[#This Row],[Path]], FIND("/", SUBSTITUTE( DATA_Requirements[[#This Row],[Path]]," ","/"),1)-1), ".",""))</f>
        <v>Design</v>
      </c>
      <c r="L43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Workflow Service</v>
      </c>
      <c r="M43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3rd party Workflow Service MUST be used, if Escalation, etc.Workflows are required</v>
      </c>
    </row>
    <row r="432" spans="4:13">
      <c r="D432"/>
      <c r="F432"/>
      <c r="H432">
        <v>0</v>
      </c>
      <c r="I432" t="str" cm="1">
        <f t="array" aca="1" ref="I43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32" t="s">
        <v>2706</v>
      </c>
      <c r="K432" s="10" t="str">
        <f>TRIM(SUBSTITUTE( LEFT(DATA_Requirements[[#This Row],[Path]], FIND("/", SUBSTITUTE( DATA_Requirements[[#This Row],[Path]]," ","/"),1)-1), ".",""))</f>
        <v>Design</v>
      </c>
      <c r="L43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Configuration</v>
      </c>
      <c r="M43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Configuration</v>
      </c>
    </row>
    <row r="433" spans="4:13">
      <c r="D433"/>
      <c r="F433"/>
      <c r="H433">
        <v>0</v>
      </c>
      <c r="I433" t="str" cm="1">
        <f t="array" aca="1" ref="I43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33" t="s">
        <v>2707</v>
      </c>
      <c r="K433" s="10" t="str">
        <f>TRIM(SUBSTITUTE( LEFT(DATA_Requirements[[#This Row],[Path]], FIND("/", SUBSTITUTE( DATA_Requirements[[#This Row],[Path]]," ","/"),1)-1), ".",""))</f>
        <v>Design</v>
      </c>
      <c r="L43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Using</v>
      </c>
      <c r="M43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Using Standard Schemas &amp; Attributes</v>
      </c>
    </row>
    <row r="434" spans="4:13">
      <c r="D434"/>
      <c r="F434"/>
      <c r="H434">
        <v>0</v>
      </c>
      <c r="I434" t="str" cm="1">
        <f t="array" aca="1" ref="I43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34" t="s">
        <v>2708</v>
      </c>
      <c r="K434" s="10" t="str">
        <f>TRIM(SUBSTITUTE( LEFT(DATA_Requirements[[#This Row],[Path]], FIND("/", SUBSTITUTE( DATA_Requirements[[#This Row],[Path]]," ","/"),1)-1), ".",""))</f>
        <v>Design</v>
      </c>
      <c r="L43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Reporting</v>
      </c>
      <c r="M43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Reporting</v>
      </c>
    </row>
    <row r="435" spans="4:13">
      <c r="D435"/>
      <c r="F435"/>
      <c r="H435">
        <v>0</v>
      </c>
      <c r="I435" t="str" cm="1">
        <f t="array" aca="1" ref="I43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35" t="s">
        <v>2709</v>
      </c>
      <c r="K435" s="10" t="str">
        <f>TRIM(SUBSTITUTE( LEFT(DATA_Requirements[[#This Row],[Path]], FIND("/", SUBSTITUTE( DATA_Requirements[[#This Row],[Path]]," ","/"),1)-1), ".",""))</f>
        <v>Design</v>
      </c>
      <c r="L43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v>
      </c>
      <c r="M43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 of a separate Database</v>
      </c>
    </row>
    <row r="436" spans="4:13">
      <c r="D436"/>
      <c r="F436"/>
      <c r="H436">
        <v>0</v>
      </c>
      <c r="I436" t="str" cm="1">
        <f t="array" aca="1" ref="I43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36" t="s">
        <v>2710</v>
      </c>
      <c r="K436" s="10" t="str">
        <f>TRIM(SUBSTITUTE( LEFT(DATA_Requirements[[#This Row],[Path]], FIND("/", SUBSTITUTE( DATA_Requirements[[#This Row],[Path]]," ","/"),1)-1), ".",""))</f>
        <v>Design</v>
      </c>
      <c r="L43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v>
      </c>
      <c r="M43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Data MUST be exportable to the organisation Data Warehouse</v>
      </c>
    </row>
    <row r="437" spans="4:13">
      <c r="D437"/>
      <c r="F437"/>
      <c r="H437">
        <v>0</v>
      </c>
      <c r="I437" t="str" cm="1">
        <f t="array" aca="1" ref="I43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37" t="s">
        <v>2711</v>
      </c>
      <c r="K437" s="10" t="str">
        <f>TRIM(SUBSTITUTE( LEFT(DATA_Requirements[[#This Row],[Path]], FIND("/", SUBSTITUTE( DATA_Requirements[[#This Row],[Path]]," ","/"),1)-1), ".",""))</f>
        <v>Design</v>
      </c>
      <c r="L43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IF</v>
      </c>
      <c r="M43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the design requires authenticating API service clients, OAuth MUST be usable</v>
      </c>
    </row>
    <row r="438" spans="4:13">
      <c r="D438"/>
      <c r="F438"/>
      <c r="H438">
        <v>0</v>
      </c>
      <c r="I438" t="str" cm="1">
        <f t="array" aca="1" ref="I43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38" t="s">
        <v>2712</v>
      </c>
      <c r="K438" s="10" t="str">
        <f>TRIM(SUBSTITUTE( LEFT(DATA_Requirements[[#This Row],[Path]], FIND("/", SUBSTITUTE( DATA_Requirements[[#This Row],[Path]]," ","/"),1)-1), ".",""))</f>
        <v>Design</v>
      </c>
      <c r="L43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3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capable of supporting OIDC to authenticate service client users</v>
      </c>
    </row>
    <row r="439" spans="4:13">
      <c r="D439"/>
      <c r="F439"/>
      <c r="H439">
        <v>0</v>
      </c>
      <c r="I439" t="str" cm="1">
        <f t="array" aca="1" ref="I43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39" t="s">
        <v>2713</v>
      </c>
      <c r="K439" s="10" t="str">
        <f>TRIM(SUBSTITUTE( LEFT(DATA_Requirements[[#This Row],[Path]], FIND("/", SUBSTITUTE( DATA_Requirements[[#This Row],[Path]]," ","/"),1)-1), ".",""))</f>
        <v>Design</v>
      </c>
      <c r="L43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3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MAY rely on SAML to authenticate Users and Devices</v>
      </c>
    </row>
    <row r="440" spans="4:13">
      <c r="D440"/>
      <c r="F440"/>
      <c r="H440">
        <v>0</v>
      </c>
      <c r="I440" t="str" cm="1">
        <f t="array" aca="1" ref="I44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40" t="s">
        <v>2714</v>
      </c>
      <c r="K440" s="10" t="str">
        <f>TRIM(SUBSTITUTE( LEFT(DATA_Requirements[[#This Row],[Path]], FIND("/", SUBSTITUTE( DATA_Requirements[[#This Row],[Path]]," ","/"),1)-1), ".",""))</f>
        <v>Design</v>
      </c>
      <c r="L44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4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implement SKIM APIs to permit initial migration of users, groups and permissions</v>
      </c>
    </row>
    <row r="441" spans="4:13">
      <c r="D441"/>
      <c r="F441"/>
      <c r="H441">
        <v>0</v>
      </c>
      <c r="I441" t="str" cm="1">
        <f t="array" aca="1" ref="I44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41" t="s">
        <v>2715</v>
      </c>
      <c r="K441" s="10" t="str">
        <f>TRIM(SUBSTITUTE( LEFT(DATA_Requirements[[#This Row],[Path]], FIND("/", SUBSTITUTE( DATA_Requirements[[#This Row],[Path]]," ","/"),1)-1), ".",""))</f>
        <v>Design</v>
      </c>
      <c r="L44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4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developed using mainstream enterprise grade languages</v>
      </c>
    </row>
    <row r="442" spans="4:13">
      <c r="D442"/>
      <c r="F442"/>
      <c r="H442">
        <v>0</v>
      </c>
      <c r="I442" t="str" cm="1">
        <f t="array" aca="1" ref="I44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42" t="s">
        <v>2716</v>
      </c>
      <c r="K442" s="10" t="str">
        <f>TRIM(SUBSTITUTE( LEFT(DATA_Requirements[[#This Row],[Path]], FIND("/", SUBSTITUTE( DATA_Requirements[[#This Row],[Path]]," ","/"),1)-1), ".",""))</f>
        <v>Design</v>
      </c>
      <c r="L44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v>
      </c>
      <c r="M44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 languages that are executable on Linux and Windows</v>
      </c>
    </row>
    <row r="443" spans="4:13">
      <c r="D443"/>
      <c r="F443"/>
      <c r="H443">
        <v>0</v>
      </c>
      <c r="I443" t="str" cm="1">
        <f t="array" aca="1" ref="I44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43" t="s">
        <v>2717</v>
      </c>
      <c r="K443" s="10" t="str">
        <f>TRIM(SUBSTITUTE( LEFT(DATA_Requirements[[#This Row],[Path]], FIND("/", SUBSTITUTE( DATA_Requirements[[#This Row],[Path]]," ","/"),1)-1), ".",""))</f>
        <v>Design</v>
      </c>
      <c r="L44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mainstream development frameworks</v>
      </c>
      <c r="M44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Development MUST be on mainstream development frameworks</v>
      </c>
    </row>
    <row r="444" spans="4:13">
      <c r="D444"/>
      <c r="F444"/>
      <c r="H444">
        <v>0</v>
      </c>
      <c r="I444" t="str" cm="1">
        <f t="array" aca="1" ref="I44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44" t="s">
        <v>2718</v>
      </c>
      <c r="K444" s="10" t="str">
        <f>TRIM(SUBSTITUTE( LEFT(DATA_Requirements[[#This Row],[Path]], FIND("/", SUBSTITUTE( DATA_Requirements[[#This Row],[Path]]," ","/"),1)-1), ".",""))</f>
        <v>Design</v>
      </c>
      <c r="L44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Capabilities</v>
      </c>
      <c r="M44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audit operations of authenticated users who change state</v>
      </c>
    </row>
    <row r="445" spans="4:13">
      <c r="D445"/>
      <c r="F445"/>
      <c r="H445">
        <v>0</v>
      </c>
      <c r="I445" t="str" cm="1">
        <f t="array" aca="1" ref="I44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45" t="s">
        <v>2719</v>
      </c>
      <c r="K445" s="10" t="str">
        <f>TRIM(SUBSTITUTE( LEFT(DATA_Requirements[[#This Row],[Path]], FIND("/", SUBSTITUTE( DATA_Requirements[[#This Row],[Path]]," ","/"),1)-1), ".",""))</f>
        <v>Design</v>
      </c>
      <c r="L44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Capabilities</v>
      </c>
      <c r="M44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audit operations of unauthenticated users as well as authenticated users</v>
      </c>
    </row>
    <row r="446" spans="4:13">
      <c r="D446"/>
      <c r="F446"/>
      <c r="H446">
        <v>0</v>
      </c>
      <c r="I446" t="str" cm="1">
        <f t="array" aca="1" ref="I44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46" t="s">
        <v>2720</v>
      </c>
      <c r="K446" s="10" t="str">
        <f>TRIM(SUBSTITUTE( LEFT(DATA_Requirements[[#This Row],[Path]], FIND("/", SUBSTITUTE( DATA_Requirements[[#This Row],[Path]]," ","/"),1)-1), ".",""))</f>
        <v>Design</v>
      </c>
      <c r="L44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Management Capabilities</v>
      </c>
      <c r="M44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provide Session Operation Auditing Management Capabilities</v>
      </c>
    </row>
    <row r="447" spans="4:13">
      <c r="D447"/>
      <c r="F447"/>
      <c r="H447">
        <v>0</v>
      </c>
      <c r="I447" t="str" cm="1">
        <f t="array" aca="1" ref="I44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47" t="s">
        <v>2721</v>
      </c>
      <c r="K447" s="10" t="str">
        <f>TRIM(SUBSTITUTE( LEFT(DATA_Requirements[[#This Row],[Path]], FIND("/", SUBSTITUTE( DATA_Requirements[[#This Row],[Path]]," ","/"),1)-1), ".",""))</f>
        <v>Design</v>
      </c>
      <c r="L44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Collecting</v>
      </c>
      <c r="M44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Organisation Managed, the Service MUST capture Diagnostics Messages in a NonPermanent, Rolling manner</v>
      </c>
    </row>
    <row r="448" spans="4:13">
      <c r="D448"/>
      <c r="F448"/>
      <c r="H448">
        <v>0</v>
      </c>
      <c r="I448" t="str" cm="1">
        <f t="array" aca="1" ref="I44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48" t="s">
        <v>2722</v>
      </c>
      <c r="K448" s="10" t="str">
        <f>TRIM(SUBSTITUTE( LEFT(DATA_Requirements[[#This Row],[Path]], FIND("/", SUBSTITUTE( DATA_Requirements[[#This Row],[Path]]," ","/"),1)-1), ".",""))</f>
        <v>Design</v>
      </c>
      <c r="L44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Queryability Capabilities</v>
      </c>
      <c r="M44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Organisation Managed, The Service SHOULD provide Diagnostics Message Querying Capabilities</v>
      </c>
    </row>
    <row r="449" spans="4:13">
      <c r="D449"/>
      <c r="F449"/>
      <c r="H449">
        <v>0</v>
      </c>
      <c r="I449" t="str" cm="1">
        <f t="array" aca="1" ref="I44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49" t="s">
        <v>2723</v>
      </c>
      <c r="K449" s="10" t="str">
        <f>TRIM(SUBSTITUTE( LEFT(DATA_Requirements[[#This Row],[Path]], FIND("/", SUBSTITUTE( DATA_Requirements[[#This Row],[Path]]," ","/"),1)-1), ".",""))</f>
        <v>Design</v>
      </c>
      <c r="L44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Capabilities</v>
      </c>
      <c r="M44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provide Feedback Collection and Management Capabilities</v>
      </c>
    </row>
    <row r="450" spans="4:13">
      <c r="D450"/>
      <c r="F450"/>
      <c r="H450">
        <v>0</v>
      </c>
      <c r="I450" t="str" cm="1">
        <f t="array" aca="1" ref="I45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50" t="s">
        <v>2724</v>
      </c>
      <c r="K450" s="10" t="str">
        <f>TRIM(SUBSTITUTE( LEFT(DATA_Requirements[[#This Row],[Path]], FIND("/", SUBSTITUTE( DATA_Requirements[[#This Row],[Path]]," ","/"),1)-1), ".",""))</f>
        <v>Design</v>
      </c>
      <c r="L45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5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MUST provide capabilities to add, suspend and remove Users from the System</v>
      </c>
    </row>
    <row r="451" spans="4:13">
      <c r="D451"/>
      <c r="F451"/>
      <c r="H451">
        <v>0</v>
      </c>
      <c r="I451" t="str" cm="1">
        <f t="array" aca="1" ref="I45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51" t="s">
        <v>2725</v>
      </c>
      <c r="K451" s="10" t="str">
        <f>TRIM(SUBSTITUTE( LEFT(DATA_Requirements[[#This Row],[Path]], FIND("/", SUBSTITUTE( DATA_Requirements[[#This Row],[Path]]," ","/"),1)-1), ".",""))</f>
        <v>Design</v>
      </c>
      <c r="L45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5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Service's Authorisation Mechanisms SHOULD be Permission based, as opposed to only Role based</v>
      </c>
    </row>
    <row r="452" spans="4:13">
      <c r="D452"/>
      <c r="F452"/>
      <c r="H452">
        <v>0</v>
      </c>
      <c r="I452" t="str" cm="1">
        <f t="array" aca="1" ref="I45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52" t="s">
        <v>2726</v>
      </c>
      <c r="K452" s="10" t="str">
        <f>TRIM(SUBSTITUTE( LEFT(DATA_Requirements[[#This Row],[Path]], FIND("/", SUBSTITUTE( DATA_Requirements[[#This Row],[Path]]," ","/"),1)-1), ".",""))</f>
        <v>Design</v>
      </c>
      <c r="L45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45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system Functionality SHOULD be exposed as Authorisable APIs</v>
      </c>
    </row>
    <row r="453" spans="4:13">
      <c r="D453"/>
      <c r="F453"/>
      <c r="H453">
        <v>0</v>
      </c>
      <c r="I453" s="5" t="str" cm="1">
        <f t="array" aca="1" ref="I45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53" s="5" t="s">
        <v>2727</v>
      </c>
      <c r="K453" s="10" t="str">
        <f>TRIM(SUBSTITUTE( LEFT(DATA_Requirements[[#This Row],[Path]], FIND("/", SUBSTITUTE( DATA_Requirements[[#This Row],[Path]]," ","/"),1)-1), ".",""))</f>
        <v>Design</v>
      </c>
      <c r="L45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5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SHOULD record Metrics for Reporting on Traffic,Abandonment, Conversion to Authenticated, Operations, Resource Usage</v>
      </c>
    </row>
    <row r="454" spans="4:13">
      <c r="D454"/>
      <c r="F454"/>
      <c r="H454">
        <v>0</v>
      </c>
      <c r="I454" s="5" t="str" cm="1">
        <f t="array" aca="1" ref="I45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54" s="5" t="s">
        <v>2728</v>
      </c>
      <c r="K454" s="10" t="str">
        <f>TRIM(SUBSTITUTE( LEFT(DATA_Requirements[[#This Row],[Path]], FIND("/", SUBSTITUTE( DATA_Requirements[[#This Row],[Path]]," ","/"),1)-1), ".",""))</f>
        <v>Design</v>
      </c>
      <c r="L45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Storage</v>
      </c>
      <c r="M45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Diagnostics Records SHOULD be persisted to a queryable Blob Storage or similar to not rely on the Host devices file system</v>
      </c>
    </row>
    <row r="455" spans="4:13">
      <c r="D455"/>
      <c r="F455"/>
      <c r="H455">
        <v>0</v>
      </c>
      <c r="I455" s="5" t="str" cm="1">
        <f t="array" aca="1" ref="I45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55" s="5" t="s">
        <v>2729</v>
      </c>
      <c r="K455" s="10" t="str">
        <f>TRIM(SUBSTITUTE( LEFT(DATA_Requirements[[#This Row],[Path]], FIND("/", SUBSTITUTE( DATA_Requirements[[#This Row],[Path]]," ","/"),1)-1), ".",""))</f>
        <v>Design</v>
      </c>
      <c r="L45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Duration</v>
      </c>
      <c r="M45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number of days to persist Diagnostics Tracing SHOULD be configurable</v>
      </c>
    </row>
    <row r="456" spans="4:13">
      <c r="D456"/>
      <c r="F456"/>
      <c r="H456">
        <v>0</v>
      </c>
      <c r="I456" s="5" t="str" cm="1">
        <f t="array" aca="1" ref="I45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56" s="5" t="s">
        <v>2730</v>
      </c>
      <c r="K456" s="10" t="str">
        <f>TRIM(SUBSTITUTE( LEFT(DATA_Requirements[[#This Row],[Path]], FIND("/", SUBSTITUTE( DATA_Requirements[[#This Row],[Path]]," ","/"),1)-1), ".",""))</f>
        <v>Design</v>
      </c>
      <c r="L45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Process</v>
      </c>
      <c r="M45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periodic task SHOULD be developed to clear diagnostics records that are older than a configurable number of days</v>
      </c>
    </row>
    <row r="457" spans="4:13">
      <c r="D457"/>
      <c r="F457"/>
      <c r="H457">
        <v>0</v>
      </c>
      <c r="I457" s="5" t="str" cm="1">
        <f t="array" aca="1" ref="I45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57" s="5" t="s">
        <v>2731</v>
      </c>
      <c r="K457" s="10" t="str">
        <f>TRIM(SUBSTITUTE( LEFT(DATA_Requirements[[#This Row],[Path]], FIND("/", SUBSTITUTE( DATA_Requirements[[#This Row],[Path]]," ","/"),1)-1), ".",""))</f>
        <v>Design</v>
      </c>
      <c r="L45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Level</v>
      </c>
      <c r="M45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level of Diagnostics Tracing to be recorded SHOULD be dynamically configurable without restarting the service</v>
      </c>
    </row>
    <row r="458" spans="4:13">
      <c r="D458"/>
      <c r="F458"/>
      <c r="H458">
        <v>0</v>
      </c>
      <c r="I458" s="5" t="str" cm="1">
        <f t="array" aca="1" ref="I45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58" s="5" t="s">
        <v>2732</v>
      </c>
      <c r="K458" s="10" t="str">
        <f>TRIM(SUBSTITUTE( LEFT(DATA_Requirements[[#This Row],[Path]], FIND("/", SUBSTITUTE( DATA_Requirements[[#This Row],[Path]]," ","/"),1)-1), ".",""))</f>
        <v>Design</v>
      </c>
      <c r="L45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Diagnostics</v>
      </c>
      <c r="M45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Diagnostics Records SHOULD be recorded to a repository that is remotely queryable (in other words, consider a relational or NoSql datastore)</v>
      </c>
    </row>
    <row r="459" spans="4:13">
      <c r="D459"/>
      <c r="F459"/>
      <c r="H459">
        <v>0</v>
      </c>
      <c r="I459" s="5" t="str" cm="1">
        <f t="array" aca="1" ref="I45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59" s="5" t="s">
        <v>2733</v>
      </c>
      <c r="K459" s="10" t="str">
        <f>TRIM(SUBSTITUTE( LEFT(DATA_Requirements[[#This Row],[Path]], FIND("/", SUBSTITUTE( DATA_Requirements[[#This Row],[Path]]," ","/"),1)-1), ".",""))</f>
        <v>Design</v>
      </c>
      <c r="L45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5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be capable of alerting monitoring service specialists to abnormal behaviour</v>
      </c>
    </row>
    <row r="460" spans="4:13">
      <c r="D460"/>
      <c r="F460"/>
      <c r="H460">
        <v>0</v>
      </c>
      <c r="I460" t="str" cm="1">
        <f t="array" aca="1" ref="I46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60" t="s">
        <v>2734</v>
      </c>
      <c r="K460" s="10" t="str">
        <f>TRIM(SUBSTITUTE( LEFT(DATA_Requirements[[#This Row],[Path]], FIND("/", SUBSTITUTE( DATA_Requirements[[#This Row],[Path]]," ","/"),1)-1), ".",""))</f>
        <v>Design</v>
      </c>
      <c r="L46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are Kept Supportable (Updated</v>
      </c>
      <c r="M46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Replaced at least 1 year before expiration)</v>
      </c>
    </row>
    <row r="461" spans="4:13">
      <c r="D461"/>
      <c r="F461"/>
      <c r="H461">
        <v>0</v>
      </c>
      <c r="I461" t="str" cm="1">
        <f t="array" aca="1" ref="I46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61" t="s">
        <v>2735</v>
      </c>
      <c r="K461" s="10" t="str">
        <f>TRIM(SUBSTITUTE( LEFT(DATA_Requirements[[#This Row],[Path]], FIND("/", SUBSTITUTE( DATA_Requirements[[#This Row],[Path]]," ","/"),1)-1), ".",""))</f>
        <v>Design</v>
      </c>
      <c r="L46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Source CodeBase</v>
      </c>
      <c r="M46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Any Custom Code developed for the system MUST be capable of being made available as Open Source without compromising Confidential information</v>
      </c>
    </row>
    <row r="462" spans="4:13">
      <c r="D462"/>
      <c r="F462"/>
      <c r="H462">
        <v>0</v>
      </c>
      <c r="I462" t="str" cm="1">
        <f t="array" aca="1" ref="I46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62" t="s">
        <v>2736</v>
      </c>
      <c r="K462" s="10" t="str">
        <f>TRIM(SUBSTITUTE( LEFT(DATA_Requirements[[#This Row],[Path]], FIND("/", SUBSTITUTE( DATA_Requirements[[#This Row],[Path]]," ","/"),1)-1), ".",""))</f>
        <v>Design</v>
      </c>
      <c r="L46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Source Libraries</v>
      </c>
      <c r="M46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Open Source libraries used in the solution MUST be and remain actively maintained libraries</v>
      </c>
    </row>
    <row r="463" spans="4:13">
      <c r="D463"/>
      <c r="F463"/>
      <c r="H463">
        <v>0</v>
      </c>
      <c r="I463" t="str" cm="1">
        <f t="array" aca="1" ref="I46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63" t="s">
        <v>2737</v>
      </c>
      <c r="K463" s="10" t="str">
        <f>TRIM(SUBSTITUTE( LEFT(DATA_Requirements[[#This Row],[Path]], FIND("/", SUBSTITUTE( DATA_Requirements[[#This Row],[Path]]," ","/"),1)-1), ".",""))</f>
        <v>Design</v>
      </c>
      <c r="L46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on Logical Modules</v>
      </c>
      <c r="M46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should be designed and developed based on Logical Modules, which CAN be developed as physical deployable modules</v>
      </c>
    </row>
    <row r="464" spans="4:13">
      <c r="D464"/>
      <c r="F464"/>
      <c r="H464">
        <v>0</v>
      </c>
      <c r="I464" t="str" cm="1">
        <f t="array" aca="1" ref="I46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64" t="s">
        <v>2738</v>
      </c>
      <c r="K464" s="10" t="str">
        <f>TRIM(SUBSTITUTE( LEFT(DATA_Requirements[[#This Row],[Path]], FIND("/", SUBSTITUTE( DATA_Requirements[[#This Row],[Path]]," ","/"),1)-1), ".",""))</f>
        <v>Design</v>
      </c>
      <c r="L46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by Modules</v>
      </c>
      <c r="M46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MUST be extendable using Physical Deployable Modules</v>
      </c>
    </row>
    <row r="465" spans="4:13">
      <c r="D465"/>
      <c r="F465"/>
      <c r="H465">
        <v>0</v>
      </c>
      <c r="I465" t="str" cm="1">
        <f t="array" aca="1" ref="I46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65" t="s">
        <v>2739</v>
      </c>
      <c r="K465" s="10" t="str">
        <f>TRIM(SUBSTITUTE( LEFT(DATA_Requirements[[#This Row],[Path]], FIND("/", SUBSTITUTE( DATA_Requirements[[#This Row],[Path]]," ","/"),1)-1), ".",""))</f>
        <v>Design</v>
      </c>
      <c r="L46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All</v>
      </c>
      <c r="M46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System Functionality MUST be exposed via Authorisable APIs</v>
      </c>
    </row>
    <row r="466" spans="4:13">
      <c r="D466"/>
      <c r="F466" s="5"/>
      <c r="H466">
        <v>0</v>
      </c>
      <c r="I466" s="5" t="str" cm="1">
        <f t="array" aca="1" ref="I46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66" s="5" t="s">
        <v>2740</v>
      </c>
      <c r="K466" s="10" t="str">
        <f>TRIM(SUBSTITUTE( LEFT(DATA_Requirements[[#This Row],[Path]], FIND("/", SUBSTITUTE( DATA_Requirements[[#This Row],[Path]]," ","/"),1)-1), ".",""))</f>
        <v>Design</v>
      </c>
      <c r="L46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Preference</v>
      </c>
      <c r="M46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Preference for Compiled Languages</v>
      </c>
    </row>
    <row r="467" spans="4:13">
      <c r="D467"/>
      <c r="F467"/>
      <c r="H467">
        <v>0</v>
      </c>
      <c r="I467" t="str" cm="1">
        <f t="array" aca="1" ref="I46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67" t="s">
        <v>2741</v>
      </c>
      <c r="K467" s="10" t="str">
        <f>TRIM(SUBSTITUTE( LEFT(DATA_Requirements[[#This Row],[Path]], FIND("/", SUBSTITUTE( DATA_Requirements[[#This Row],[Path]]," ","/"),1)-1), ".",""))</f>
        <v>Design</v>
      </c>
      <c r="L46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Capacity</v>
      </c>
      <c r="M46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Capacity (concurrent clients)</v>
      </c>
    </row>
    <row r="468" spans="4:13">
      <c r="D468"/>
      <c r="F468" s="5"/>
      <c r="H468">
        <v>0</v>
      </c>
      <c r="I468" s="5" t="str" cm="1">
        <f t="array" aca="1" ref="I46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68" s="5" t="s">
        <v>2742</v>
      </c>
      <c r="K468" s="10" t="str">
        <f>TRIM(SUBSTITUTE( LEFT(DATA_Requirements[[#This Row],[Path]], FIND("/", SUBSTITUTE( DATA_Requirements[[#This Row],[Path]]," ","/"),1)-1), ".",""))</f>
        <v>Design</v>
      </c>
      <c r="L46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Capacity</v>
      </c>
      <c r="M46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Can handle expected number of Records</v>
      </c>
    </row>
    <row r="469" spans="4:13">
      <c r="D469"/>
      <c r="F469" s="5"/>
      <c r="H469">
        <v>0</v>
      </c>
      <c r="I469" s="5" t="str" cm="1">
        <f t="array" aca="1" ref="I46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69" s="5" t="s">
        <v>2743</v>
      </c>
      <c r="K469" s="10" t="str">
        <f>TRIM(SUBSTITUTE( LEFT(DATA_Requirements[[#This Row],[Path]], FIND("/", SUBSTITUTE( DATA_Requirements[[#This Row],[Path]]," ","/"),1)-1), ".",""))</f>
        <v>Design</v>
      </c>
      <c r="L46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Capacity</v>
      </c>
      <c r="M46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Can handle expected number of Users</v>
      </c>
    </row>
    <row r="470" spans="4:13">
      <c r="D470"/>
      <c r="F470"/>
      <c r="H470">
        <v>0</v>
      </c>
      <c r="I470" t="str" cm="1">
        <f t="array" aca="1" ref="I47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70" t="s">
        <v>2744</v>
      </c>
      <c r="K470" s="10" t="str">
        <f>TRIM(SUBSTITUTE( LEFT(DATA_Requirements[[#This Row],[Path]], FIND("/", SUBSTITUTE( DATA_Requirements[[#This Row],[Path]]," ","/"),1)-1), ".",""))</f>
        <v>Design</v>
      </c>
      <c r="L47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Consumer</v>
      </c>
      <c r="M47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Reputation &amp; Trust</v>
      </c>
    </row>
    <row r="471" spans="4:13">
      <c r="D471"/>
      <c r="F471" s="5"/>
      <c r="H471">
        <v>0</v>
      </c>
      <c r="I471" t="str" cm="1">
        <f t="array" aca="1" ref="I47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71" t="s">
        <v>2745</v>
      </c>
      <c r="K471" s="10" t="str">
        <f>TRIM(SUBSTITUTE( LEFT(DATA_Requirements[[#This Row],[Path]], FIND("/", SUBSTITUTE( DATA_Requirements[[#This Row],[Path]]," ","/"),1)-1), ".",""))</f>
        <v>Design</v>
      </c>
      <c r="L47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Environment</v>
      </c>
      <c r="M47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Costs</v>
      </c>
    </row>
    <row r="472" spans="4:13">
      <c r="D472"/>
      <c r="F472" s="5"/>
      <c r="H472">
        <v>0</v>
      </c>
      <c r="I472" t="str" cm="1">
        <f t="array" aca="1" ref="I47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72" t="s">
        <v>2746</v>
      </c>
      <c r="K472" s="10" t="str">
        <f>TRIM(SUBSTITUTE( LEFT(DATA_Requirements[[#This Row],[Path]], FIND("/", SUBSTITUTE( DATA_Requirements[[#This Row],[Path]]," ","/"),1)-1), ".",""))</f>
        <v>Design</v>
      </c>
      <c r="L47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CPU</v>
      </c>
      <c r="M47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No more than 2 CPU Required to meet Availability Targets</v>
      </c>
    </row>
    <row r="473" spans="4:13">
      <c r="D473"/>
      <c r="F473" s="5"/>
      <c r="H473">
        <v>0</v>
      </c>
      <c r="I473" t="str" cm="1">
        <f t="array" aca="1" ref="I47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73" t="s">
        <v>2747</v>
      </c>
      <c r="K473" s="10" t="str">
        <f>TRIM(SUBSTITUTE( LEFT(DATA_Requirements[[#This Row],[Path]], FIND("/", SUBSTITUTE( DATA_Requirements[[#This Row],[Path]]," ","/"),1)-1), ".",""))</f>
        <v>Design</v>
      </c>
      <c r="L47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System</v>
      </c>
      <c r="M47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Devices</v>
      </c>
    </row>
    <row r="474" spans="4:13">
      <c r="D474"/>
      <c r="F474" s="5"/>
      <c r="H474">
        <v>0</v>
      </c>
      <c r="I474" s="5" t="str" cm="1">
        <f t="array" aca="1" ref="I47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74" s="5" t="s">
        <v>2748</v>
      </c>
      <c r="K474" s="10" t="str">
        <f>TRIM(SUBSTITUTE( LEFT(DATA_Requirements[[#This Row],[Path]], FIND("/", SUBSTITUTE( DATA_Requirements[[#This Row],[Path]]," ","/"),1)-1), ".",""))</f>
        <v>Design</v>
      </c>
      <c r="L47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System</v>
      </c>
      <c r="M47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IO</v>
      </c>
    </row>
    <row r="475" spans="4:13">
      <c r="D475"/>
      <c r="F475" s="5"/>
      <c r="H475">
        <v>0</v>
      </c>
      <c r="I475" t="str" cm="1">
        <f t="array" aca="1" ref="I47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75" t="s">
        <v>2749</v>
      </c>
      <c r="K475" s="10" t="str">
        <f>TRIM(SUBSTITUTE( LEFT(DATA_Requirements[[#This Row],[Path]], FIND("/", SUBSTITUTE( DATA_Requirements[[#This Row],[Path]]," ","/"),1)-1), ".",""))</f>
        <v>Design</v>
      </c>
      <c r="L47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Storage</v>
      </c>
      <c r="M47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Dynamically &amp; Sufficiently Expandable</v>
      </c>
    </row>
    <row r="476" spans="4:13">
      <c r="D476"/>
      <c r="F476"/>
      <c r="H476">
        <v>0</v>
      </c>
      <c r="I476" s="5" t="str" cm="1">
        <f t="array" aca="1" ref="I47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76" s="5" t="s">
        <v>2750</v>
      </c>
      <c r="K476" s="10" t="str">
        <f>TRIM(SUBSTITUTE( LEFT(DATA_Requirements[[#This Row],[Path]], FIND("/", SUBSTITUTE( DATA_Requirements[[#This Row],[Path]]," ","/"),1)-1), ".",""))</f>
        <v>Design</v>
      </c>
      <c r="L47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Team</v>
      </c>
      <c r="M47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Effort &amp; Cost</v>
      </c>
    </row>
    <row r="477" spans="4:13">
      <c r="D477"/>
      <c r="F477"/>
      <c r="H477">
        <v>0</v>
      </c>
      <c r="I477" t="str" cm="1">
        <f t="array" aca="1" ref="I47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77" t="s">
        <v>2751</v>
      </c>
      <c r="K477" s="10" t="str">
        <f>TRIM(SUBSTITUTE( LEFT(DATA_Requirements[[#This Row],[Path]], FIND("/", SUBSTITUTE( DATA_Requirements[[#This Row],[Path]]," ","/"),1)-1), ".",""))</f>
        <v>Design</v>
      </c>
      <c r="L47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Throughput</v>
      </c>
      <c r="M47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Throughput (Transactions Completed per)</v>
      </c>
    </row>
    <row r="478" spans="4:13">
      <c r="D478"/>
      <c r="F478" s="5"/>
      <c r="H478">
        <v>0</v>
      </c>
      <c r="I478" t="str" cm="1">
        <f t="array" aca="1" ref="I47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78" t="s">
        <v>2752</v>
      </c>
      <c r="K478" s="10" t="str">
        <f>TRIM(SUBSTITUTE( LEFT(DATA_Requirements[[#This Row],[Path]], FIND("/", SUBSTITUTE( DATA_Requirements[[#This Row],[Path]]," ","/"),1)-1), ".",""))</f>
        <v/>
      </c>
      <c r="L47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7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MUST recover from a User initiated Exception within 600ms</v>
      </c>
    </row>
    <row r="479" spans="4:13">
      <c r="D479"/>
      <c r="F479" s="5"/>
      <c r="H479">
        <v>0</v>
      </c>
      <c r="I479" t="str" cm="1">
        <f t="array" aca="1" ref="I47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79" t="s">
        <v>2753</v>
      </c>
      <c r="K479" s="10" t="str">
        <f>TRIM(SUBSTITUTE( LEFT(DATA_Requirements[[#This Row],[Path]], FIND("/", SUBSTITUTE( DATA_Requirements[[#This Row],[Path]]," ","/"),1)-1), ".",""))</f>
        <v/>
      </c>
      <c r="L47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7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MUST be available to accept another Request from the same User within 600ms</v>
      </c>
    </row>
    <row r="480" spans="4:13">
      <c r="D480"/>
      <c r="F480" s="5"/>
      <c r="H480">
        <v>0</v>
      </c>
      <c r="I480" t="str" cm="1">
        <f t="array" aca="1" ref="I48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80" t="s">
        <v>2754</v>
      </c>
      <c r="K480" s="10" t="str">
        <f>TRIM(SUBSTITUTE( LEFT(DATA_Requirements[[#This Row],[Path]], FIND("/", SUBSTITUTE( DATA_Requirements[[#This Row],[Path]]," ","/"),1)-1), ".",""))</f>
        <v/>
      </c>
      <c r="L48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8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MUST be able to be shut down within 15 seconds</v>
      </c>
    </row>
    <row r="481" spans="4:13">
      <c r="D481"/>
      <c r="F481" s="5"/>
      <c r="H481">
        <v>0</v>
      </c>
      <c r="I481" t="str" cm="1">
        <f t="array" aca="1" ref="I48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81" t="s">
        <v>2755</v>
      </c>
      <c r="K481" s="10" t="str">
        <f>TRIM(SUBSTITUTE( LEFT(DATA_Requirements[[#This Row],[Path]], FIND("/", SUBSTITUTE( DATA_Requirements[[#This Row],[Path]]," ","/"),1)-1), ".",""))</f>
        <v/>
      </c>
      <c r="L48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8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MUST be able to start accepting requests within 30 seconds of startup</v>
      </c>
    </row>
    <row r="482" spans="4:13">
      <c r="D482"/>
      <c r="F482" s="5"/>
      <c r="H482">
        <v>0</v>
      </c>
      <c r="I482" s="5" t="str" cm="1">
        <f t="array" aca="1" ref="I48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82" s="5" t="s">
        <v>2756</v>
      </c>
      <c r="K482" s="10" t="str">
        <f>TRIM(SUBSTITUTE( LEFT(DATA_Requirements[[#This Row],[Path]], FIND("/", SUBSTITUTE( DATA_Requirements[[#This Row],[Path]]," ","/"),1)-1), ".",""))</f>
        <v>Design</v>
      </c>
      <c r="L48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Behaviour</v>
      </c>
      <c r="M48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Transaction Duration</v>
      </c>
    </row>
    <row r="483" spans="4:13">
      <c r="D483"/>
      <c r="F483"/>
      <c r="H483">
        <v>0</v>
      </c>
      <c r="I483" t="str" cm="1">
        <f t="array" aca="1" ref="I48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83" t="s">
        <v>2757</v>
      </c>
      <c r="K483" s="10" t="str">
        <f>TRIM(SUBSTITUTE( LEFT(DATA_Requirements[[#This Row],[Path]], FIND("/", SUBSTITUTE( DATA_Requirements[[#This Row],[Path]]," ","/"),1)-1), ".",""))</f>
        <v>Design</v>
      </c>
      <c r="L48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Adaptability</v>
      </c>
      <c r="M48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Adaptability</v>
      </c>
    </row>
    <row r="484" spans="4:13">
      <c r="D484"/>
      <c r="F484"/>
      <c r="H484">
        <v>0</v>
      </c>
      <c r="I484" t="str" cm="1">
        <f t="array" aca="1" ref="I48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84" t="s">
        <v>2758</v>
      </c>
      <c r="K484" s="10" t="str">
        <f>TRIM(SUBSTITUTE( LEFT(DATA_Requirements[[#This Row],[Path]], FIND("/", SUBSTITUTE( DATA_Requirements[[#This Row],[Path]]," ","/"),1)-1), ".",""))</f>
        <v/>
      </c>
      <c r="L48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Country</v>
      </c>
      <c r="M48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Country MUST be recored in ISO 2 or 3 format</v>
      </c>
    </row>
    <row r="485" spans="4:13">
      <c r="D485"/>
      <c r="F485"/>
      <c r="H485">
        <v>0</v>
      </c>
      <c r="I485" t="str" cm="1">
        <f t="array" aca="1" ref="I48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85" t="s">
        <v>2759</v>
      </c>
      <c r="K485" s="10" t="str">
        <f>TRIM(SUBSTITUTE( LEFT(DATA_Requirements[[#This Row],[Path]], FIND("/", SUBSTITUTE( DATA_Requirements[[#This Row],[Path]]," ","/"),1)-1), ".",""))</f>
        <v/>
      </c>
      <c r="L48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v>
      </c>
      <c r="M48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Data Should be persisted in ISO formats when available</v>
      </c>
    </row>
    <row r="486" spans="4:13">
      <c r="D486"/>
      <c r="F486"/>
      <c r="H486">
        <v>0</v>
      </c>
      <c r="I486" t="str" cm="1">
        <f t="array" aca="1" ref="I48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86" t="s">
        <v>2760</v>
      </c>
      <c r="K486" s="10" t="str">
        <f>TRIM(SUBSTITUTE( LEFT(DATA_Requirements[[#This Row],[Path]], FIND("/", SUBSTITUTE( DATA_Requirements[[#This Row],[Path]]," ","/"),1)-1), ".",""))</f>
        <v/>
      </c>
      <c r="L48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Time</v>
      </c>
      <c r="M48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Time MUST be recorded in UTC</v>
      </c>
    </row>
    <row r="487" spans="4:13">
      <c r="D487"/>
      <c r="F487"/>
      <c r="H487">
        <v>0</v>
      </c>
      <c r="I487" t="str" cm="1">
        <f t="array" aca="1" ref="I48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87" t="s">
        <v>2761</v>
      </c>
      <c r="K487" s="10" t="str">
        <f>TRIM(SUBSTITUTE( LEFT(DATA_Requirements[[#This Row],[Path]], FIND("/", SUBSTITUTE( DATA_Requirements[[#This Row],[Path]]," ","/"),1)-1), ".",""))</f>
        <v/>
      </c>
      <c r="L48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UUIDs</v>
      </c>
      <c r="M48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UUIDs MUST be used for record Primary Keys</v>
      </c>
    </row>
    <row r="488" spans="4:13">
      <c r="D488"/>
      <c r="F488"/>
      <c r="H488">
        <v>0</v>
      </c>
      <c r="I488" t="str" cm="1">
        <f t="array" aca="1" ref="I48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88" t="s">
        <v>2762</v>
      </c>
      <c r="K488" s="10" t="str">
        <f>TRIM(SUBSTITUTE( LEFT(DATA_Requirements[[#This Row],[Path]], FIND("/", SUBSTITUTE( DATA_Requirements[[#This Row],[Path]]," ","/"),1)-1), ".",""))</f>
        <v>Design</v>
      </c>
      <c r="L48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Portability</v>
      </c>
      <c r="M48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HostManagement</v>
      </c>
    </row>
    <row r="489" spans="4:13">
      <c r="D489"/>
      <c r="F489"/>
      <c r="H489">
        <v>0</v>
      </c>
      <c r="I489" t="str" cm="1">
        <f t="array" aca="1" ref="I48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89" t="s">
        <v>2763</v>
      </c>
      <c r="K489" s="10" t="str">
        <f>TRIM(SUBSTITUTE( LEFT(DATA_Requirements[[#This Row],[Path]], FIND("/", SUBSTITUTE( DATA_Requirements[[#This Row],[Path]]," ","/"),1)-1), ".",""))</f>
        <v>Design</v>
      </c>
      <c r="L48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Installability</v>
      </c>
      <c r="M48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Installability</v>
      </c>
    </row>
    <row r="490" spans="4:13">
      <c r="D490"/>
      <c r="F490"/>
      <c r="H490">
        <v>0</v>
      </c>
      <c r="I490" t="str" cm="1">
        <f t="array" aca="1" ref="I49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90" t="s">
        <v>2764</v>
      </c>
      <c r="K490" s="10" t="str">
        <f>TRIM(SUBSTITUTE( LEFT(DATA_Requirements[[#This Row],[Path]], FIND("/", SUBSTITUTE( DATA_Requirements[[#This Row],[Path]]," ","/"),1)-1), ".",""))</f>
        <v>Design</v>
      </c>
      <c r="L49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Multi-Platform</v>
      </c>
      <c r="M49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Multi-Platform Framework</v>
      </c>
    </row>
    <row r="491" spans="4:13">
      <c r="D491"/>
      <c r="F491"/>
      <c r="H491">
        <v>0</v>
      </c>
      <c r="I491" t="str" cm="1">
        <f t="array" aca="1" ref="I49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91" t="s">
        <v>2765</v>
      </c>
      <c r="K491" s="10" t="str">
        <f>TRIM(SUBSTITUTE( LEFT(DATA_Requirements[[#This Row],[Path]], FIND("/", SUBSTITUTE( DATA_Requirements[[#This Row],[Path]]," ","/"),1)-1), ".",""))</f>
        <v>Design</v>
      </c>
      <c r="L49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Multi-Platform</v>
      </c>
      <c r="M49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Multi-Platform Language</v>
      </c>
    </row>
    <row r="492" spans="4:13">
      <c r="D492"/>
      <c r="F492"/>
      <c r="H492">
        <v>0</v>
      </c>
      <c r="I492" t="str" cm="1">
        <f t="array" aca="1" ref="I49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92" t="s">
        <v>2766</v>
      </c>
      <c r="K492" s="10" t="str">
        <f>TRIM(SUBSTITUTE( LEFT(DATA_Requirements[[#This Row],[Path]], FIND("/", SUBSTITUTE( DATA_Requirements[[#This Row],[Path]]," ","/"),1)-1), ".",""))</f>
        <v>Design</v>
      </c>
      <c r="L49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Package</v>
      </c>
      <c r="M49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Package Based Installation</v>
      </c>
    </row>
    <row r="493" spans="4:13">
      <c r="D493"/>
      <c r="F493"/>
      <c r="H493">
        <v>0</v>
      </c>
      <c r="I493" t="str" cm="1">
        <f t="array" aca="1" ref="I49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93" t="s">
        <v>2767</v>
      </c>
      <c r="K493" s="10" t="str">
        <f>TRIM(SUBSTITUTE( LEFT(DATA_Requirements[[#This Row],[Path]], FIND("/", SUBSTITUTE( DATA_Requirements[[#This Row],[Path]]," ","/"),1)-1), ".",""))</f>
        <v>Design</v>
      </c>
      <c r="L49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Replaceability</v>
      </c>
      <c r="M49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Replaceability</v>
      </c>
    </row>
    <row r="494" spans="4:13">
      <c r="D494"/>
      <c r="F494" s="5"/>
      <c r="H494">
        <v>0</v>
      </c>
      <c r="I494" t="str" cm="1">
        <f t="array" aca="1" ref="I49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94" t="s">
        <v>2768</v>
      </c>
      <c r="K494" s="10" t="str">
        <f>TRIM(SUBSTITUTE( LEFT(DATA_Requirements[[#This Row],[Path]], FIND("/", SUBSTITUTE( DATA_Requirements[[#This Row],[Path]]," ","/"),1)-1), ".",""))</f>
        <v>Design</v>
      </c>
      <c r="L49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 MUST be available to Users 24</v>
      </c>
      <c r="M49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7</v>
      </c>
    </row>
    <row r="495" spans="4:13">
      <c r="D495"/>
      <c r="F495" s="5"/>
      <c r="H495">
        <v>0</v>
      </c>
      <c r="I495" t="str" cm="1">
        <f t="array" aca="1" ref="I49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95" t="s">
        <v>2769</v>
      </c>
      <c r="K495" s="10" t="str">
        <f>TRIM(SUBSTITUTE( LEFT(DATA_Requirements[[#This Row],[Path]], FIND("/", SUBSTITUTE( DATA_Requirements[[#This Row],[Path]]," ","/"),1)-1), ".",""))</f>
        <v>Design</v>
      </c>
      <c r="L49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 Service MUST be availale 99.99%</v>
      </c>
      <c r="M49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month to end Users</v>
      </c>
    </row>
    <row r="496" spans="4:13">
      <c r="D496"/>
      <c r="F496"/>
      <c r="H496">
        <v>0</v>
      </c>
      <c r="I496" t="str" cm="1">
        <f t="array" aca="1" ref="I49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96" t="s">
        <v>2770</v>
      </c>
      <c r="K496" s="10" t="str">
        <f>TRIM(SUBSTITUTE( LEFT(DATA_Requirements[[#This Row],[Path]], FIND("/", SUBSTITUTE( DATA_Requirements[[#This Row],[Path]]," ","/"),1)-1), ".",""))</f>
        <v>Design</v>
      </c>
      <c r="L49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Protection</v>
      </c>
      <c r="M49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ENvironment MUST be capable of defending itself from common DoS scenarios</v>
      </c>
    </row>
    <row r="497" spans="4:13">
      <c r="D497"/>
      <c r="F497" s="5"/>
      <c r="H497">
        <v>0</v>
      </c>
      <c r="I497" t="str" cm="1">
        <f t="array" aca="1" ref="I49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97" t="s">
        <v>2771</v>
      </c>
      <c r="K497" s="10" t="str">
        <f>TRIM(SUBSTITUTE( LEFT(DATA_Requirements[[#This Row],[Path]], FIND("/", SUBSTITUTE( DATA_Requirements[[#This Row],[Path]]," ","/"),1)-1), ".",""))</f>
        <v>Design</v>
      </c>
      <c r="L49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49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Design MUST be capable of being cached globally</v>
      </c>
    </row>
    <row r="498" spans="4:13">
      <c r="D498"/>
      <c r="F498" s="5"/>
      <c r="H498">
        <v>0</v>
      </c>
      <c r="I498" t="str" cm="1">
        <f t="array" aca="1" ref="I49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98" t="s">
        <v>2772</v>
      </c>
      <c r="K498" s="10" t="str">
        <f>TRIM(SUBSTITUTE( LEFT(DATA_Requirements[[#This Row],[Path]], FIND("/", SUBSTITUTE( DATA_Requirements[[#This Row],[Path]]," ","/"),1)-1), ".",""))</f>
        <v>Design</v>
      </c>
      <c r="L49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Downtime Notification</v>
      </c>
      <c r="M49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able to Notify Users of Planned Downtime.</v>
      </c>
    </row>
    <row r="499" spans="4:13">
      <c r="D499"/>
      <c r="F499" s="5"/>
      <c r="H499">
        <v>0</v>
      </c>
      <c r="I499" t="str" cm="1">
        <f t="array" aca="1" ref="I49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499" t="s">
        <v>2773</v>
      </c>
      <c r="K499" s="10" t="str">
        <f>TRIM(SUBSTITUTE( LEFT(DATA_Requirements[[#This Row],[Path]], FIND("/", SUBSTITUTE( DATA_Requirements[[#This Row],[Path]]," ","/"),1)-1), ".",""))</f>
        <v>Design</v>
      </c>
      <c r="L49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Scalability</v>
      </c>
      <c r="M49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MUST be able to scale horizontally to meet legitimate surge demand</v>
      </c>
    </row>
    <row r="500" spans="4:13">
      <c r="D500"/>
      <c r="F500" s="5"/>
      <c r="H500">
        <v>0</v>
      </c>
      <c r="I500" t="str" cm="1">
        <f t="array" aca="1" ref="I50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00" t="s">
        <v>2774</v>
      </c>
      <c r="K500" s="10" t="str">
        <f>TRIM(SUBSTITUTE( LEFT(DATA_Requirements[[#This Row],[Path]], FIND("/", SUBSTITUTE( DATA_Requirements[[#This Row],[Path]]," ","/"),1)-1), ".",""))</f>
        <v>Design</v>
      </c>
      <c r="L50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Scalability</v>
      </c>
      <c r="M50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System's Resources (Memory, Storage, Licenses) MUST be able to scaled vertically if Horizontal scaling is insufficient to address the objective</v>
      </c>
    </row>
    <row r="501" spans="4:13">
      <c r="D501"/>
      <c r="F501" s="5"/>
      <c r="H501">
        <v>0</v>
      </c>
      <c r="I501" t="str" cm="1">
        <f t="array" aca="1" ref="I50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01" t="s">
        <v>2775</v>
      </c>
      <c r="K501" s="10" t="str">
        <f>TRIM(SUBSTITUTE( LEFT(DATA_Requirements[[#This Row],[Path]], FIND("/", SUBSTITUTE( DATA_Requirements[[#This Row],[Path]]," ","/"),1)-1), ".",""))</f>
        <v>Design</v>
      </c>
      <c r="L50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Status</v>
      </c>
      <c r="M50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capable of directing users to a dynamic web based message explaining why a status is temporarily unavailable</v>
      </c>
    </row>
    <row r="502" spans="4:13">
      <c r="D502"/>
      <c r="F502" s="5"/>
      <c r="H502">
        <v>0</v>
      </c>
      <c r="I502" t="str" cm="1">
        <f t="array" aca="1" ref="I50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02" t="s">
        <v>2776</v>
      </c>
      <c r="K502" s="10" t="str">
        <f>TRIM(SUBSTITUTE( LEFT(DATA_Requirements[[#This Row],[Path]], FIND("/", SUBSTITUTE( DATA_Requirements[[#This Row],[Path]]," ","/"),1)-1), ".",""))</f>
        <v>Design</v>
      </c>
      <c r="L50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WAN Available</v>
      </c>
      <c r="M50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available from the Web (ie from beyond any organisation LAN).</v>
      </c>
    </row>
    <row r="503" spans="4:13">
      <c r="D503"/>
      <c r="F503" s="5"/>
      <c r="H503">
        <v>0</v>
      </c>
      <c r="I503" t="str" cm="1">
        <f t="array" aca="1" ref="I50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03" t="s">
        <v>2777</v>
      </c>
      <c r="K503" s="10" t="str">
        <f>TRIM(SUBSTITUTE( LEFT(DATA_Requirements[[#This Row],[Path]], FIND("/", SUBSTITUTE( DATA_Requirements[[#This Row],[Path]]," ","/"),1)-1), ".",""))</f>
        <v>Design</v>
      </c>
      <c r="L50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Idempotent Operations</v>
      </c>
      <c r="M50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Operations MUST be Idempotent so as to not create Duplicate Records or Operations</v>
      </c>
    </row>
    <row r="504" spans="4:13">
      <c r="D504"/>
      <c r="F504" s="5"/>
      <c r="H504">
        <v>0</v>
      </c>
      <c r="I504" t="str" cm="1">
        <f t="array" aca="1" ref="I50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04" t="s">
        <v>2778</v>
      </c>
      <c r="K504" s="10" t="str">
        <f>TRIM(SUBSTITUTE( LEFT(DATA_Requirements[[#This Row],[Path]], FIND("/", SUBSTITUTE( DATA_Requirements[[#This Row],[Path]]," ","/"),1)-1), ".",""))</f>
        <v>Design</v>
      </c>
      <c r="L50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 Focused Error Messages</v>
      </c>
      <c r="M50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Error Messages MUST be User Understandable and Actionalble to reduce Support burden and costs</v>
      </c>
    </row>
    <row r="505" spans="4:13">
      <c r="D505"/>
      <c r="F505"/>
      <c r="H505">
        <v>0</v>
      </c>
      <c r="I505" t="str" cm="1">
        <f t="array" aca="1" ref="I50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05" t="s">
        <v>2779</v>
      </c>
      <c r="K505" s="10" t="str">
        <f>TRIM(SUBSTITUTE( LEFT(DATA_Requirements[[#This Row],[Path]], FIND("/", SUBSTITUTE( DATA_Requirements[[#This Row],[Path]]," ","/"),1)-1), ".",""))</f>
        <v>Design</v>
      </c>
      <c r="L50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All</v>
      </c>
      <c r="M50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State Change Operations Are Permanently Recorded for Auditability as required</v>
      </c>
    </row>
    <row r="506" spans="4:13">
      <c r="D506"/>
      <c r="F506"/>
      <c r="H506">
        <v>0</v>
      </c>
      <c r="I506" t="str" cm="1">
        <f t="array" aca="1" ref="I50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06" t="s">
        <v>2780</v>
      </c>
      <c r="K506" s="10" t="str">
        <f>TRIM(SUBSTITUTE( LEFT(DATA_Requirements[[#This Row],[Path]], FIND("/", SUBSTITUTE( DATA_Requirements[[#This Row],[Path]]," ","/"),1)-1), ".",""))</f>
        <v>Design</v>
      </c>
      <c r="L50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Components</v>
      </c>
      <c r="M50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Components are Kept up to date (Latest Major Version, Minor Latest -2 Minor Version)</v>
      </c>
    </row>
    <row r="507" spans="4:13">
      <c r="D507"/>
      <c r="F507"/>
      <c r="H507">
        <v>0</v>
      </c>
      <c r="I507" t="str" cm="1">
        <f t="array" aca="1" ref="I50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07" t="s">
        <v>2781</v>
      </c>
      <c r="K507" s="10" t="str">
        <f>TRIM(SUBSTITUTE( LEFT(DATA_Requirements[[#This Row],[Path]], FIND("/", SUBSTITUTE( DATA_Requirements[[#This Row],[Path]]," ","/"),1)-1), ".",""))</f>
        <v>Design</v>
      </c>
      <c r="L50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for Insecure Devices</v>
      </c>
      <c r="M50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capable of being securely used on non-organisation devices</v>
      </c>
    </row>
    <row r="508" spans="4:13">
      <c r="D508"/>
      <c r="F508"/>
      <c r="H508">
        <v>0</v>
      </c>
      <c r="I508" s="5" t="str" cm="1">
        <f t="array" aca="1" ref="I50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08" s="5" t="s">
        <v>2782</v>
      </c>
      <c r="K508" s="10" t="str">
        <f>TRIM(SUBSTITUTE( LEFT(DATA_Requirements[[#This Row],[Path]], FIND("/", SUBSTITUTE( DATA_Requirements[[#This Row],[Path]]," ","/"),1)-1), ".",""))</f>
        <v>Design</v>
      </c>
      <c r="L50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Log messages are scrubbed of PII &amp; Credentials</v>
      </c>
      <c r="M50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Diagnostics Records MUST be scrubbed of PII, Confidential information and Credentials</v>
      </c>
    </row>
    <row r="509" spans="4:13">
      <c r="D509"/>
      <c r="F509"/>
      <c r="H509">
        <v>0</v>
      </c>
      <c r="I509" t="str" cm="1">
        <f t="array" aca="1" ref="I50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09" t="s">
        <v>2783</v>
      </c>
      <c r="K509" s="10" t="str">
        <f>TRIM(SUBSTITUTE( LEFT(DATA_Requirements[[#This Row],[Path]], FIND("/", SUBSTITUTE( DATA_Requirements[[#This Row],[Path]]," ","/"),1)-1), ".",""))</f>
        <v>Design</v>
      </c>
      <c r="L50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Network Connections</v>
      </c>
      <c r="M50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Communication between Devices and Services MUST be Encrypted</v>
      </c>
    </row>
    <row r="510" spans="4:13">
      <c r="D510"/>
      <c r="F510"/>
      <c r="H510">
        <v>0</v>
      </c>
      <c r="I510" s="5" t="str" cm="1">
        <f t="array" aca="1" ref="I51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10" s="5" t="s">
        <v>2784</v>
      </c>
      <c r="K510" s="10" t="str">
        <f>TRIM(SUBSTITUTE( LEFT(DATA_Requirements[[#This Row],[Path]], FIND("/", SUBSTITUTE( DATA_Requirements[[#This Row],[Path]]," ","/"),1)-1), ".",""))</f>
        <v>Design</v>
      </c>
      <c r="L51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Records are scrubbed of PII &amp; Credentials</v>
      </c>
      <c r="M51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Diagnostics Records MUST be scrubbed of PII, Confidential information and Credentials</v>
      </c>
    </row>
    <row r="511" spans="4:13">
      <c r="D511"/>
      <c r="F511"/>
      <c r="H511">
        <v>0</v>
      </c>
      <c r="I511" s="5" t="str" cm="1">
        <f t="array" aca="1" ref="I51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11" s="5" t="s">
        <v>2785</v>
      </c>
      <c r="K511" s="10" t="str">
        <f>TRIM(SUBSTITUTE( LEFT(DATA_Requirements[[#This Row],[Path]], FIND("/", SUBSTITUTE( DATA_Requirements[[#This Row],[Path]]," ","/"),1)-1), ".",""))</f>
        <v>Design</v>
      </c>
      <c r="L51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Redirection</v>
      </c>
      <c r="M51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HTTP Requests MUST be redirected back by equivalent HTTPS endpoints</v>
      </c>
    </row>
    <row r="512" spans="4:13">
      <c r="D512"/>
      <c r="F512"/>
      <c r="H512">
        <v>0</v>
      </c>
      <c r="I512" t="str" cm="1">
        <f t="array" aca="1" ref="I51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12" t="s">
        <v>2786</v>
      </c>
      <c r="K512" s="10" t="str">
        <f>TRIM(SUBSTITUTE( LEFT(DATA_Requirements[[#This Row],[Path]], FIND("/", SUBSTITUTE( DATA_Requirements[[#This Row],[Path]]," ","/"),1)-1), ".",""))</f>
        <v>Design</v>
      </c>
      <c r="L51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Securely</v>
      </c>
      <c r="M51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Securely Stored Credentials</v>
      </c>
    </row>
    <row r="513" spans="4:13">
      <c r="D513"/>
      <c r="F513"/>
      <c r="H513">
        <v>0</v>
      </c>
      <c r="I513" s="5" t="str" cm="1">
        <f t="array" aca="1" ref="I51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13" s="5" t="s">
        <v>2787</v>
      </c>
      <c r="K513" s="10" t="str">
        <f>TRIM(SUBSTITUTE( LEFT(DATA_Requirements[[#This Row],[Path]], FIND("/", SUBSTITUTE( DATA_Requirements[[#This Row],[Path]]," ","/"),1)-1), ".",""))</f>
        <v>Design</v>
      </c>
      <c r="L51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Storage</v>
      </c>
      <c r="M51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Storage Primary Keys are not exposed outside system</v>
      </c>
    </row>
    <row r="514" spans="4:13">
      <c r="D514"/>
      <c r="F514"/>
      <c r="H514">
        <v>0</v>
      </c>
      <c r="I514" t="str" cm="1">
        <f t="array" aca="1" ref="I51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14" t="s">
        <v>2788</v>
      </c>
      <c r="K514" s="10" t="str">
        <f>TRIM(SUBSTITUTE( LEFT(DATA_Requirements[[#This Row],[Path]], FIND("/", SUBSTITUTE( DATA_Requirements[[#This Row],[Path]]," ","/"),1)-1), ".",""))</f>
        <v>Design</v>
      </c>
      <c r="L51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Storage</v>
      </c>
      <c r="M51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Storage SHOULD be is Encrypted</v>
      </c>
    </row>
    <row r="515" spans="4:13">
      <c r="D515"/>
      <c r="F515"/>
      <c r="H515">
        <v>0</v>
      </c>
      <c r="I515" t="str" cm="1">
        <f t="array" aca="1" ref="I51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15" t="s">
        <v>2789</v>
      </c>
      <c r="K515" s="10" t="str">
        <f>TRIM(SUBSTITUTE( LEFT(DATA_Requirements[[#This Row],[Path]], FIND("/", SUBSTITUTE( DATA_Requirements[[#This Row],[Path]]," ","/"),1)-1), ".",""))</f>
        <v>Design</v>
      </c>
      <c r="L51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Test</v>
      </c>
      <c r="M51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Test with Test Data</v>
      </c>
    </row>
    <row r="516" spans="4:13">
      <c r="D516"/>
      <c r="F516"/>
      <c r="H516">
        <v>0</v>
      </c>
      <c r="I516" s="5" t="str" cm="1">
        <f t="array" aca="1" ref="I51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16" s="5" t="s">
        <v>2790</v>
      </c>
      <c r="K516" s="10" t="str">
        <f>TRIM(SUBSTITUTE( LEFT(DATA_Requirements[[#This Row],[Path]], FIND("/", SUBSTITUTE( DATA_Requirements[[#This Row],[Path]]," ","/"),1)-1), ".",""))</f>
        <v>Design</v>
      </c>
      <c r="L51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Mememtos</v>
      </c>
      <c r="M51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Cookies are marked as Secure</v>
      </c>
    </row>
    <row r="517" spans="4:13">
      <c r="D517"/>
      <c r="F517"/>
      <c r="H517">
        <v>0</v>
      </c>
      <c r="I517" t="str" cm="1">
        <f t="array" aca="1" ref="I51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17" t="s">
        <v>2791</v>
      </c>
      <c r="K517" s="10" t="str">
        <f>TRIM(SUBSTITUTE( LEFT(DATA_Requirements[[#This Row],[Path]], FIND("/", SUBSTITUTE( DATA_Requirements[[#This Row],[Path]]," ","/"),1)-1), ".",""))</f>
        <v>Design</v>
      </c>
      <c r="L51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Communication</v>
      </c>
      <c r="M51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Communication Certificates MUST be short lived (max 90 days)</v>
      </c>
    </row>
    <row r="518" spans="4:13">
      <c r="D518"/>
      <c r="F518"/>
      <c r="H518">
        <v>0</v>
      </c>
      <c r="I518" t="str" cm="1">
        <f t="array" aca="1" ref="I51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18" t="s">
        <v>2792</v>
      </c>
      <c r="K518" s="10" t="str">
        <f>TRIM(SUBSTITUTE( LEFT(DATA_Requirements[[#This Row],[Path]], FIND("/", SUBSTITUTE( DATA_Requirements[[#This Row],[Path]]," ","/"),1)-1), ".",""))</f>
        <v>Design</v>
      </c>
      <c r="L51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Exposed</v>
      </c>
      <c r="M51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Exposed Identity &amp; Session Tokens are Cryptographically Signed</v>
      </c>
    </row>
    <row r="519" spans="4:13">
      <c r="D519"/>
      <c r="F519"/>
      <c r="H519">
        <v>0</v>
      </c>
      <c r="I519" t="str" cm="1">
        <f t="array" aca="1" ref="I51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19" t="s">
        <v>2793</v>
      </c>
      <c r="K519" s="10" t="str">
        <f>TRIM(SUBSTITUTE( LEFT(DATA_Requirements[[#This Row],[Path]], FIND("/", SUBSTITUTE( DATA_Requirements[[#This Row],[Path]]," ","/"),1)-1), ".",""))</f>
        <v>Design</v>
      </c>
      <c r="L51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Identity</v>
      </c>
      <c r="M51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Identity &amp; Session Tokens are marked HTTPS only</v>
      </c>
    </row>
    <row r="520" spans="4:13">
      <c r="D520"/>
      <c r="F520"/>
      <c r="H520">
        <v>0</v>
      </c>
      <c r="I520" t="str" cm="1">
        <f t="array" aca="1" ref="I52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20" t="s">
        <v>2794</v>
      </c>
      <c r="K520" s="10" t="str">
        <f>TRIM(SUBSTITUTE( LEFT(DATA_Requirements[[#This Row],[Path]], FIND("/", SUBSTITUTE( DATA_Requirements[[#This Row],[Path]]," ","/"),1)-1), ".",""))</f>
        <v>Design</v>
      </c>
      <c r="L52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v>
      </c>
      <c r="M52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3rd party IdP Service MUST be used to manage user credentials</v>
      </c>
    </row>
    <row r="521" spans="4:13">
      <c r="D521"/>
      <c r="F521"/>
      <c r="H521">
        <v>0</v>
      </c>
      <c r="I521" t="str" cm="1">
        <f t="array" aca="1" ref="I52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21" t="s">
        <v>2795</v>
      </c>
      <c r="K521" s="10" t="str">
        <f>TRIM(SUBSTITUTE( LEFT(DATA_Requirements[[#This Row],[Path]], FIND("/", SUBSTITUTE( DATA_Requirements[[#This Row],[Path]]," ","/"),1)-1), ".",""))</f>
        <v>Design</v>
      </c>
      <c r="L52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v>
      </c>
      <c r="M52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 &amp; Client Device Credentials MUST NOT be persisted in system storage of any kind</v>
      </c>
    </row>
    <row r="522" spans="4:13">
      <c r="D522"/>
      <c r="F522"/>
      <c r="H522">
        <v>0</v>
      </c>
      <c r="I522" t="str" cm="1">
        <f t="array" aca="1" ref="I52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22" t="s">
        <v>2796</v>
      </c>
      <c r="K522" s="10" t="str">
        <f>TRIM(SUBSTITUTE( LEFT(DATA_Requirements[[#This Row],[Path]], FIND("/", SUBSTITUTE( DATA_Requirements[[#This Row],[Path]]," ","/"),1)-1), ".",""))</f>
        <v>Design</v>
      </c>
      <c r="L52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Non-Repudiation</v>
      </c>
      <c r="M52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Non-Repudiation</v>
      </c>
    </row>
    <row r="523" spans="4:13">
      <c r="D523"/>
      <c r="F523"/>
      <c r="H523">
        <v>0</v>
      </c>
      <c r="I523" t="str" cm="1">
        <f t="array" aca="1" ref="I52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23" t="s">
        <v>2797</v>
      </c>
      <c r="K523" s="10" t="str">
        <f>TRIM(SUBSTITUTE( LEFT(DATA_Requirements[[#This Row],[Path]], FIND("/", SUBSTITUTE( DATA_Requirements[[#This Row],[Path]]," ","/"),1)-1), ".",""))</f>
        <v>Design</v>
      </c>
      <c r="L52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Auditing</v>
      </c>
      <c r="M52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Auditing logs never deleted</v>
      </c>
    </row>
    <row r="524" spans="4:13">
      <c r="D524"/>
      <c r="F524"/>
      <c r="H524">
        <v>0</v>
      </c>
      <c r="I524" s="5" t="str" cm="1">
        <f t="array" aca="1" ref="I52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24" s="5" t="s">
        <v>2798</v>
      </c>
      <c r="K524" s="10" t="str">
        <f>TRIM(SUBSTITUTE( LEFT(DATA_Requirements[[#This Row],[Path]], FIND("/", SUBSTITUTE( DATA_Requirements[[#This Row],[Path]]," ","/"),1)-1), ".",""))</f>
        <v>Design</v>
      </c>
      <c r="L52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Operations</v>
      </c>
      <c r="M52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Operations logged against User (Authenticated or not)</v>
      </c>
    </row>
    <row r="525" spans="4:13">
      <c r="D525"/>
      <c r="F525"/>
      <c r="H525">
        <v>0</v>
      </c>
      <c r="I525" t="str" cm="1">
        <f t="array" aca="1" ref="I52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25" t="s">
        <v>2799</v>
      </c>
      <c r="K525" s="10" t="str">
        <f>TRIM(SUBSTITUTE( LEFT(DATA_Requirements[[#This Row],[Path]], FIND("/", SUBSTITUTE( DATA_Requirements[[#This Row],[Path]]," ","/"),1)-1), ".",""))</f>
        <v>Design</v>
      </c>
      <c r="L52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Editable</v>
      </c>
      <c r="M52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Editable</v>
      </c>
    </row>
    <row r="526" spans="4:13">
      <c r="D526"/>
      <c r="F526"/>
      <c r="H526">
        <v>0</v>
      </c>
      <c r="I526" t="str" cm="1">
        <f t="array" aca="1" ref="I52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26" t="s">
        <v>2800</v>
      </c>
      <c r="K526" s="10" t="str">
        <f>TRIM(SUBSTITUTE( LEFT(DATA_Requirements[[#This Row],[Path]], FIND("/", SUBSTITUTE( DATA_Requirements[[#This Row],[Path]]," ","/"),1)-1), ".",""))</f>
        <v>Design</v>
      </c>
      <c r="L52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ISO-25010</v>
      </c>
      <c r="M52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Usability</v>
      </c>
    </row>
    <row r="527" spans="4:13">
      <c r="D527"/>
      <c r="F527"/>
      <c r="H527">
        <v>0</v>
      </c>
      <c r="I527" t="str" cm="1">
        <f t="array" aca="1" ref="I52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27" t="s">
        <v>2801</v>
      </c>
      <c r="K527" s="10" t="str">
        <f>TRIM(SUBSTITUTE( LEFT(DATA_Requirements[[#This Row],[Path]], FIND("/", SUBSTITUTE( DATA_Requirements[[#This Row],[Path]]," ","/"),1)-1), ".",""))</f>
        <v>Design</v>
      </c>
      <c r="L52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Analytics</v>
      </c>
      <c r="M52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Analytics</v>
      </c>
    </row>
    <row r="528" spans="4:13">
      <c r="D528"/>
      <c r="F528"/>
      <c r="H528">
        <v>0</v>
      </c>
      <c r="I528" t="str" cm="1">
        <f t="array" aca="1" ref="I52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28" t="s">
        <v>2802</v>
      </c>
      <c r="K528" s="10" t="str">
        <f>TRIM(SUBSTITUTE( LEFT(DATA_Requirements[[#This Row],[Path]], FIND("/", SUBSTITUTE( DATA_Requirements[[#This Row],[Path]]," ","/"),1)-1), ".",""))</f>
        <v>Design</v>
      </c>
      <c r="L52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Predictive</v>
      </c>
      <c r="M52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Predictive</v>
      </c>
    </row>
    <row r="529" spans="4:13">
      <c r="D529"/>
      <c r="F529"/>
      <c r="H529">
        <v>0</v>
      </c>
      <c r="I529" t="str" cm="1">
        <f t="array" aca="1" ref="I52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29" t="s">
        <v>2803</v>
      </c>
      <c r="K529" s="10" t="str">
        <f>TRIM(SUBSTITUTE( LEFT(DATA_Requirements[[#This Row],[Path]], FIND("/", SUBSTITUTE( DATA_Requirements[[#This Row],[Path]]," ","/"),1)-1), ".",""))</f>
        <v>Design</v>
      </c>
      <c r="L52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Status</v>
      </c>
      <c r="M52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Status</v>
      </c>
    </row>
    <row r="530" spans="4:13">
      <c r="D530"/>
      <c r="F530"/>
      <c r="H530">
        <v>0</v>
      </c>
      <c r="I530" t="str" cm="1">
        <f t="array" aca="1" ref="I53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30" t="s">
        <v>2804</v>
      </c>
      <c r="K530" s="10" t="str">
        <f>TRIM(SUBSTITUTE( LEFT(DATA_Requirements[[#This Row],[Path]], FIND("/", SUBSTITUTE( DATA_Requirements[[#This Row],[Path]]," ","/"),1)-1), ".",""))</f>
        <v>Design</v>
      </c>
      <c r="L53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Assistance</v>
      </c>
      <c r="M53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Assistance</v>
      </c>
    </row>
    <row r="531" spans="4:13">
      <c r="D531"/>
      <c r="F531"/>
      <c r="H531">
        <v>0</v>
      </c>
      <c r="I531" t="str" cm="1">
        <f t="array" aca="1" ref="I53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31" t="s">
        <v>2805</v>
      </c>
      <c r="K531" s="10" t="str">
        <f>TRIM(SUBSTITUTE( LEFT(DATA_Requirements[[#This Row],[Path]], FIND("/", SUBSTITUTE( DATA_Requirements[[#This Row],[Path]]," ","/"),1)-1), ".",""))</f>
        <v>Design</v>
      </c>
      <c r="L53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Online</v>
      </c>
      <c r="M53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Online Contact Email Provided</v>
      </c>
    </row>
    <row r="532" spans="4:13">
      <c r="D532"/>
      <c r="F532"/>
      <c r="H532">
        <v>0</v>
      </c>
      <c r="I532" t="str" cm="1">
        <f t="array" aca="1" ref="I53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32" t="s">
        <v>2806</v>
      </c>
      <c r="K532" s="10" t="str">
        <f>TRIM(SUBSTITUTE( LEFT(DATA_Requirements[[#This Row],[Path]], FIND("/", SUBSTITUTE( DATA_Requirements[[#This Row],[Path]]," ","/"),1)-1), ".",""))</f>
        <v>Design</v>
      </c>
      <c r="L53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Configurability</v>
      </c>
      <c r="M53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Configurability</v>
      </c>
    </row>
    <row r="533" spans="4:13">
      <c r="D533"/>
      <c r="F533"/>
      <c r="H533">
        <v>0</v>
      </c>
      <c r="I533" t="str" cm="1">
        <f t="array" aca="1" ref="I53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33" t="s">
        <v>2807</v>
      </c>
      <c r="K533" s="10" t="str">
        <f>TRIM(SUBSTITUTE( LEFT(DATA_Requirements[[#This Row],[Path]], FIND("/", SUBSTITUTE( DATA_Requirements[[#This Row],[Path]]," ","/"),1)-1), ".",""))</f>
        <v>Design</v>
      </c>
      <c r="L53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Group</v>
      </c>
      <c r="M53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Group Membership</v>
      </c>
    </row>
    <row r="534" spans="4:13">
      <c r="D534"/>
      <c r="F534"/>
      <c r="H534">
        <v>0</v>
      </c>
      <c r="I534" t="str" cm="1">
        <f t="array" aca="1" ref="I53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34" t="s">
        <v>2808</v>
      </c>
      <c r="K534" s="10" t="str">
        <f>TRIM(SUBSTITUTE( LEFT(DATA_Requirements[[#This Row],[Path]], FIND("/", SUBSTITUTE( DATA_Requirements[[#This Row],[Path]]," ","/"),1)-1), ".",""))</f>
        <v>Design</v>
      </c>
      <c r="L53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Group</v>
      </c>
      <c r="M53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Group Profile</v>
      </c>
    </row>
    <row r="535" spans="4:13">
      <c r="D535"/>
      <c r="F535"/>
      <c r="H535">
        <v>0</v>
      </c>
      <c r="I535" t="str" cm="1">
        <f t="array" aca="1" ref="I53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35" t="s">
        <v>2809</v>
      </c>
      <c r="K535" s="10" t="str">
        <f>TRIM(SUBSTITUTE( LEFT(DATA_Requirements[[#This Row],[Path]], FIND("/", SUBSTITUTE( DATA_Requirements[[#This Row],[Path]]," ","/"),1)-1), ".",""))</f>
        <v>Design</v>
      </c>
      <c r="L53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Group</v>
      </c>
      <c r="M53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Group Roles</v>
      </c>
    </row>
    <row r="536" spans="4:13">
      <c r="D536"/>
      <c r="F536"/>
      <c r="H536">
        <v>0</v>
      </c>
      <c r="I536" t="str" cm="1">
        <f t="array" aca="1" ref="I53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36" t="s">
        <v>2810</v>
      </c>
      <c r="K536" s="10" t="str">
        <f>TRIM(SUBSTITUTE( LEFT(DATA_Requirements[[#This Row],[Path]], FIND("/", SUBSTITUTE( DATA_Requirements[[#This Row],[Path]]," ","/"),1)-1), ".",""))</f>
        <v>Design</v>
      </c>
      <c r="L53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v>
      </c>
      <c r="M53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Resource Collection Profile</v>
      </c>
    </row>
    <row r="537" spans="4:13">
      <c r="D537"/>
      <c r="F537"/>
      <c r="H537">
        <v>0</v>
      </c>
      <c r="I537" t="str" cm="1">
        <f t="array" aca="1" ref="I53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37" t="s">
        <v>2811</v>
      </c>
      <c r="K537" s="10" t="str">
        <f>TRIM(SUBSTITUTE( LEFT(DATA_Requirements[[#This Row],[Path]], FIND("/", SUBSTITUTE( DATA_Requirements[[#This Row],[Path]]," ","/"),1)-1), ".",""))</f>
        <v>Design</v>
      </c>
      <c r="L53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v>
      </c>
      <c r="M53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Resource Collection Role Associations</v>
      </c>
    </row>
    <row r="538" spans="4:13">
      <c r="D538"/>
      <c r="F538"/>
      <c r="H538">
        <v>0</v>
      </c>
      <c r="I538" t="str" cm="1">
        <f t="array" aca="1" ref="I53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38" t="s">
        <v>2812</v>
      </c>
      <c r="K538" s="10" t="str">
        <f>TRIM(SUBSTITUTE( LEFT(DATA_Requirements[[#This Row],[Path]], FIND("/", SUBSTITUTE( DATA_Requirements[[#This Row],[Path]]," ","/"),1)-1), ".",""))</f>
        <v>Design</v>
      </c>
      <c r="L53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Role</v>
      </c>
      <c r="M53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Role Permissions</v>
      </c>
    </row>
    <row r="539" spans="4:13">
      <c r="D539"/>
      <c r="F539"/>
      <c r="H539">
        <v>0</v>
      </c>
      <c r="I539" s="17" t="str" cm="1">
        <f t="array" aca="1" ref="I53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39" s="17" t="s">
        <v>2813</v>
      </c>
      <c r="K539" s="10" t="str">
        <f>TRIM(SUBSTITUTE( LEFT(DATA_Requirements[[#This Row],[Path]], FIND("/", SUBSTITUTE( DATA_Requirements[[#This Row],[Path]]," ","/"),1)-1), ".",""))</f>
        <v>Design</v>
      </c>
      <c r="L53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v>
      </c>
      <c r="M53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 Dashboard</v>
      </c>
    </row>
    <row r="540" spans="4:13">
      <c r="D540"/>
      <c r="F540"/>
      <c r="H540">
        <v>0</v>
      </c>
      <c r="I540" t="str" cm="1">
        <f t="array" aca="1" ref="I54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40" t="s">
        <v>2814</v>
      </c>
      <c r="K540" s="10" t="str">
        <f>TRIM(SUBSTITUTE( LEFT(DATA_Requirements[[#This Row],[Path]], FIND("/", SUBSTITUTE( DATA_Requirements[[#This Row],[Path]]," ","/"),1)-1), ".",""))</f>
        <v>Design</v>
      </c>
      <c r="L54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Configurability|Tenancy</v>
      </c>
      <c r="M54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Configurability|Tenancy Profiles, if provided, MUST be configurable</v>
      </c>
    </row>
    <row r="541" spans="4:13">
      <c r="D541"/>
      <c r="F541"/>
      <c r="H541">
        <v>0</v>
      </c>
      <c r="I541" t="str" cm="1">
        <f t="array" aca="1" ref="I54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41" t="s">
        <v>2815</v>
      </c>
      <c r="K541" s="10" t="str">
        <f>TRIM(SUBSTITUTE( LEFT(DATA_Requirements[[#This Row],[Path]], FIND("/", SUBSTITUTE( DATA_Requirements[[#This Row],[Path]]," ","/"),1)-1), ".",""))</f>
        <v>Design</v>
      </c>
      <c r="L54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Configurability|The</v>
      </c>
      <c r="M54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Configurability|The System Profile MUST be configurable</v>
      </c>
    </row>
    <row r="542" spans="4:13">
      <c r="D542"/>
      <c r="F542"/>
      <c r="H542">
        <v>0</v>
      </c>
      <c r="I542" t="str" cm="1">
        <f t="array" aca="1" ref="I54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42" t="s">
        <v>2816</v>
      </c>
      <c r="K542" s="10" t="str">
        <f>TRIM(SUBSTITUTE( LEFT(DATA_Requirements[[#This Row],[Path]], FIND("/", SUBSTITUTE( DATA_Requirements[[#This Row],[Path]]," ","/"),1)-1), ".",""))</f>
        <v>Design</v>
      </c>
      <c r="L54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Configurability|User</v>
      </c>
      <c r="M54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Configurability|User Profiles MUST be configurable</v>
      </c>
    </row>
    <row r="543" spans="4:13">
      <c r="D543"/>
      <c r="F543"/>
      <c r="H543">
        <v>0</v>
      </c>
      <c r="I543" t="str" cm="1">
        <f t="array" aca="1" ref="I54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43" t="s">
        <v>2817</v>
      </c>
      <c r="K543" s="10" t="str">
        <f>TRIM(SUBSTITUTE( LEFT(DATA_Requirements[[#This Row],[Path]], FIND("/", SUBSTITUTE( DATA_Requirements[[#This Row],[Path]]," ","/"),1)-1), ".",""))</f>
        <v>Design</v>
      </c>
      <c r="L54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Documentation|System</v>
      </c>
      <c r="M54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Documentation|System Documentation MUST be digitally available &amp; Online</v>
      </c>
    </row>
    <row r="544" spans="4:13">
      <c r="D544"/>
      <c r="F544"/>
      <c r="H544">
        <v>0</v>
      </c>
      <c r="I544" t="str" cm="1">
        <f t="array" aca="1" ref="I54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44" t="s">
        <v>2818</v>
      </c>
      <c r="K544" s="10" t="str">
        <f>TRIM(SUBSTITUTE( LEFT(DATA_Requirements[[#This Row],[Path]], FIND("/", SUBSTITUTE( DATA_Requirements[[#This Row],[Path]]," ","/"),1)-1), ".",""))</f>
        <v>Design</v>
      </c>
      <c r="L54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Documentation|System</v>
      </c>
      <c r="M54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Documentation|System Documentation MUST be Digitally available and Searchable</v>
      </c>
    </row>
    <row r="545" spans="4:13">
      <c r="D545"/>
      <c r="F545"/>
      <c r="H545">
        <v>0</v>
      </c>
      <c r="I545" t="str" cm="1">
        <f t="array" aca="1" ref="I54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45" t="s">
        <v>2819</v>
      </c>
      <c r="K545" s="10" t="str">
        <f>TRIM(SUBSTITUTE( LEFT(DATA_Requirements[[#This Row],[Path]], FIND("/", SUBSTITUTE( DATA_Requirements[[#This Row],[Path]]," ","/"),1)-1), ".",""))</f>
        <v>Design</v>
      </c>
      <c r="L54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Learnability|All</v>
      </c>
      <c r="M54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Learnability|All User Operations that Change State MUST be Undoable without assistance</v>
      </c>
    </row>
    <row r="546" spans="4:13">
      <c r="D546"/>
      <c r="F546"/>
      <c r="H546">
        <v>0</v>
      </c>
      <c r="I546" t="str" cm="1">
        <f t="array" aca="1" ref="I54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46" t="s">
        <v>2820</v>
      </c>
      <c r="K546" s="10" t="str">
        <f>TRIM(SUBSTITUTE( LEFT(DATA_Requirements[[#This Row],[Path]], FIND("/", SUBSTITUTE( DATA_Requirements[[#This Row],[Path]]," ","/"),1)-1), ".",""))</f>
        <v>Design</v>
      </c>
      <c r="L54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Operabiility|Generated</v>
      </c>
      <c r="M54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Operabiility|Generated Reports MUST be printable, stripped of User Interface Artefacts</v>
      </c>
    </row>
    <row r="547" spans="4:13">
      <c r="D547"/>
      <c r="F547"/>
      <c r="H547">
        <v>0</v>
      </c>
      <c r="I547" t="str" cm="1">
        <f t="array" aca="1" ref="I54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47" t="s">
        <v>2821</v>
      </c>
      <c r="K547" s="10" t="str">
        <f>TRIM(SUBSTITUTE( LEFT(DATA_Requirements[[#This Row],[Path]], FIND("/", SUBSTITUTE( DATA_Requirements[[#This Row],[Path]]," ","/"),1)-1), ".",""))</f>
        <v>Design</v>
      </c>
      <c r="L54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Operabiility|Printable</v>
      </c>
      <c r="M54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Operabiility|Printable Reports MUST be avaiable as PDFs</v>
      </c>
    </row>
    <row r="548" spans="4:13">
      <c r="D548"/>
      <c r="F548"/>
      <c r="H548">
        <v>0</v>
      </c>
      <c r="I548" t="str" cm="1">
        <f t="array" aca="1" ref="I54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48" t="s">
        <v>2822</v>
      </c>
      <c r="K548" s="10" t="str">
        <f>TRIM(SUBSTITUTE( LEFT(DATA_Requirements[[#This Row],[Path]], FIND("/", SUBSTITUTE( DATA_Requirements[[#This Row],[Path]]," ","/"),1)-1), ".",""))</f>
        <v>Design</v>
      </c>
      <c r="L54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Operabiility|The</v>
      </c>
      <c r="M54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Operabiility|The service MUST NOT require Training to use</v>
      </c>
    </row>
    <row r="549" spans="4:13">
      <c r="D549"/>
      <c r="F549"/>
      <c r="H549">
        <v>0</v>
      </c>
      <c r="I549" t="str" cm="1">
        <f t="array" aca="1" ref="I54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49" t="s">
        <v>2823</v>
      </c>
      <c r="K549" s="10" t="str">
        <f>TRIM(SUBSTITUTE( LEFT(DATA_Requirements[[#This Row],[Path]], FIND("/", SUBSTITUTE( DATA_Requirements[[#This Row],[Path]]," ","/"),1)-1), ".",""))</f>
        <v>Design</v>
      </c>
      <c r="L54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HTTPS</v>
      </c>
      <c r="M54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HTTPS Certificate</v>
      </c>
    </row>
    <row r="550" spans="4:13">
      <c r="D550"/>
      <c r="F550"/>
      <c r="H550">
        <v>0</v>
      </c>
      <c r="I550" t="str" cm="1">
        <f t="array" aca="1" ref="I55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50" t="s">
        <v>2824</v>
      </c>
      <c r="K550" s="10" t="str">
        <f>TRIM(SUBSTITUTE( LEFT(DATA_Requirements[[#This Row],[Path]], FIND("/", SUBSTITUTE( DATA_Requirements[[#This Row],[Path]]," ","/"),1)-1), ".",""))</f>
        <v>Design</v>
      </c>
      <c r="L55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Sector</v>
      </c>
      <c r="M55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Sector Endorsement</v>
      </c>
    </row>
    <row r="551" spans="4:13">
      <c r="D551"/>
      <c r="F551"/>
      <c r="H551">
        <v>0</v>
      </c>
      <c r="I551" t="str" cm="1">
        <f t="array" aca="1" ref="I55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51" t="s">
        <v>2825</v>
      </c>
      <c r="K551" s="10" t="str">
        <f>TRIM(SUBSTITUTE( LEFT(DATA_Requirements[[#This Row],[Path]], FIND("/", SUBSTITUTE( DATA_Requirements[[#This Row],[Path]]," ","/"),1)-1), ".",""))</f>
        <v>Design</v>
      </c>
      <c r="L55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On-Off-Boarding</v>
      </c>
      <c r="M55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On-Off-Boarding</v>
      </c>
    </row>
    <row r="552" spans="4:13">
      <c r="D552"/>
      <c r="F552"/>
      <c r="H552">
        <v>0</v>
      </c>
      <c r="I552" t="str" cm="1">
        <f t="array" aca="1" ref="I55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52" t="s">
        <v>2826</v>
      </c>
      <c r="K552" s="10" t="str">
        <f>TRIM(SUBSTITUTE( LEFT(DATA_Requirements[[#This Row],[Path]], FIND("/", SUBSTITUTE( DATA_Requirements[[#This Row],[Path]]," ","/"),1)-1), ".",""))</f>
        <v>Design</v>
      </c>
      <c r="L55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A47Data-Use</v>
      </c>
      <c r="M55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A47Data-Use</v>
      </c>
    </row>
    <row r="553" spans="4:13">
      <c r="D553"/>
      <c r="F553"/>
      <c r="H553">
        <v>0</v>
      </c>
      <c r="I553" t="str" cm="1">
        <f t="array" aca="1" ref="I55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53" t="s">
        <v>2827</v>
      </c>
      <c r="K553" s="10" t="str">
        <f>TRIM(SUBSTITUTE( LEFT(DATA_Requirements[[#This Row],[Path]], FIND("/", SUBSTITUTE( DATA_Requirements[[#This Row],[Path]]," ","/"),1)-1), ".",""))</f>
        <v>Design</v>
      </c>
      <c r="L55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Correctability</v>
      </c>
      <c r="M55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Correctability</v>
      </c>
    </row>
    <row r="554" spans="4:13">
      <c r="D554"/>
      <c r="F554"/>
      <c r="H554">
        <v>0</v>
      </c>
      <c r="I554" t="str" cm="1">
        <f t="array" aca="1" ref="I55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54" t="s">
        <v>2828</v>
      </c>
      <c r="K554" s="10" t="str">
        <f>TRIM(SUBSTITUTE( LEFT(DATA_Requirements[[#This Row],[Path]], FIND("/", SUBSTITUTE( DATA_Requirements[[#This Row],[Path]]," ","/"),1)-1), ".",""))</f>
        <v>Design</v>
      </c>
      <c r="L55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Opt-Out</v>
      </c>
      <c r="M55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Opt-Out</v>
      </c>
    </row>
    <row r="555" spans="4:13">
      <c r="D555"/>
      <c r="F555"/>
      <c r="H555">
        <v>0</v>
      </c>
      <c r="I555" t="str" cm="1">
        <f t="array" aca="1" ref="I55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55" t="s">
        <v>2829</v>
      </c>
      <c r="K555" s="10" t="str">
        <f>TRIM(SUBSTITUTE( LEFT(DATA_Requirements[[#This Row],[Path]], FIND("/", SUBSTITUTE( DATA_Requirements[[#This Row],[Path]]," ","/"),1)-1), ".",""))</f>
        <v>Design</v>
      </c>
      <c r="L55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Tracking</v>
      </c>
      <c r="M55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Tracking</v>
      </c>
    </row>
    <row r="556" spans="4:13">
      <c r="D556"/>
      <c r="F556"/>
      <c r="H556">
        <v>0</v>
      </c>
      <c r="I556" t="str" cm="1">
        <f t="array" aca="1" ref="I55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56" t="s">
        <v>2830</v>
      </c>
      <c r="K556" s="10" t="str">
        <f>TRIM(SUBSTITUTE( LEFT(DATA_Requirements[[#This Row],[Path]], FIND("/", SUBSTITUTE( DATA_Requirements[[#This Row],[Path]]," ","/"),1)-1), ".",""))</f>
        <v>Design</v>
      </c>
      <c r="L55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55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APIs MUST validate the attributes of all incoming Messages</v>
      </c>
    </row>
    <row r="557" spans="4:13">
      <c r="D557"/>
      <c r="F557"/>
      <c r="H557">
        <v>0</v>
      </c>
      <c r="I557" t="str" cm="1">
        <f t="array" aca="1" ref="I55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57" t="s">
        <v>2831</v>
      </c>
      <c r="K557" s="10" t="str">
        <f>TRIM(SUBSTITUTE( LEFT(DATA_Requirements[[#This Row],[Path]], FIND("/", SUBSTITUTE( DATA_Requirements[[#This Row],[Path]]," ","/"),1)-1), ".",""))</f>
        <v>Design</v>
      </c>
      <c r="L55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Are Recoverable</v>
      </c>
      <c r="M55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Continuation after an Exception MUST not require a refresh of the server.</v>
      </c>
    </row>
    <row r="558" spans="4:13">
      <c r="D558"/>
      <c r="F558"/>
      <c r="H558">
        <v>0</v>
      </c>
      <c r="I558" t="str" cm="1">
        <f t="array" aca="1" ref="I55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58" t="s">
        <v>2832</v>
      </c>
      <c r="K558" s="10" t="str">
        <f>TRIM(SUBSTITUTE( LEFT(DATA_Requirements[[#This Row],[Path]], FIND("/", SUBSTITUTE( DATA_Requirements[[#This Row],[Path]]," ","/"),1)-1), ".",""))</f>
        <v>Development</v>
      </c>
      <c r="L55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Protection</v>
      </c>
      <c r="M55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itself SHOULD be capable of defending itself from common DoS scenarios</v>
      </c>
    </row>
    <row r="559" spans="4:13">
      <c r="D559"/>
      <c r="F559"/>
      <c r="H559">
        <v>0</v>
      </c>
      <c r="I559" t="str" cm="1">
        <f t="array" aca="1" ref="I55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59" t="s">
        <v>2833</v>
      </c>
      <c r="K559" s="10" t="str">
        <f>TRIM(SUBSTITUTE( LEFT(DATA_Requirements[[#This Row],[Path]], FIND("/", SUBSTITUTE( DATA_Requirements[[#This Row],[Path]]," ","/"),1)-1), ".",""))</f>
        <v>Deveop</v>
      </c>
      <c r="L55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Records</v>
      </c>
      <c r="M55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Session Audit Records SHOULD be signed against Tamperability</v>
      </c>
    </row>
    <row r="560" spans="4:13">
      <c r="D560"/>
      <c r="F560"/>
      <c r="H560">
        <v>0</v>
      </c>
      <c r="I560" t="str" cm="1">
        <f t="array" aca="1" ref="I56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60" t="s">
        <v>2834</v>
      </c>
      <c r="K560" s="10" t="str">
        <f>TRIM(SUBSTITUTE( LEFT(DATA_Requirements[[#This Row],[Path]], FIND("/", SUBSTITUTE( DATA_Requirements[[#This Row],[Path]]," ","/"),1)-1), ".",""))</f>
        <v>Design</v>
      </c>
      <c r="L56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56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Documents (using Document DB) Management</v>
      </c>
    </row>
    <row r="561" spans="4:13">
      <c r="D561"/>
      <c r="F561"/>
      <c r="H561">
        <v>0</v>
      </c>
      <c r="I561" t="str" cm="1">
        <f t="array" aca="1" ref="I56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61" t="s">
        <v>2835</v>
      </c>
      <c r="K561" s="10" t="str">
        <f>TRIM(SUBSTITUTE( LEFT(DATA_Requirements[[#This Row],[Path]], FIND("/", SUBSTITUTE( DATA_Requirements[[#This Row],[Path]]," ","/"),1)-1), ".",""))</f>
        <v>Design</v>
      </c>
      <c r="L56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Cache Management</v>
      </c>
      <c r="M56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When custom developing, Caching Servies MUST be developed early to provide their use for subsequent development, making a more resilient system</v>
      </c>
    </row>
    <row r="562" spans="4:13">
      <c r="D562"/>
      <c r="F562"/>
      <c r="H562">
        <v>0</v>
      </c>
      <c r="I562" t="str" cm="1">
        <f t="array" aca="1" ref="I56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62" t="s">
        <v>2836</v>
      </c>
      <c r="K562" s="10" t="str">
        <f>TRIM(SUBSTITUTE( LEFT(DATA_Requirements[[#This Row],[Path]], FIND("/", SUBSTITUTE( DATA_Requirements[[#This Row],[Path]]," ","/"),1)-1), ".",""))</f>
        <v>Design</v>
      </c>
      <c r="L56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Exception Record Management</v>
      </c>
      <c r="M56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Explore Exceptions by Attributes</v>
      </c>
    </row>
    <row r="563" spans="4:13">
      <c r="D563"/>
      <c r="F563"/>
      <c r="H563">
        <v>0</v>
      </c>
      <c r="I563" t="str" cm="1">
        <f t="array" aca="1" ref="I56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63" t="s">
        <v>2837</v>
      </c>
      <c r="K563" s="10" t="str">
        <f>TRIM(SUBSTITUTE( LEFT(DATA_Requirements[[#This Row],[Path]], FIND("/", SUBSTITUTE( DATA_Requirements[[#This Row],[Path]]," ","/"),1)-1), ".",""))</f>
        <v>Design</v>
      </c>
      <c r="L56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Group Management</v>
      </c>
      <c r="M56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Explore Groups Hierarchically</v>
      </c>
    </row>
    <row r="564" spans="4:13">
      <c r="D564"/>
      <c r="F564"/>
      <c r="H564">
        <v>0</v>
      </c>
      <c r="I564" t="str" cm="1">
        <f t="array" aca="1" ref="I56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64" t="s">
        <v>2838</v>
      </c>
      <c r="K564" s="10" t="str">
        <f>TRIM(SUBSTITUTE( LEFT(DATA_Requirements[[#This Row],[Path]], FIND("/", SUBSTITUTE( DATA_Requirements[[#This Row],[Path]]," ","/"),1)-1), ".",""))</f>
        <v>Design</v>
      </c>
      <c r="L56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56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Host Device Context (Time, Location, Culture) Management (Readonly) Functionality</v>
      </c>
    </row>
    <row r="565" spans="4:13">
      <c r="D565"/>
      <c r="F565"/>
      <c r="H565">
        <v>0</v>
      </c>
      <c r="I565" t="str" cm="1">
        <f t="array" aca="1" ref="I56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65" t="s">
        <v>2839</v>
      </c>
      <c r="K565" s="10" t="str">
        <f>TRIM(SUBSTITUTE( LEFT(DATA_Requirements[[#This Row],[Path]], FIND("/", SUBSTITUTE( DATA_Requirements[[#This Row],[Path]]," ","/"),1)-1), ".",""))</f>
        <v>Design</v>
      </c>
      <c r="L56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56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HostDevice Configuration Management (Readonly) Functionality</v>
      </c>
    </row>
    <row r="566" spans="4:13">
      <c r="D566"/>
      <c r="F566"/>
      <c r="H566">
        <v>0</v>
      </c>
      <c r="I566" t="str" cm="1">
        <f t="array" aca="1" ref="I56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66" t="s">
        <v>2840</v>
      </c>
      <c r="K566" s="10" t="str">
        <f>TRIM(SUBSTITUTE( LEFT(DATA_Requirements[[#This Row],[Path]], FIND("/", SUBSTITUTE( DATA_Requirements[[#This Row],[Path]]," ","/"),1)-1), ".",""))</f>
        <v>Design</v>
      </c>
      <c r="L56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Internal Search</v>
      </c>
      <c r="M56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Users MUST be able to Search for Resources in a forgiving manner (accepting spelling mistakes)</v>
      </c>
    </row>
    <row r="567" spans="4:13">
      <c r="D567"/>
      <c r="F567"/>
      <c r="H567">
        <v>0</v>
      </c>
      <c r="I567" t="str" cm="1">
        <f t="array" aca="1" ref="I56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67" t="s">
        <v>2841</v>
      </c>
      <c r="K567" s="10" t="str">
        <f>TRIM(SUBSTITUTE( LEFT(DATA_Requirements[[#This Row],[Path]], FIND("/", SUBSTITUTE( DATA_Requirements[[#This Row],[Path]]," ","/"),1)-1), ".",""))</f>
        <v>Design</v>
      </c>
      <c r="L56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Internal Search</v>
      </c>
      <c r="M56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Users SHOULD be able to Search for Resources via Metadata</v>
      </c>
    </row>
    <row r="568" spans="4:13">
      <c r="D568"/>
      <c r="F568"/>
      <c r="H568">
        <v>0</v>
      </c>
      <c r="I568" t="str" cm="1">
        <f t="array" aca="1" ref="I56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68" t="s">
        <v>2842</v>
      </c>
      <c r="K568" s="10" t="str">
        <f>TRIM(SUBSTITUTE( LEFT(DATA_Requirements[[#This Row],[Path]], FIND("/", SUBSTITUTE( DATA_Requirements[[#This Row],[Path]]," ","/"),1)-1), ".",""))</f>
        <v>Design</v>
      </c>
      <c r="L56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56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Link (using Graphs DB) Management</v>
      </c>
    </row>
    <row r="569" spans="4:13">
      <c r="D569"/>
      <c r="F569"/>
      <c r="H569">
        <v>0</v>
      </c>
      <c r="I569" t="str" cm="1">
        <f t="array" aca="1" ref="I56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69" t="s">
        <v>2843</v>
      </c>
      <c r="K569" s="10" t="str">
        <f>TRIM(SUBSTITUTE( LEFT(DATA_Requirements[[#This Row],[Path]], FIND("/", SUBSTITUTE( DATA_Requirements[[#This Row],[Path]]," ","/"),1)-1), ".",""))</f>
        <v>Design</v>
      </c>
      <c r="L56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Map Models</v>
      </c>
      <c r="M56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capable of mapping from Entities to Messages -- and back again -- at the API boundary</v>
      </c>
    </row>
    <row r="570" spans="4:13">
      <c r="D570"/>
      <c r="F570"/>
      <c r="H570">
        <v>0</v>
      </c>
      <c r="I570" t="str" cm="1">
        <f t="array" aca="1" ref="I57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70" t="s">
        <v>2844</v>
      </c>
      <c r="K570" s="10" t="str">
        <f>TRIM(SUBSTITUTE( LEFT(DATA_Requirements[[#This Row],[Path]], FIND("/", SUBSTITUTE( DATA_Requirements[[#This Row],[Path]]," ","/"),1)-1), ".",""))</f>
        <v>Design</v>
      </c>
      <c r="L57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 in Blob Storage</v>
      </c>
      <c r="M57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Media MUST be persisted in Blob Storage</v>
      </c>
    </row>
    <row r="571" spans="4:13">
      <c r="D571"/>
      <c r="F571"/>
      <c r="H571">
        <v>0</v>
      </c>
      <c r="I571" t="str" cm="1">
        <f t="array" aca="1" ref="I57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71" t="s">
        <v>2845</v>
      </c>
      <c r="K571" s="10" t="str">
        <f>TRIM(SUBSTITUTE( LEFT(DATA_Requirements[[#This Row],[Path]], FIND("/", SUBSTITUTE( DATA_Requirements[[#This Row],[Path]]," ","/"),1)-1), ".",""))</f>
        <v>Design</v>
      </c>
      <c r="L57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 Management</v>
      </c>
      <c r="M57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Media MUST be manageable on a per User or per Group Collection basis</v>
      </c>
    </row>
    <row r="572" spans="4:13">
      <c r="D572"/>
      <c r="F572"/>
      <c r="H572">
        <v>0</v>
      </c>
      <c r="I572" t="str" cm="1">
        <f t="array" aca="1" ref="I57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72" t="s">
        <v>2846</v>
      </c>
      <c r="K572" s="10" t="str">
        <f>TRIM(SUBSTITUTE( LEFT(DATA_Requirements[[#This Row],[Path]], FIND("/", SUBSTITUTE( DATA_Requirements[[#This Row],[Path]]," ","/"),1)-1), ".",""))</f>
        <v>Design</v>
      </c>
      <c r="L57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SMTP</v>
      </c>
      <c r="M57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System MUST be able to be send notification emails without disclosing personal or confidential information</v>
      </c>
    </row>
    <row r="573" spans="4:13">
      <c r="D573"/>
      <c r="F573" s="11"/>
      <c r="H573">
        <v>0</v>
      </c>
      <c r="I573" s="11" t="str" cm="1">
        <f t="array" aca="1" ref="I57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73" s="11" t="s">
        <v>2847</v>
      </c>
      <c r="K573" s="10" t="str">
        <f>TRIM(SUBSTITUTE( LEFT(DATA_Requirements[[#This Row],[Path]], FIND("/", SUBSTITUTE( DATA_Requirements[[#This Row],[Path]]," ","/"),1)-1), ".",""))</f>
        <v>Design</v>
      </c>
      <c r="L57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Store User Message Metadata</v>
      </c>
      <c r="M57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Keep Msg Metadata Indefinitely</v>
      </c>
    </row>
    <row r="574" spans="4:13">
      <c r="D574"/>
      <c r="F574" s="11"/>
      <c r="H574">
        <v>0</v>
      </c>
      <c r="I574" s="11" t="str" cm="1">
        <f t="array" aca="1" ref="I57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74" s="11" t="s">
        <v>2848</v>
      </c>
      <c r="K574" s="10" t="str">
        <f>TRIM(SUBSTITUTE( LEFT(DATA_Requirements[[#This Row],[Path]], FIND("/", SUBSTITUTE( DATA_Requirements[[#This Row],[Path]]," ","/"),1)-1), ".",""))</f>
        <v>Design</v>
      </c>
      <c r="L57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Store User Messages</v>
      </c>
      <c r="M57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Keep Msg Contents Indefinitely Separately in Blob</v>
      </c>
    </row>
    <row r="575" spans="4:13">
      <c r="D575"/>
      <c r="F575"/>
      <c r="H575">
        <v>0</v>
      </c>
      <c r="I575" t="str" cm="1">
        <f t="array" aca="1" ref="I57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75" t="s">
        <v>2849</v>
      </c>
      <c r="K575" s="10" t="str">
        <f>TRIM(SUBSTITUTE( LEFT(DATA_Requirements[[#This Row],[Path]], FIND("/", SUBSTITUTE( DATA_Requirements[[#This Row],[Path]]," ","/"),1)-1), ".",""))</f>
        <v>Design</v>
      </c>
      <c r="L57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View Users Messages</v>
      </c>
      <c r="M57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Authorised Users MUST be capable of exploring Messages sent and received by Users</v>
      </c>
    </row>
    <row r="576" spans="4:13">
      <c r="D576"/>
      <c r="F576"/>
      <c r="H576">
        <v>0</v>
      </c>
      <c r="I576" t="str" cm="1">
        <f t="array" aca="1" ref="I57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76" t="s">
        <v>2850</v>
      </c>
      <c r="K576" s="10" t="str">
        <f>TRIM(SUBSTITUTE( LEFT(DATA_Requirements[[#This Row],[Path]], FIND("/", SUBSTITUTE( DATA_Requirements[[#This Row],[Path]]," ","/"),1)-1), ".",""))</f>
        <v>Design</v>
      </c>
      <c r="L57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 service MUST be able to add</v>
      </c>
      <c r="M57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remove functionality via Modules.</v>
      </c>
    </row>
    <row r="577" spans="4:13">
      <c r="D577"/>
      <c r="F577"/>
      <c r="H577">
        <v>0</v>
      </c>
      <c r="I577" t="str" cm="1">
        <f t="array" aca="1" ref="I57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77" t="s">
        <v>2851</v>
      </c>
      <c r="K577" s="10" t="str">
        <f>TRIM(SUBSTITUTE( LEFT(DATA_Requirements[[#This Row],[Path]], FIND("/", SUBSTITUTE( DATA_Requirements[[#This Row],[Path]]," ","/"),1)-1), ".",""))</f>
        <v>Design</v>
      </c>
      <c r="L57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Module Permission Management</v>
      </c>
      <c r="M57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List Modules Permissions</v>
      </c>
    </row>
    <row r="578" spans="4:13">
      <c r="D578"/>
      <c r="F578"/>
      <c r="H578">
        <v>0</v>
      </c>
      <c r="I578" t="str" cm="1">
        <f t="array" aca="1" ref="I57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78" t="s">
        <v>2852</v>
      </c>
      <c r="K578" s="10" t="str">
        <f>TRIM(SUBSTITUTE( LEFT(DATA_Requirements[[#This Row],[Path]], FIND("/", SUBSTITUTE( DATA_Requirements[[#This Row],[Path]]," ","/"),1)-1), ".",""))</f>
        <v>Design</v>
      </c>
      <c r="L57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Modules in Blob Storage</v>
      </c>
      <c r="M57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persist Modules in Blob Storage to account for dynamically allocated devices in cloud environments</v>
      </c>
    </row>
    <row r="579" spans="4:13">
      <c r="D579"/>
      <c r="F579"/>
      <c r="H579">
        <v>0</v>
      </c>
      <c r="I579" t="str" cm="1">
        <f t="array" aca="1" ref="I57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79" t="s">
        <v>2853</v>
      </c>
      <c r="K579" s="10" t="str">
        <f>TRIM(SUBSTITUTE( LEFT(DATA_Requirements[[#This Row],[Path]], FIND("/", SUBSTITUTE( DATA_Requirements[[#This Row],[Path]]," ","/"),1)-1), ".",""))</f>
        <v>Design</v>
      </c>
      <c r="L57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57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Related Entities (using Relational DB ORM) Management</v>
      </c>
    </row>
    <row r="580" spans="4:13">
      <c r="D580"/>
      <c r="F580"/>
      <c r="H580">
        <v>0</v>
      </c>
      <c r="I580" t="str" cm="1">
        <f t="array" aca="1" ref="I58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80" t="s">
        <v>2854</v>
      </c>
      <c r="K580" s="10" t="str">
        <f>TRIM(SUBSTITUTE( LEFT(DATA_Requirements[[#This Row],[Path]], FIND("/", SUBSTITUTE( DATA_Requirements[[#This Row],[Path]]," ","/"),1)-1), ".",""))</f>
        <v>Design</v>
      </c>
      <c r="L58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58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Request Routing Management</v>
      </c>
    </row>
    <row r="581" spans="4:13">
      <c r="D581"/>
      <c r="F581"/>
      <c r="H581">
        <v>0</v>
      </c>
      <c r="I581" t="str" cm="1">
        <f t="array" aca="1" ref="I58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81" t="s">
        <v>2855</v>
      </c>
      <c r="K581" s="10" t="str">
        <f>TRIM(SUBSTITUTE( LEFT(DATA_Requirements[[#This Row],[Path]], FIND("/", SUBSTITUTE( DATA_Requirements[[#This Row],[Path]]," ","/"),1)-1), ".",""))</f>
        <v>Design</v>
      </c>
      <c r="L58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Search SummaryItems</v>
      </c>
      <c r="M58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Universal internal Search Functionality MUST return SummaryItem records summarising found Records</v>
      </c>
    </row>
    <row r="582" spans="4:13">
      <c r="D582"/>
      <c r="F582"/>
      <c r="H582">
        <v>0</v>
      </c>
      <c r="I582" t="str" cm="1">
        <f t="array" aca="1" ref="I58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82" t="s">
        <v>2856</v>
      </c>
      <c r="K582" s="10" t="str">
        <f>TRIM(SUBSTITUTE( LEFT(DATA_Requirements[[#This Row],[Path]], FIND("/", SUBSTITUTE( DATA_Requirements[[#This Row],[Path]]," ","/"),1)-1), ".",""))</f>
        <v>Design</v>
      </c>
      <c r="L58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Universal Internal Search</v>
      </c>
      <c r="M58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Service MUST be capable of Searching across all Modules, all key Objects within</v>
      </c>
    </row>
    <row r="583" spans="4:13">
      <c r="D583"/>
      <c r="F583"/>
      <c r="H583">
        <v>0</v>
      </c>
      <c r="I583" t="str" cm="1">
        <f t="array" aca="1" ref="I58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83" t="s">
        <v>2857</v>
      </c>
      <c r="K583" s="10" t="str">
        <f>TRIM(SUBSTITUTE( LEFT(DATA_Requirements[[#This Row],[Path]], FIND("/", SUBSTITUTE( DATA_Requirements[[#This Row],[Path]]," ","/"),1)-1), ".",""))</f>
        <v>Design</v>
      </c>
      <c r="L58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Device Context</v>
      </c>
      <c r="M58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Developers MUST be capable of querying the Server Device's Location, UTC Zone, Default Culture</v>
      </c>
    </row>
    <row r="584" spans="4:13">
      <c r="D584"/>
      <c r="F584"/>
      <c r="H584">
        <v>0</v>
      </c>
      <c r="I584" t="str" cm="1">
        <f t="array" aca="1" ref="I58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84" t="s">
        <v>2858</v>
      </c>
      <c r="K584" s="10" t="str">
        <f>TRIM(SUBSTITUTE( LEFT(DATA_Requirements[[#This Row],[Path]], FIND("/", SUBSTITUTE( DATA_Requirements[[#This Row],[Path]]," ","/"),1)-1), ".",""))</f>
        <v>Design</v>
      </c>
      <c r="L58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View User Permissions</v>
      </c>
      <c r="M58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 Authorised User may list the Permissions assigned to a User, identifying which Physical Module they are associated.</v>
      </c>
    </row>
    <row r="585" spans="4:13">
      <c r="D585"/>
      <c r="F585"/>
      <c r="H585">
        <v>0</v>
      </c>
      <c r="I585" t="str" cm="1">
        <f t="array" aca="1" ref="I58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85" t="s">
        <v>2859</v>
      </c>
      <c r="K585" s="10" t="str">
        <f>TRIM(SUBSTITUTE( LEFT(DATA_Requirements[[#This Row],[Path]], FIND("/", SUBSTITUTE( DATA_Requirements[[#This Row],[Path]]," ","/"),1)-1), ".",""))</f>
        <v>Design</v>
      </c>
      <c r="L58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Default Avatar Image</v>
      </c>
      <c r="M58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Authorised, Users MUST be capable of specifying a default Image of themselves</v>
      </c>
    </row>
    <row r="586" spans="4:13">
      <c r="D586"/>
      <c r="F586"/>
      <c r="H586">
        <v>0</v>
      </c>
      <c r="I586" t="str" cm="1">
        <f t="array" aca="1" ref="I58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86" t="s">
        <v>2860</v>
      </c>
      <c r="K586" s="10" t="str">
        <f>TRIM(SUBSTITUTE( LEFT(DATA_Requirements[[#This Row],[Path]], FIND("/", SUBSTITUTE( DATA_Requirements[[#This Row],[Path]]," ","/"),1)-1), ".",""))</f>
        <v>Design</v>
      </c>
      <c r="L58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Default Bio</v>
      </c>
      <c r="M58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Authorised, Users MUST be capable of specifying a default Bio about themselves.</v>
      </c>
    </row>
    <row r="587" spans="4:13">
      <c r="D587"/>
      <c r="F587"/>
      <c r="H587">
        <v>0</v>
      </c>
      <c r="I587" t="str" cm="1">
        <f t="array" aca="1" ref="I58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87" t="s">
        <v>2861</v>
      </c>
      <c r="K587" s="10" t="str">
        <f>TRIM(SUBSTITUTE( LEFT(DATA_Requirements[[#This Row],[Path]], FIND("/", SUBSTITUTE( DATA_Requirements[[#This Row],[Path]]," ","/"),1)-1), ".",""))</f>
        <v>Design</v>
      </c>
      <c r="L58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Default Name</v>
      </c>
      <c r="M58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Authorised, Users MUST be capable of specifying a Default Name (to avoid disclosing uneccessary PII).</v>
      </c>
    </row>
    <row r="588" spans="4:13">
      <c r="D588"/>
      <c r="F588"/>
      <c r="H588">
        <v>0</v>
      </c>
      <c r="I588" t="str" cm="1">
        <f t="array" aca="1" ref="I58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88" t="s">
        <v>2862</v>
      </c>
      <c r="K588" s="10" t="str">
        <f>TRIM(SUBSTITUTE( LEFT(DATA_Requirements[[#This Row],[Path]], FIND("/", SUBSTITUTE( DATA_Requirements[[#This Row],[Path]]," ","/"),1)-1), ".",""))</f>
        <v>IF</v>
      </c>
      <c r="L588"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588"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589" spans="4:13">
      <c r="D589"/>
      <c r="F589"/>
      <c r="H589">
        <v>0</v>
      </c>
      <c r="I589" t="str" cm="1">
        <f t="array" aca="1" ref="I58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89" t="s">
        <v>2863</v>
      </c>
      <c r="K589" s="10" t="str">
        <f>TRIM(SUBSTITUTE( LEFT(DATA_Requirements[[#This Row],[Path]], FIND("/", SUBSTITUTE( DATA_Requirements[[#This Row],[Path]]," ","/"),1)-1), ".",""))</f>
        <v>IF</v>
      </c>
      <c r="L589"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589"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590" spans="4:13">
      <c r="D590"/>
      <c r="F590"/>
      <c r="H590">
        <v>0</v>
      </c>
      <c r="I590" t="str" cm="1">
        <f t="array" aca="1" ref="I59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90" t="s">
        <v>2864</v>
      </c>
      <c r="K590" s="10" t="str">
        <f>TRIM(SUBSTITUTE( LEFT(DATA_Requirements[[#This Row],[Path]], FIND("/", SUBSTITUTE( DATA_Requirements[[#This Row],[Path]]," ","/"),1)-1), ".",""))</f>
        <v>Design</v>
      </c>
      <c r="L59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Patterns</v>
      </c>
      <c r="M59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API Controllers use Mapping Service to Map Sys Models to&amp;from Msg Models</v>
      </c>
    </row>
    <row r="591" spans="4:13">
      <c r="D591"/>
      <c r="F591"/>
      <c r="H591">
        <v>0</v>
      </c>
      <c r="I591" t="str" cm="1">
        <f t="array" aca="1" ref="I59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91" t="s">
        <v>2865</v>
      </c>
      <c r="K591" s="10" t="str">
        <f>TRIM(SUBSTITUTE( LEFT(DATA_Requirements[[#This Row],[Path]], FIND("/", SUBSTITUTE( DATA_Requirements[[#This Row],[Path]]," ","/"),1)-1), ".",""))</f>
        <v>Design</v>
      </c>
      <c r="L59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Can Disable Users</v>
      </c>
      <c r="M59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Authorised Users MUST be capable of Disabling Users (if considered to be a bad actor)</v>
      </c>
    </row>
    <row r="592" spans="4:13">
      <c r="D592"/>
      <c r="F592"/>
      <c r="H592">
        <v>0</v>
      </c>
      <c r="I592" t="str" cm="1">
        <f t="array" aca="1" ref="I59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92" t="s">
        <v>2866</v>
      </c>
      <c r="K592" s="10" t="str">
        <f>TRIM(SUBSTITUTE( LEFT(DATA_Requirements[[#This Row],[Path]], FIND("/", SUBSTITUTE( DATA_Requirements[[#This Row],[Path]]," ","/"),1)-1), ".",""))</f>
        <v>Design</v>
      </c>
      <c r="L59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Can Temporarily Disable Users</v>
      </c>
      <c r="M59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Authorised Users MUST be capable of Disabling Users for a Duration of Time (eg: After a number of failed attempts to authenticate)</v>
      </c>
    </row>
    <row r="593" spans="4:13">
      <c r="D593"/>
      <c r="F593"/>
      <c r="H593">
        <v>0</v>
      </c>
      <c r="I593" t="str" cm="1">
        <f t="array" aca="1" ref="I59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93" t="s">
        <v>2867</v>
      </c>
      <c r="K593" s="10" t="str">
        <f>TRIM(SUBSTITUTE( LEFT(DATA_Requirements[[#This Row],[Path]], FIND("/", SUBSTITUTE( DATA_Requirements[[#This Row],[Path]]," ","/"),1)-1), ".",""))</f>
        <v>Design</v>
      </c>
      <c r="L59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Can Temporarily Enable Users</v>
      </c>
      <c r="M59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Authorised Users MUST be capable of enabling Users for a specified Chron Duration (eg: Semester)</v>
      </c>
    </row>
    <row r="594" spans="4:13">
      <c r="D594"/>
      <c r="F594"/>
      <c r="H594">
        <v>0</v>
      </c>
      <c r="I594" t="str" cm="1">
        <f t="array" aca="1" ref="I59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94" t="s">
        <v>2868</v>
      </c>
      <c r="K594" s="10" t="str">
        <f>TRIM(SUBSTITUTE( LEFT(DATA_Requirements[[#This Row],[Path]], FIND("/", SUBSTITUTE( DATA_Requirements[[#This Row],[Path]]," ","/"),1)-1), ".",""))</f>
        <v>Design</v>
      </c>
      <c r="L59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 Framework Examples</v>
      </c>
      <c r="M59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Examples of consuming all APIs will be provided to facilitate later integration.</v>
      </c>
    </row>
    <row r="595" spans="4:13">
      <c r="D595"/>
      <c r="F595"/>
      <c r="H595">
        <v>0</v>
      </c>
      <c r="I595" t="str" cm="1">
        <f t="array" aca="1" ref="I59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95" t="s">
        <v>2869</v>
      </c>
      <c r="K595" s="10" t="str">
        <f>TRIM(SUBSTITUTE( LEFT(DATA_Requirements[[#This Row],[Path]], FIND("/", SUBSTITUTE( DATA_Requirements[[#This Row],[Path]]," ","/"),1)-1), ".",""))</f>
        <v>Design</v>
      </c>
      <c r="L59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Utilisation</v>
      </c>
      <c r="M59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DB Connections</v>
      </c>
    </row>
    <row r="596" spans="4:13">
      <c r="D596"/>
      <c r="F596" s="16"/>
      <c r="H596">
        <v>0</v>
      </c>
      <c r="I596" s="16" t="str" cm="1">
        <f t="array" aca="1" ref="I59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96" s="16" t="s">
        <v>2870</v>
      </c>
      <c r="K596" s="10" t="str">
        <f>TRIM(SUBSTITUTE( LEFT(DATA_Requirements[[#This Row],[Path]], FIND("/", SUBSTITUTE( DATA_Requirements[[#This Row],[Path]]," ","/"),1)-1), ".",""))</f>
        <v>DESIGN</v>
      </c>
      <c r="L59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DETAILED</v>
      </c>
      <c r="M59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...A766</v>
      </c>
    </row>
    <row r="597" spans="4:13">
      <c r="D597"/>
      <c r="F597"/>
      <c r="H597">
        <v>0</v>
      </c>
      <c r="I597" t="str" cm="1">
        <f t="array" aca="1" ref="I59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97" t="s">
        <v>2871</v>
      </c>
      <c r="K597" s="10" t="str">
        <f>TRIM(SUBSTITUTE( LEFT(DATA_Requirements[[#This Row],[Path]], FIND("/", SUBSTITUTE( DATA_Requirements[[#This Row],[Path]]," ","/"),1)-1), ".",""))</f>
        <v>Design</v>
      </c>
      <c r="L59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Dynamically</v>
      </c>
      <c r="M59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Dynamically allocated horizontally scaled Web Servers</v>
      </c>
    </row>
    <row r="598" spans="4:13">
      <c r="D598"/>
      <c r="F598"/>
      <c r="H598">
        <v>0</v>
      </c>
      <c r="I598" t="str" cm="1">
        <f t="array" aca="1" ref="I59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98" t="s">
        <v>2872</v>
      </c>
      <c r="K598" s="10" t="str">
        <f>TRIM(SUBSTITUTE( LEFT(DATA_Requirements[[#This Row],[Path]], FIND("/", SUBSTITUTE( DATA_Requirements[[#This Row],[Path]]," ","/"),1)-1), ".",""))</f>
        <v>Design</v>
      </c>
      <c r="L59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Invitation Msg</v>
      </c>
      <c r="M59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Template Message MUST be developed to be sent to Invite Users to a Group Role for a Duration</v>
      </c>
    </row>
    <row r="599" spans="4:13">
      <c r="D599"/>
      <c r="F599"/>
      <c r="H599">
        <v>0</v>
      </c>
      <c r="I599" t="str" cm="1">
        <f t="array" aca="1" ref="I59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599" t="s">
        <v>2873</v>
      </c>
      <c r="K599" s="10" t="str">
        <f>TRIM(SUBSTITUTE( LEFT(DATA_Requirements[[#This Row],[Path]], FIND("/", SUBSTITUTE( DATA_Requirements[[#This Row],[Path]]," ","/"),1)-1), ".",""))</f>
        <v>Design</v>
      </c>
      <c r="L59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Welcome Msg</v>
      </c>
      <c r="M59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Template Message MUST be developed to Welcome New Group Members</v>
      </c>
    </row>
    <row r="600" spans="4:13">
      <c r="D600"/>
      <c r="F600"/>
      <c r="H600">
        <v>0</v>
      </c>
      <c r="I600" t="str" cm="1">
        <f t="array" aca="1" ref="I60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00" t="s">
        <v>2874</v>
      </c>
      <c r="K600" s="10" t="str">
        <f>TRIM(SUBSTITUTE( LEFT(DATA_Requirements[[#This Row],[Path]], FIND("/", SUBSTITUTE( DATA_Requirements[[#This Row],[Path]]," ","/"),1)-1), ".",""))</f>
        <v>Design</v>
      </c>
      <c r="L60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Welcome Msg</v>
      </c>
      <c r="M60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Template Message MUST be developed to Welcome to New System Members</v>
      </c>
    </row>
    <row r="601" spans="4:13">
      <c r="D601"/>
      <c r="F601"/>
      <c r="H601">
        <v>0</v>
      </c>
      <c r="I601" t="str" cm="1">
        <f t="array" aca="1" ref="I60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01" t="s">
        <v>2875</v>
      </c>
      <c r="K601" s="10" t="str">
        <f>TRIM(SUBSTITUTE( LEFT(DATA_Requirements[[#This Row],[Path]], FIND("/", SUBSTITUTE( DATA_Requirements[[#This Row],[Path]]," ","/"),1)-1), ".",""))</f>
        <v>Design</v>
      </c>
      <c r="L60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All</v>
      </c>
      <c r="M60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Functionality SHOULD be appropriately accessible by Permission validating APIs</v>
      </c>
    </row>
    <row r="602" spans="4:13">
      <c r="D602"/>
      <c r="F602" s="21"/>
      <c r="H602">
        <v>0</v>
      </c>
      <c r="I602" s="21" t="str" cm="1">
        <f t="array" aca="1" ref="I60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02" s="21" t="s">
        <v>5276</v>
      </c>
      <c r="K602" s="10" t="str">
        <f>TRIM(SUBSTITUTE( LEFT(DATA_Requirements[[#This Row],[Path]], FIND("/", SUBSTITUTE( DATA_Requirements[[#This Row],[Path]]," ","/"),1)-1), ".",""))</f>
        <v>DESIGN</v>
      </c>
      <c r="L60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CLIENT</v>
      </c>
      <c r="M60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603" spans="4:13">
      <c r="D603"/>
      <c r="F603"/>
      <c r="H603">
        <v>0</v>
      </c>
      <c r="I603" t="str" cm="1">
        <f t="array" aca="1" ref="I60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03" t="s">
        <v>2876</v>
      </c>
      <c r="K603" s="10" t="str">
        <f>TRIM(SUBSTITUTE( LEFT(DATA_Requirements[[#This Row],[Path]], FIND("/", SUBSTITUTE( DATA_Requirements[[#This Row],[Path]]," ","/"),1)-1), ".",""))</f>
        <v>Design</v>
      </c>
      <c r="L60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Aesthetics</v>
      </c>
      <c r="M60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Aesthetics</v>
      </c>
    </row>
    <row r="604" spans="4:13">
      <c r="D604"/>
      <c r="F604"/>
      <c r="H604">
        <v>0</v>
      </c>
      <c r="I604" t="str" cm="1">
        <f t="array" aca="1" ref="I60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04" t="s">
        <v>2877</v>
      </c>
      <c r="K604" s="10" t="str">
        <f>TRIM(SUBSTITUTE( LEFT(DATA_Requirements[[#This Row],[Path]], FIND("/", SUBSTITUTE( DATA_Requirements[[#This Row],[Path]]," ","/"),1)-1), ".",""))</f>
        <v>Design</v>
      </c>
      <c r="L60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Corporate</v>
      </c>
      <c r="M60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Corporate Branding</v>
      </c>
    </row>
    <row r="605" spans="4:13">
      <c r="D605"/>
      <c r="F605"/>
      <c r="H605">
        <v>0</v>
      </c>
      <c r="I605" t="str" cm="1">
        <f t="array" aca="1" ref="I60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05" t="s">
        <v>2878</v>
      </c>
      <c r="K605" s="10" t="str">
        <f>TRIM(SUBSTITUTE( LEFT(DATA_Requirements[[#This Row],[Path]], FIND("/", SUBSTITUTE( DATA_Requirements[[#This Row],[Path]]," ","/"),1)-1), ".",""))</f>
        <v>Design</v>
      </c>
      <c r="L60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Per</v>
      </c>
      <c r="M60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Per Tenancy Branding</v>
      </c>
    </row>
    <row r="606" spans="4:13">
      <c r="D606"/>
      <c r="F606"/>
      <c r="H606">
        <v>0</v>
      </c>
      <c r="I606" t="str" cm="1">
        <f t="array" aca="1" ref="I60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06" t="s">
        <v>2879</v>
      </c>
      <c r="K606" s="10" t="str">
        <f>TRIM(SUBSTITUTE( LEFT(DATA_Requirements[[#This Row],[Path]], FIND("/", SUBSTITUTE( DATA_Requirements[[#This Row],[Path]]," ","/"),1)-1), ".",""))</f>
        <v>Design</v>
      </c>
      <c r="L60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Corporate</v>
      </c>
      <c r="M60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Corporate Branding</v>
      </c>
    </row>
    <row r="607" spans="4:13">
      <c r="D607"/>
      <c r="F607" s="22"/>
      <c r="H607">
        <v>0</v>
      </c>
      <c r="I607" s="22" t="str" cm="1">
        <f t="array" aca="1" ref="I60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07" s="22" t="s">
        <v>2880</v>
      </c>
      <c r="K607" s="10" t="str">
        <f>TRIM(SUBSTITUTE( LEFT(DATA_Requirements[[#This Row],[Path]], FIND("/", SUBSTITUTE( DATA_Requirements[[#This Row],[Path]]," ","/"),1)-1), ".",""))</f>
        <v>DESIGN</v>
      </c>
      <c r="L60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UI CLIENT</v>
      </c>
      <c r="M60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608" spans="4:13">
      <c r="D608"/>
      <c r="F608"/>
      <c r="H608">
        <v>0</v>
      </c>
      <c r="I608" t="str" cm="1">
        <f t="array" aca="1" ref="I60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08" t="s">
        <v>2881</v>
      </c>
      <c r="K608" s="10" t="str">
        <f>TRIM(SUBSTITUTE( LEFT(DATA_Requirements[[#This Row],[Path]], FIND("/", SUBSTITUTE( DATA_Requirements[[#This Row],[Path]]," ","/"),1)-1), ".",""))</f>
        <v>Design</v>
      </c>
      <c r="L60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Completeness</v>
      </c>
      <c r="M60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Service Clients SHOULD cache information on the Client Device to minimize traffic</v>
      </c>
    </row>
    <row r="609" spans="4:13">
      <c r="D609"/>
      <c r="F609"/>
      <c r="H609">
        <v>0</v>
      </c>
      <c r="I609" t="str" cm="1">
        <f t="array" aca="1" ref="I60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09" t="s">
        <v>2882</v>
      </c>
      <c r="K609" s="10" t="str">
        <f>TRIM(SUBSTITUTE( LEFT(DATA_Requirements[[#This Row],[Path]], FIND("/", SUBSTITUTE( DATA_Requirements[[#This Row],[Path]]," ","/"),1)-1), ".",""))</f>
        <v>Design</v>
      </c>
      <c r="L60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Tenant Context</v>
      </c>
      <c r="M60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Branding</v>
      </c>
    </row>
    <row r="610" spans="4:13">
      <c r="D610"/>
      <c r="F610"/>
      <c r="H610">
        <v>0</v>
      </c>
      <c r="I610" t="str" cm="1">
        <f t="array" aca="1" ref="I61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10" t="s">
        <v>2883</v>
      </c>
      <c r="K610" s="10" t="str">
        <f>TRIM(SUBSTITUTE( LEFT(DATA_Requirements[[#This Row],[Path]], FIND("/", SUBSTITUTE( DATA_Requirements[[#This Row],[Path]]," ","/"),1)-1), ".",""))</f>
        <v>Design</v>
      </c>
      <c r="L61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AntiPatterns</v>
      </c>
      <c r="M61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Letting Interface Appearance drive Development</v>
      </c>
    </row>
    <row r="611" spans="4:13">
      <c r="D611"/>
      <c r="F611"/>
      <c r="H611">
        <v>0</v>
      </c>
      <c r="I611" t="str" cm="1">
        <f t="array" aca="1" ref="I61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11" t="s">
        <v>2884</v>
      </c>
      <c r="K611" s="10" t="str">
        <f>TRIM(SUBSTITUTE( LEFT(DATA_Requirements[[#This Row],[Path]], FIND("/", SUBSTITUTE( DATA_Requirements[[#This Row],[Path]]," ","/"),1)-1), ".",""))</f>
        <v>Design</v>
      </c>
      <c r="L61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Principles</v>
      </c>
      <c r="M61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Interpretation versus Translation</v>
      </c>
    </row>
    <row r="612" spans="4:13">
      <c r="D612"/>
      <c r="F612" s="15"/>
      <c r="H612">
        <v>0</v>
      </c>
      <c r="I612" s="15" t="str" cm="1">
        <f t="array" aca="1" ref="I61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12" s="15" t="s">
        <v>2885</v>
      </c>
      <c r="K612" s="10" t="str">
        <f>TRIM(SUBSTITUTE( LEFT(DATA_Requirements[[#This Row],[Path]], FIND("/", SUBSTITUTE( DATA_Requirements[[#This Row],[Path]]," ","/"),1)-1), ".",""))</f>
        <v>Design</v>
      </c>
      <c r="L61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Modularity</v>
      </c>
      <c r="M61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UI Client MUST provide functionality to be listed As a Service Client Mobile Dashboard item</v>
      </c>
    </row>
    <row r="613" spans="4:13">
      <c r="D613"/>
      <c r="F613" s="15"/>
      <c r="H613">
        <v>0</v>
      </c>
      <c r="I613" s="15" t="str" cm="1">
        <f t="array" aca="1" ref="I61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13" s="15" t="s">
        <v>2886</v>
      </c>
      <c r="K613" s="10" t="str">
        <f>TRIM(SUBSTITUTE( LEFT(DATA_Requirements[[#This Row],[Path]], FIND("/", SUBSTITUTE( DATA_Requirements[[#This Row],[Path]]," ","/"),1)-1), ".",""))</f>
        <v>Design</v>
      </c>
      <c r="L61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Modularity</v>
      </c>
      <c r="M61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UI MUST be developed using a leading Single Page Application (SPA) Framework</v>
      </c>
    </row>
    <row r="614" spans="4:13">
      <c r="D614"/>
      <c r="F614"/>
      <c r="H614">
        <v>0</v>
      </c>
      <c r="I614" t="str" cm="1">
        <f t="array" aca="1" ref="I61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14" t="s">
        <v>2887</v>
      </c>
      <c r="K614" s="10" t="str">
        <f>TRIM(SUBSTITUTE( LEFT(DATA_Requirements[[#This Row],[Path]], FIND("/", SUBSTITUTE( DATA_Requirements[[#This Row],[Path]]," ","/"),1)-1), ".",""))</f>
        <v>Design</v>
      </c>
      <c r="L61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Availability</v>
      </c>
      <c r="M61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Scalability</v>
      </c>
    </row>
    <row r="615" spans="4:13">
      <c r="D615"/>
      <c r="F615"/>
      <c r="H615">
        <v>0</v>
      </c>
      <c r="I615" t="str" cm="1">
        <f t="array" aca="1" ref="I61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15" t="s">
        <v>2888</v>
      </c>
      <c r="K615" s="10" t="str">
        <f>TRIM(SUBSTITUTE( LEFT(DATA_Requirements[[#This Row],[Path]], FIND("/", SUBSTITUTE( DATA_Requirements[[#This Row],[Path]]," ","/"),1)-1), ".",""))</f>
        <v>Design</v>
      </c>
      <c r="L61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APIs</v>
      </c>
      <c r="M61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Queryability</v>
      </c>
    </row>
    <row r="616" spans="4:13">
      <c r="D616"/>
      <c r="F616"/>
      <c r="H616">
        <v>0</v>
      </c>
      <c r="I616" t="str" cm="1">
        <f t="array" aca="1" ref="I61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16" t="s">
        <v>2889</v>
      </c>
      <c r="K616" s="10" t="str">
        <f>TRIM(SUBSTITUTE( LEFT(DATA_Requirements[[#This Row],[Path]], FIND("/", SUBSTITUTE( DATA_Requirements[[#This Row],[Path]]," ","/"),1)-1), ".",""))</f>
        <v>Design</v>
      </c>
      <c r="L61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Modularity</v>
      </c>
      <c r="M61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component Views MUST be either Input, Output, or Collections - but combinations thereof</v>
      </c>
    </row>
    <row r="617" spans="4:13">
      <c r="D617"/>
      <c r="F617"/>
      <c r="H617">
        <v>0</v>
      </c>
      <c r="I617" t="str" cm="1">
        <f t="array" aca="1" ref="I61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17" t="s">
        <v>2890</v>
      </c>
      <c r="K617" s="10" t="str">
        <f>TRIM(SUBSTITUTE( LEFT(DATA_Requirements[[#This Row],[Path]], FIND("/", SUBSTITUTE( DATA_Requirements[[#This Row],[Path]]," ","/"),1)-1), ".",""))</f>
        <v>Design</v>
      </c>
      <c r="L61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Modularity</v>
      </c>
      <c r="M61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Interfaces MUST be developed from Views</v>
      </c>
    </row>
    <row r="618" spans="4:13">
      <c r="D618"/>
      <c r="F618"/>
      <c r="H618">
        <v>0</v>
      </c>
      <c r="I618" t="str" cm="1">
        <f t="array" aca="1" ref="I61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18" t="s">
        <v>2891</v>
      </c>
      <c r="K618" s="10" t="str">
        <f>TRIM(SUBSTITUTE( LEFT(DATA_Requirements[[#This Row],[Path]], FIND("/", SUBSTITUTE( DATA_Requirements[[#This Row],[Path]]," ","/"),1)-1), ".",""))</f>
        <v>Design</v>
      </c>
      <c r="L61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Notification</v>
      </c>
      <c r="M61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Alerting</v>
      </c>
    </row>
    <row r="619" spans="4:13">
      <c r="D619"/>
      <c r="F619"/>
      <c r="H619">
        <v>0</v>
      </c>
      <c r="I619" t="str" cm="1">
        <f t="array" aca="1" ref="I61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19" t="s">
        <v>2892</v>
      </c>
      <c r="K619" s="10" t="str">
        <f>TRIM(SUBSTITUTE( LEFT(DATA_Requirements[[#This Row],[Path]], FIND("/", SUBSTITUTE( DATA_Requirements[[#This Row],[Path]]," ","/"),1)-1), ".",""))</f>
        <v>Design</v>
      </c>
      <c r="L61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Current Browsers</v>
      </c>
      <c r="M61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interface MUST be kept running in current market leading browsers (latest version - 6 months)</v>
      </c>
    </row>
    <row r="620" spans="4:13">
      <c r="D620"/>
      <c r="F620"/>
      <c r="H620">
        <v>0</v>
      </c>
      <c r="I620" t="str" cm="1">
        <f t="array" aca="1" ref="I62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20" t="s">
        <v>2893</v>
      </c>
      <c r="K620" s="10" t="str">
        <f>TRIM(SUBSTITUTE( LEFT(DATA_Requirements[[#This Row],[Path]], FIND("/", SUBSTITUTE( DATA_Requirements[[#This Row],[Path]]," ","/"),1)-1), ".",""))</f>
        <v>Design</v>
      </c>
      <c r="L62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Errors Are Recoverable</v>
      </c>
      <c r="M62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Continuation after an Exception MUST not require a refresh of the browser.</v>
      </c>
    </row>
    <row r="621" spans="4:13">
      <c r="D621"/>
      <c r="F621"/>
      <c r="H621">
        <v>0</v>
      </c>
      <c r="I621" t="str" cm="1">
        <f t="array" aca="1" ref="I62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21" t="s">
        <v>2894</v>
      </c>
      <c r="K621" s="10" t="str">
        <f>TRIM(SUBSTITUTE( LEFT(DATA_Requirements[[#This Row],[Path]], FIND("/", SUBSTITUTE( DATA_Requirements[[#This Row],[Path]]," ","/"),1)-1), ".",""))</f>
        <v>Design</v>
      </c>
      <c r="L62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ISO-25010</v>
      </c>
      <c r="M62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Resource Utilisation</v>
      </c>
    </row>
    <row r="622" spans="4:13">
      <c r="D622"/>
      <c r="F622"/>
      <c r="H622">
        <v>0</v>
      </c>
      <c r="I622" t="str" cm="1">
        <f t="array" aca="1" ref="I62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22" t="s">
        <v>2895</v>
      </c>
      <c r="K622" s="10" t="str">
        <f>TRIM(SUBSTITUTE( LEFT(DATA_Requirements[[#This Row],[Path]], FIND("/", SUBSTITUTE( DATA_Requirements[[#This Row],[Path]]," ","/"),1)-1), ".",""))</f>
        <v>Design</v>
      </c>
      <c r="L62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 Utilisation</v>
      </c>
      <c r="M62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CPU</v>
      </c>
    </row>
    <row r="623" spans="4:13">
      <c r="D623"/>
      <c r="F623"/>
      <c r="H623">
        <v>0</v>
      </c>
      <c r="I623" t="str" cm="1">
        <f t="array" aca="1" ref="I62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23" t="s">
        <v>2896</v>
      </c>
      <c r="K623" s="10" t="str">
        <f>TRIM(SUBSTITUTE( LEFT(DATA_Requirements[[#This Row],[Path]], FIND("/", SUBSTITUTE( DATA_Requirements[[#This Row],[Path]]," ","/"),1)-1), ".",""))</f>
        <v>Design</v>
      </c>
      <c r="L62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ISO-25010</v>
      </c>
      <c r="M62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Security</v>
      </c>
    </row>
    <row r="624" spans="4:13">
      <c r="D624"/>
      <c r="F624"/>
      <c r="H624">
        <v>0</v>
      </c>
      <c r="I624" t="str" cm="1">
        <f t="array" aca="1" ref="I62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24" t="s">
        <v>2897</v>
      </c>
      <c r="K624" s="10" t="str">
        <f>TRIM(SUBSTITUTE( LEFT(DATA_Requirements[[#This Row],[Path]], FIND("/", SUBSTITUTE( DATA_Requirements[[#This Row],[Path]]," ","/"),1)-1), ".",""))</f>
        <v>Design</v>
      </c>
      <c r="L62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Security</v>
      </c>
      <c r="M62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Storage</v>
      </c>
    </row>
    <row r="625" spans="4:13">
      <c r="D625"/>
      <c r="F625"/>
      <c r="H625">
        <v>0</v>
      </c>
      <c r="I625" t="str" cm="1">
        <f t="array" aca="1" ref="I62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25" t="s">
        <v>2898</v>
      </c>
      <c r="K625" s="10" t="str">
        <f>TRIM(SUBSTITUTE( LEFT(DATA_Requirements[[#This Row],[Path]], FIND("/", SUBSTITUTE( DATA_Requirements[[#This Row],[Path]]," ","/"),1)-1), ".",""))</f>
        <v>Design</v>
      </c>
      <c r="L62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Accessibility</v>
      </c>
      <c r="M62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Developers MUST NOT embed text resources into code (use interpretable resource localisation libraries)</v>
      </c>
    </row>
    <row r="626" spans="4:13">
      <c r="D626"/>
      <c r="F626"/>
      <c r="H626">
        <v>0</v>
      </c>
      <c r="I626" t="str" cm="1">
        <f t="array" aca="1" ref="I62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26" t="s">
        <v>2899</v>
      </c>
      <c r="K626" s="10" t="str">
        <f>TRIM(SUBSTITUTE( LEFT(DATA_Requirements[[#This Row],[Path]], FIND("/", SUBSTITUTE( DATA_Requirements[[#This Row],[Path]]," ","/"),1)-1), ".",""))</f>
        <v>Design</v>
      </c>
      <c r="L62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Accessibility</v>
      </c>
      <c r="M62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Graphics are Monochrome Scalable Graphics</v>
      </c>
    </row>
    <row r="627" spans="4:13">
      <c r="D627"/>
      <c r="F627"/>
      <c r="H627">
        <v>0</v>
      </c>
      <c r="I627" t="str" cm="1">
        <f t="array" aca="1" ref="I62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27" t="s">
        <v>2900</v>
      </c>
      <c r="K627" s="10" t="str">
        <f>TRIM(SUBSTITUTE( LEFT(DATA_Requirements[[#This Row],[Path]], FIND("/", SUBSTITUTE( DATA_Requirements[[#This Row],[Path]]," ","/"),1)-1), ".",""))</f>
        <v>Design</v>
      </c>
      <c r="L62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Accessibility</v>
      </c>
      <c r="M62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Images MUST be developed as monochromatic Scalable Graphics, displayable on colour backgrounds</v>
      </c>
    </row>
    <row r="628" spans="4:13">
      <c r="D628"/>
      <c r="F628"/>
      <c r="H628">
        <v>0</v>
      </c>
      <c r="I628" t="str" cm="1">
        <f t="array" aca="1" ref="I62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28" t="s">
        <v>2901</v>
      </c>
      <c r="K628" s="10" t="str">
        <f>TRIM(SUBSTITUTE( LEFT(DATA_Requirements[[#This Row],[Path]], FIND("/", SUBSTITUTE( DATA_Requirements[[#This Row],[Path]]," ","/"),1)-1), ".",""))</f>
        <v>Design</v>
      </c>
      <c r="L62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Accessibility</v>
      </c>
      <c r="M62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UnAuthenticated Users MUST be able to specify their Session's preferred language</v>
      </c>
    </row>
    <row r="629" spans="4:13">
      <c r="D629"/>
      <c r="F629"/>
      <c r="H629">
        <v>0</v>
      </c>
      <c r="I629" t="str" cm="1">
        <f t="array" aca="1" ref="I62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29" t="s">
        <v>2902</v>
      </c>
      <c r="K629" s="10" t="str">
        <f>TRIM(SUBSTITUTE( LEFT(DATA_Requirements[[#This Row],[Path]], FIND("/", SUBSTITUTE( DATA_Requirements[[#This Row],[Path]]," ","/"),1)-1), ".",""))</f>
        <v>Design</v>
      </c>
      <c r="L62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Accessibility</v>
      </c>
      <c r="M62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UnAuthenticated Users MUST have a static Dashboard View</v>
      </c>
    </row>
    <row r="630" spans="4:13">
      <c r="D630"/>
      <c r="F630"/>
      <c r="H630">
        <v>0</v>
      </c>
      <c r="I630" t="str" cm="1">
        <f t="array" aca="1" ref="I63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30" t="s">
        <v>2903</v>
      </c>
      <c r="K630" s="10" t="str">
        <f>TRIM(SUBSTITUTE( LEFT(DATA_Requirements[[#This Row],[Path]], FIND("/", SUBSTITUTE( DATA_Requirements[[#This Row],[Path]]," ","/"),1)-1), ".",""))</f>
        <v>Design</v>
      </c>
      <c r="L63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Accessibility|Blue &amp; Yellow SHOULD be used to indicate binary options (Correct</v>
      </c>
      <c r="M63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Incorrect, etc.)</v>
      </c>
    </row>
    <row r="631" spans="4:13">
      <c r="D631"/>
      <c r="F631"/>
      <c r="H631">
        <v>0</v>
      </c>
      <c r="I631" t="str" cm="1">
        <f t="array" aca="1" ref="I63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31" t="s">
        <v>2904</v>
      </c>
      <c r="K631" s="10" t="str">
        <f>TRIM(SUBSTITUTE( LEFT(DATA_Requirements[[#This Row],[Path]], FIND("/", SUBSTITUTE( DATA_Requirements[[#This Row],[Path]]," ","/"),1)-1), ".",""))</f>
        <v>Design</v>
      </c>
      <c r="L63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Accessibility|Red &amp; Green MUST NOT be used to indicate binary options (Correct</v>
      </c>
      <c r="M63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Incorrect, etc.)</v>
      </c>
    </row>
    <row r="632" spans="4:13">
      <c r="D632"/>
      <c r="F632"/>
      <c r="H632">
        <v>0</v>
      </c>
      <c r="I632" t="str" cm="1">
        <f t="array" aca="1" ref="I63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32" t="s">
        <v>2905</v>
      </c>
      <c r="K632" s="10" t="str">
        <f>TRIM(SUBSTITUTE( LEFT(DATA_Requirements[[#This Row],[Path]], FIND("/", SUBSTITUTE( DATA_Requirements[[#This Row],[Path]]," ","/"),1)-1), ".",""))</f>
        <v>Design</v>
      </c>
      <c r="L63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Aesthetics</v>
      </c>
      <c r="M63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Provide enough text space for Interpretations</v>
      </c>
    </row>
    <row r="633" spans="4:13">
      <c r="D633"/>
      <c r="F633"/>
      <c r="H633">
        <v>0</v>
      </c>
      <c r="I633" t="str" cm="1">
        <f t="array" aca="1" ref="I63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33" t="s">
        <v>2906</v>
      </c>
      <c r="K633" s="10" t="str">
        <f>TRIM(SUBSTITUTE( LEFT(DATA_Requirements[[#This Row],[Path]], FIND("/", SUBSTITUTE( DATA_Requirements[[#This Row],[Path]]," ","/"),1)-1), ".",""))</f>
        <v>Design</v>
      </c>
      <c r="L63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Learnability</v>
      </c>
      <c r="M63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State Change Operations (Save, Update, Delete, Link, etc.) MUST permit being Undone.</v>
      </c>
    </row>
    <row r="634" spans="4:13">
      <c r="D634"/>
      <c r="F634"/>
      <c r="H634">
        <v>0</v>
      </c>
      <c r="I634" t="str" cm="1">
        <f t="array" aca="1" ref="I63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34" t="s">
        <v>2907</v>
      </c>
      <c r="K634" s="10" t="str">
        <f>TRIM(SUBSTITUTE( LEFT(DATA_Requirements[[#This Row],[Path]], FIND("/", SUBSTITUTE( DATA_Requirements[[#This Row],[Path]]," ","/"),1)-1), ".",""))</f>
        <v>Design</v>
      </c>
      <c r="L63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Learnability</v>
      </c>
      <c r="M63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Interface MUST NOT require Training</v>
      </c>
    </row>
    <row r="635" spans="4:13">
      <c r="D635"/>
      <c r="F635"/>
      <c r="H635">
        <v>0</v>
      </c>
      <c r="I635" t="str" cm="1">
        <f t="array" aca="1" ref="I63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35" t="s">
        <v>2908</v>
      </c>
      <c r="K635" s="10" t="str">
        <f>TRIM(SUBSTITUTE( LEFT(DATA_Requirements[[#This Row],[Path]], FIND("/", SUBSTITUTE( DATA_Requirements[[#This Row],[Path]]," ","/"),1)-1), ".",""))</f>
        <v>Design</v>
      </c>
      <c r="L63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Operability</v>
      </c>
      <c r="M63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Printable Reports (ie all) MUST be printable as PDFs</v>
      </c>
    </row>
    <row r="636" spans="4:13">
      <c r="D636"/>
      <c r="F636"/>
      <c r="H636">
        <v>0</v>
      </c>
      <c r="I636" t="str" cm="1">
        <f t="array" aca="1" ref="I63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36" t="s">
        <v>2909</v>
      </c>
      <c r="K636" s="10" t="str">
        <f>TRIM(SUBSTITUTE( LEFT(DATA_Requirements[[#This Row],[Path]], FIND("/", SUBSTITUTE( DATA_Requirements[[#This Row],[Path]]," ","/"),1)-1), ".",""))</f>
        <v>Design</v>
      </c>
      <c r="L63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Operability</v>
      </c>
      <c r="M63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Allocate 180% Expected Space for Interpreted Translations</v>
      </c>
    </row>
    <row r="637" spans="4:13">
      <c r="D637"/>
      <c r="F637"/>
      <c r="H637">
        <v>0</v>
      </c>
      <c r="I637" t="str" cm="1">
        <f t="array" aca="1" ref="I63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37" t="s">
        <v>2910</v>
      </c>
      <c r="K637" s="10" t="str">
        <f>TRIM(SUBSTITUTE( LEFT(DATA_Requirements[[#This Row],[Path]], FIND("/", SUBSTITUTE( DATA_Requirements[[#This Row],[Path]]," ","/"),1)-1), ".",""))</f>
        <v>Design</v>
      </c>
      <c r="L63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Operability</v>
      </c>
      <c r="M63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Authenticated Users MUST be able to specify their preferred language, persisted in their Profile</v>
      </c>
    </row>
    <row r="638" spans="4:13">
      <c r="D638"/>
      <c r="F638"/>
      <c r="H638">
        <v>0</v>
      </c>
      <c r="I638" t="str" cm="1">
        <f t="array" aca="1" ref="I63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38" t="s">
        <v>2911</v>
      </c>
      <c r="K638" s="10" t="str">
        <f>TRIM(SUBSTITUTE( LEFT(DATA_Requirements[[#This Row],[Path]], FIND("/", SUBSTITUTE( DATA_Requirements[[#This Row],[Path]]," ","/"),1)-1), ".",""))</f>
        <v>Design</v>
      </c>
      <c r="L63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Operability</v>
      </c>
      <c r="M63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Authenticated Users MUST have a personalizable Dashboard View</v>
      </c>
    </row>
    <row r="639" spans="4:13">
      <c r="D639"/>
      <c r="F639"/>
      <c r="H639">
        <v>0</v>
      </c>
      <c r="I639" t="str" cm="1">
        <f t="array" aca="1" ref="I63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39" t="s">
        <v>2912</v>
      </c>
      <c r="K639" s="10" t="str">
        <f>TRIM(SUBSTITUTE( LEFT(DATA_Requirements[[#This Row],[Path]], FIND("/", SUBSTITUTE( DATA_Requirements[[#This Row],[Path]]," ","/"),1)-1), ".",""))</f>
        <v>Design</v>
      </c>
      <c r="L63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Recognisability</v>
      </c>
      <c r="M63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URL's Domain MUST be customizable according to Organisation or Tenancy.</v>
      </c>
    </row>
    <row r="640" spans="4:13">
      <c r="D640"/>
      <c r="F640"/>
      <c r="H640">
        <v>0</v>
      </c>
      <c r="I640" t="str" cm="1">
        <f t="array" aca="1" ref="I64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40" t="s">
        <v>2913</v>
      </c>
      <c r="K640" s="10" t="str">
        <f>TRIM(SUBSTITUTE( LEFT(DATA_Requirements[[#This Row],[Path]], FIND("/", SUBSTITUTE( DATA_Requirements[[#This Row],[Path]]," ","/"),1)-1), ".",""))</f>
        <v>Design</v>
      </c>
      <c r="L64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Reports are Printable</v>
      </c>
      <c r="M64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Reports MUST be printable</v>
      </c>
    </row>
    <row r="641" spans="4:13">
      <c r="D641"/>
      <c r="F641"/>
      <c r="H641">
        <v>0</v>
      </c>
      <c r="I641" t="str" cm="1">
        <f t="array" aca="1" ref="I64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41" t="s">
        <v>2914</v>
      </c>
      <c r="K641" s="10" t="str">
        <f>TRIM(SUBSTITUTE( LEFT(DATA_Requirements[[#This Row],[Path]], FIND("/", SUBSTITUTE( DATA_Requirements[[#This Row],[Path]]," ","/"),1)-1), ".",""))</f>
        <v>Design</v>
      </c>
      <c r="L64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Operability</v>
      </c>
      <c r="M64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Web interfaces MUST first be designed to run on the smallest common interface dimensions.</v>
      </c>
    </row>
    <row r="642" spans="4:13">
      <c r="D642"/>
      <c r="F642"/>
      <c r="H642">
        <v>0</v>
      </c>
      <c r="I642" t="str" cm="1">
        <f t="array" aca="1" ref="I64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42" t="s">
        <v>2915</v>
      </c>
      <c r="K642" s="10" t="str">
        <f>TRIM(SUBSTITUTE( LEFT(DATA_Requirements[[#This Row],[Path]], FIND("/", SUBSTITUTE( DATA_Requirements[[#This Row],[Path]]," ","/"),1)-1), ".",""))</f>
        <v>Design</v>
      </c>
      <c r="L64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Recognisability</v>
      </c>
      <c r="M64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Organisation Branding MUST be applyable to the interface to support trust</v>
      </c>
    </row>
    <row r="643" spans="4:13">
      <c r="D643"/>
      <c r="F643"/>
      <c r="H643">
        <v>0</v>
      </c>
      <c r="I643" t="str" cm="1">
        <f t="array" aca="1" ref="I64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43" t="s">
        <v>2916</v>
      </c>
      <c r="K643" s="10" t="str">
        <f>TRIM(SUBSTITUTE( LEFT(DATA_Requirements[[#This Row],[Path]], FIND("/", SUBSTITUTE( DATA_Requirements[[#This Row],[Path]]," ","/"),1)-1), ".",""))</f>
        <v>Design</v>
      </c>
      <c r="L64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Recognisability</v>
      </c>
      <c r="M64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Organisation Branding MUST be minimal -- users know what they are using and prefer functionality</v>
      </c>
    </row>
    <row r="644" spans="4:13">
      <c r="D644"/>
      <c r="F644"/>
      <c r="H644">
        <v>0</v>
      </c>
      <c r="I644" t="str" cm="1">
        <f t="array" aca="1" ref="I64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44" t="s">
        <v>2917</v>
      </c>
      <c r="K644" s="10" t="str">
        <f>TRIM(SUBSTITUTE( LEFT(DATA_Requirements[[#This Row],[Path]], FIND("/", SUBSTITUTE( DATA_Requirements[[#This Row],[Path]]," ","/"),1)-1), ".",""))</f>
        <v>Design</v>
      </c>
      <c r="L64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Recognisable Domain</v>
      </c>
      <c r="M64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URL's Domain MUST be customizable to a subdomain of the organisation Url.</v>
      </c>
    </row>
    <row r="645" spans="4:13">
      <c r="D645"/>
      <c r="F645"/>
      <c r="H645">
        <v>0</v>
      </c>
      <c r="I645" t="str" cm="1">
        <f t="array" aca="1" ref="I64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45" t="s">
        <v>2918</v>
      </c>
      <c r="K645" s="10" t="str">
        <f>TRIM(SUBSTITUTE( LEFT(DATA_Requirements[[#This Row],[Path]], FIND("/", SUBSTITUTE( DATA_Requirements[[#This Row],[Path]]," ","/"),1)-1), ".",""))</f>
        <v>Design</v>
      </c>
      <c r="L64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Recognisability</v>
      </c>
      <c r="M64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System Branding MUST be minimal -- users know what they are using and prefer functionality on mobile devices</v>
      </c>
    </row>
    <row r="646" spans="4:13">
      <c r="D646"/>
      <c r="F646"/>
      <c r="H646">
        <v>0</v>
      </c>
      <c r="I646" t="str" cm="1">
        <f t="array" aca="1" ref="I64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46" t="s">
        <v>2919</v>
      </c>
      <c r="K646" s="10" t="str">
        <f>TRIM(SUBSTITUTE( LEFT(DATA_Requirements[[#This Row],[Path]], FIND("/", SUBSTITUTE( DATA_Requirements[[#This Row],[Path]]," ","/"),1)-1), ".",""))</f>
        <v>Design</v>
      </c>
      <c r="L64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Accessibility</v>
      </c>
      <c r="M64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interface MUST meet WCAG 3 or later, Level Bronze or better</v>
      </c>
    </row>
    <row r="647" spans="4:13">
      <c r="D647"/>
      <c r="F647"/>
      <c r="H647">
        <v>0</v>
      </c>
      <c r="I647" t="str" cm="1">
        <f t="array" aca="1" ref="I64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47" t="s">
        <v>2920</v>
      </c>
      <c r="K647" s="10" t="str">
        <f>TRIM(SUBSTITUTE( LEFT(DATA_Requirements[[#This Row],[Path]], FIND("/", SUBSTITUTE( DATA_Requirements[[#This Row],[Path]]," ","/"),1)-1), ".",""))</f>
        <v>Design</v>
      </c>
      <c r="L64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v>
      </c>
      <c r="M64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Data Correction Statement is required being available</v>
      </c>
    </row>
    <row r="648" spans="4:13">
      <c r="D648"/>
      <c r="F648"/>
      <c r="H648">
        <v>0</v>
      </c>
      <c r="I648" t="str" cm="1">
        <f t="array" aca="1" ref="I64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48" t="s">
        <v>2921</v>
      </c>
      <c r="K648" s="10" t="str">
        <f>TRIM(SUBSTITUTE( LEFT(DATA_Requirements[[#This Row],[Path]], FIND("/", SUBSTITUTE( DATA_Requirements[[#This Row],[Path]]," ","/"),1)-1), ".",""))</f>
        <v>Design</v>
      </c>
      <c r="L64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v>
      </c>
      <c r="M64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Data Use Statement is required being available</v>
      </c>
    </row>
    <row r="649" spans="4:13">
      <c r="D649"/>
      <c r="F649"/>
      <c r="H649">
        <v>0</v>
      </c>
      <c r="I649" t="str" cm="1">
        <f t="array" aca="1" ref="I64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49" t="s">
        <v>2922</v>
      </c>
      <c r="K649" s="10" t="str">
        <f>TRIM(SUBSTITUTE( LEFT(DATA_Requirements[[#This Row],[Path]], FIND("/", SUBSTITUTE( DATA_Requirements[[#This Row],[Path]]," ","/"),1)-1), ".",""))</f>
        <v>Design</v>
      </c>
      <c r="L64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v>
      </c>
      <c r="M64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Privacy Statement is required being available</v>
      </c>
    </row>
    <row r="650" spans="4:13">
      <c r="D650"/>
      <c r="F650"/>
      <c r="H650">
        <v>0</v>
      </c>
      <c r="I650" t="str" cm="1">
        <f t="array" aca="1" ref="I65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50" t="s">
        <v>2923</v>
      </c>
      <c r="K650" s="10" t="str">
        <f>TRIM(SUBSTITUTE( LEFT(DATA_Requirements[[#This Row],[Path]], FIND("/", SUBSTITUTE( DATA_Requirements[[#This Row],[Path]]," ","/"),1)-1), ".",""))</f>
        <v>Design</v>
      </c>
      <c r="L65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v>
      </c>
      <c r="M65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Tracking (Cookie) Statement is required being available</v>
      </c>
    </row>
    <row r="651" spans="4:13">
      <c r="D651"/>
      <c r="F651"/>
      <c r="H651">
        <v>0</v>
      </c>
      <c r="I651" t="str" cm="1">
        <f t="array" aca="1" ref="I65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51" t="s">
        <v>2924</v>
      </c>
      <c r="K651" s="10" t="str">
        <f>TRIM(SUBSTITUTE( LEFT(DATA_Requirements[[#This Row],[Path]], FIND("/", SUBSTITUTE( DATA_Requirements[[#This Row],[Path]]," ","/"),1)-1), ".",""))</f>
        <v>Design</v>
      </c>
      <c r="L65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Privacy</v>
      </c>
      <c r="M65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 OutOut Statement is required being available</v>
      </c>
    </row>
    <row r="652" spans="4:13">
      <c r="D652"/>
      <c r="F652" s="21"/>
      <c r="H652">
        <v>0</v>
      </c>
      <c r="I652" s="21" t="str" cm="1">
        <f t="array" aca="1" ref="I65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52" s="21" t="s">
        <v>2925</v>
      </c>
      <c r="K652" s="10" t="str">
        <f>TRIM(SUBSTITUTE( LEFT(DATA_Requirements[[#This Row],[Path]], FIND("/", SUBSTITUTE( DATA_Requirements[[#This Row],[Path]]," ","/"),1)-1), ".",""))</f>
        <v>DESIGN</v>
      </c>
      <c r="L65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WORKITEMS</v>
      </c>
      <c r="M65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653" spans="4:13">
      <c r="D653"/>
      <c r="F653"/>
      <c r="H653">
        <v>0</v>
      </c>
      <c r="I653" t="str" cm="1">
        <f t="array" aca="1" ref="I65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53" t="s">
        <v>2926</v>
      </c>
      <c r="K653" s="10" t="str">
        <f>TRIM(SUBSTITUTE( LEFT(DATA_Requirements[[#This Row],[Path]], FIND("/", SUBSTITUTE( DATA_Requirements[[#This Row],[Path]]," ","/"),1)-1), ".",""))</f>
        <v>Design</v>
      </c>
      <c r="L65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Integrity</v>
      </c>
      <c r="M65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Code Repository SHOULD be protected by scanning Checkins for Confidential Credentials</v>
      </c>
    </row>
    <row r="654" spans="4:13">
      <c r="D654"/>
      <c r="F654" s="21"/>
      <c r="H654">
        <v>0</v>
      </c>
      <c r="I654" s="21" t="str" cm="1">
        <f t="array" aca="1" ref="I65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54" s="21" t="s">
        <v>2927</v>
      </c>
      <c r="K654" s="10" t="str">
        <f>TRIM(SUBSTITUTE( LEFT(DATA_Requirements[[#This Row],[Path]], FIND("/", SUBSTITUTE( DATA_Requirements[[#This Row],[Path]]," ","/"),1)-1), ".",""))</f>
        <v>DESIGN</v>
      </c>
      <c r="L65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v>
      </c>
      <c r="M65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655" spans="4:13">
      <c r="D655"/>
      <c r="F655"/>
      <c r="H655">
        <v>0</v>
      </c>
      <c r="I655" t="str" cm="1">
        <f t="array" aca="1" ref="I65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55" t="s">
        <v>2928</v>
      </c>
      <c r="K655" s="10" t="str">
        <f>TRIM(SUBSTITUTE( LEFT(DATA_Requirements[[#This Row],[Path]], FIND("/", SUBSTITUTE( DATA_Requirements[[#This Row],[Path]]," ","/"),1)-1), ".",""))</f>
        <v>Design</v>
      </c>
      <c r="L65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Deployment Automation Instructions</v>
      </c>
      <c r="M65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Hosted, Service Providers MUST regularly participate in developing and maintaining usable Deployment instructions for Deployment Specialists.</v>
      </c>
    </row>
    <row r="656" spans="4:13">
      <c r="D656"/>
      <c r="F656"/>
      <c r="H656">
        <v>0</v>
      </c>
      <c r="I656" t="str" cm="1">
        <f t="array" aca="1" ref="I65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56" t="s">
        <v>2929</v>
      </c>
      <c r="K656" s="10" t="str">
        <f>TRIM(SUBSTITUTE( LEFT(DATA_Requirements[[#This Row],[Path]], FIND("/", SUBSTITUTE( DATA_Requirements[[#This Row],[Path]]," ","/"),1)-1), ".",""))</f>
        <v>Design</v>
      </c>
      <c r="L65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Integation Automation Instructions</v>
      </c>
      <c r="M65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Service Providers MUST regularly participate in developing and maintaining usable integration instructions for Deployment and Maintenance Specialists.</v>
      </c>
    </row>
    <row r="657" spans="4:13">
      <c r="D657"/>
      <c r="F657"/>
      <c r="H657">
        <v>0</v>
      </c>
      <c r="I657" t="str" cm="1">
        <f t="array" aca="1" ref="I65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57" t="s">
        <v>2930</v>
      </c>
      <c r="K657" s="10" t="str">
        <f>TRIM(SUBSTITUTE( LEFT(DATA_Requirements[[#This Row],[Path]], FIND("/", SUBSTITUTE( DATA_Requirements[[#This Row],[Path]]," ","/"),1)-1), ".",""))</f>
        <v>Design</v>
      </c>
      <c r="L65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Usage</v>
      </c>
      <c r="M65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Environment Components and Services MUST NOT required exceptional sizing (CPU, Memory, Licenses)</v>
      </c>
    </row>
    <row r="658" spans="4:13">
      <c r="D658"/>
      <c r="F658"/>
      <c r="H658">
        <v>0</v>
      </c>
      <c r="I658" t="str" cm="1">
        <f t="array" aca="1" ref="I65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58" t="s">
        <v>2931</v>
      </c>
      <c r="K658" s="10" t="str">
        <f>TRIM(SUBSTITUTE( LEFT(DATA_Requirements[[#This Row],[Path]], FIND("/", SUBSTITUTE( DATA_Requirements[[#This Row],[Path]]," ","/"),1)-1), ".",""))</f>
        <v>Design</v>
      </c>
      <c r="L65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 Creation</v>
      </c>
      <c r="M65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Hosted, Environment creation MUST be idempotent</v>
      </c>
    </row>
    <row r="659" spans="4:13">
      <c r="D659"/>
      <c r="F659"/>
      <c r="H659">
        <v>0</v>
      </c>
      <c r="I659" t="str" cm="1">
        <f t="array" aca="1" ref="I65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59" t="s">
        <v>2932</v>
      </c>
      <c r="K659" s="10" t="str">
        <f>TRIM(SUBSTITUTE( LEFT(DATA_Requirements[[#This Row],[Path]], FIND("/", SUBSTITUTE( DATA_Requirements[[#This Row],[Path]]," ","/"),1)-1), ".",""))</f>
        <v>Design</v>
      </c>
      <c r="L65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Backups</v>
      </c>
      <c r="M65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Backups Separated from Runtime Environments (protect against Deletion)</v>
      </c>
    </row>
    <row r="660" spans="4:13">
      <c r="D660"/>
      <c r="F660"/>
      <c r="H660">
        <v>0</v>
      </c>
      <c r="I660" t="str" cm="1">
        <f t="array" aca="1" ref="I66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60" t="s">
        <v>2933</v>
      </c>
      <c r="K660" s="10" t="str">
        <f>TRIM(SUBSTITUTE( LEFT(DATA_Requirements[[#This Row],[Path]], FIND("/", SUBSTITUTE( DATA_Requirements[[#This Row],[Path]]," ","/"),1)-1), ".",""))</f>
        <v>Design</v>
      </c>
      <c r="L66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based Redirection</v>
      </c>
      <c r="M66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Environments MUST protect the system by redirecting HTTP requests to HTTPS equivalent requests (via WAF, Server Host Device Routing rules, etc.)</v>
      </c>
    </row>
    <row r="661" spans="4:13">
      <c r="D661"/>
      <c r="F661"/>
      <c r="H661">
        <v>0</v>
      </c>
      <c r="I661" t="str" cm="1">
        <f t="array" aca="1" ref="I66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61" t="s">
        <v>2934</v>
      </c>
      <c r="K661" s="10" t="str">
        <f>TRIM(SUBSTITUTE( LEFT(DATA_Requirements[[#This Row],[Path]], FIND("/", SUBSTITUTE( DATA_Requirements[[#This Row],[Path]]," ","/"),1)-1), ".",""))</f>
        <v>Design</v>
      </c>
      <c r="L66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Encryption</v>
      </c>
      <c r="M66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Message Encryption MAY be used when Channel Encryption is not available.</v>
      </c>
    </row>
    <row r="662" spans="4:13">
      <c r="D662"/>
      <c r="F662"/>
      <c r="H662">
        <v>0</v>
      </c>
      <c r="I662" t="str" cm="1">
        <f t="array" aca="1" ref="I66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62" t="s">
        <v>2935</v>
      </c>
      <c r="K662" s="10" t="str">
        <f>TRIM(SUBSTITUTE( LEFT(DATA_Requirements[[#This Row],[Path]], FIND("/", SUBSTITUTE( DATA_Requirements[[#This Row],[Path]]," ","/"),1)-1), ".",""))</f>
        <v>Design</v>
      </c>
      <c r="L66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Connections Btwn Devices</v>
      </c>
      <c r="M66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Connections between all devices MUST be channel encrypted when technically not possible</v>
      </c>
    </row>
    <row r="663" spans="4:13">
      <c r="D663"/>
      <c r="F663"/>
      <c r="H663">
        <v>0</v>
      </c>
      <c r="I663" t="str" cm="1">
        <f t="array" aca="1" ref="I66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63" t="s">
        <v>2936</v>
      </c>
      <c r="K663" s="10" t="str">
        <f>TRIM(SUBSTITUTE( LEFT(DATA_Requirements[[#This Row],[Path]], FIND("/", SUBSTITUTE( DATA_Requirements[[#This Row],[Path]]," ","/"),1)-1), ".",""))</f>
        <v>Design</v>
      </c>
      <c r="L66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Environments (ISO-25301,2)</v>
      </c>
      <c r="M66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Environments MUST be developed within ISO-25301, Level 2, independently certified locations (eg: Cloud Providers)</v>
      </c>
    </row>
    <row r="664" spans="4:13">
      <c r="D664"/>
      <c r="F664"/>
      <c r="H664">
        <v>0</v>
      </c>
      <c r="I664" t="str" cm="1">
        <f t="array" aca="1" ref="I66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64" t="s">
        <v>2937</v>
      </c>
      <c r="K664" s="10" t="str">
        <f>TRIM(SUBSTITUTE( LEFT(DATA_Requirements[[#This Row],[Path]], FIND("/", SUBSTITUTE( DATA_Requirements[[#This Row],[Path]]," ","/"),1)-1), ".",""))</f>
        <v>Design</v>
      </c>
      <c r="L66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Separate Environments Min</v>
      </c>
      <c r="M66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IF SaaS, two different licensed environments are required: NON-PROD-DATA and PROD-DATA</v>
      </c>
    </row>
    <row r="665" spans="4:13">
      <c r="D665"/>
      <c r="F665"/>
      <c r="H665">
        <v>0</v>
      </c>
      <c r="I665" t="str" cm="1">
        <f t="array" aca="1" ref="I66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65" t="s">
        <v>2938</v>
      </c>
      <c r="K665" s="10" t="str">
        <f>TRIM(SUBSTITUTE( LEFT(DATA_Requirements[[#This Row],[Path]], FIND("/", SUBSTITUTE( DATA_Requirements[[#This Row],[Path]]," ","/"),1)-1), ".",""))</f>
        <v>Design</v>
      </c>
      <c r="L66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Encrypted Storage (Runtime and Backups)</v>
      </c>
      <c r="M66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Encrypt databases and backups using current approaches</v>
      </c>
    </row>
    <row r="666" spans="4:13">
      <c r="D666"/>
      <c r="F666"/>
      <c r="H666">
        <v>0</v>
      </c>
      <c r="I666" t="str" cm="1">
        <f t="array" aca="1" ref="I66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66" t="s">
        <v>2939</v>
      </c>
      <c r="K666" s="10" t="str">
        <f>TRIM(SUBSTITUTE( LEFT(DATA_Requirements[[#This Row],[Path]], FIND("/", SUBSTITUTE( DATA_Requirements[[#This Row],[Path]]," ","/"),1)-1), ".",""))</f>
        <v>Design</v>
      </c>
      <c r="L66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Load</v>
      </c>
      <c r="M66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Load Balanced across dynamically allocated horizontally scaling Web Servers</v>
      </c>
    </row>
    <row r="667" spans="4:13">
      <c r="D667"/>
      <c r="F667"/>
      <c r="H667">
        <v>0</v>
      </c>
      <c r="I667" t="str" cm="1">
        <f t="array" aca="1" ref="I66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67" t="s">
        <v>2940</v>
      </c>
      <c r="K667" s="10" t="str">
        <f>TRIM(SUBSTITUTE( LEFT(DATA_Requirements[[#This Row],[Path]], FIND("/", SUBSTITUTE( DATA_Requirements[[#This Row],[Path]]," ","/"),1)-1), ".",""))</f>
        <v>1044:009000</v>
      </c>
      <c r="L66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Avoid using A249VMs</v>
      </c>
      <c r="M66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use of Virtual Machines (VMs) - a legacy design - to host services requires TWG Excemption</v>
      </c>
    </row>
    <row r="668" spans="4:13">
      <c r="D668"/>
      <c r="F668"/>
      <c r="H668">
        <v>0</v>
      </c>
      <c r="I668" t="str" cm="1">
        <f t="array" aca="1" ref="I66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68" t="s">
        <v>2941</v>
      </c>
      <c r="K668" s="10" t="str">
        <f>TRIM(SUBSTITUTE( LEFT(DATA_Requirements[[#This Row],[Path]], FIND("/", SUBSTITUTE( DATA_Requirements[[#This Row],[Path]]," ","/"),1)-1), ".",""))</f>
        <v>1044:009000</v>
      </c>
      <c r="L66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Cloud-First</v>
      </c>
      <c r="M66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To adhere to National Directives, The Service MUST be hosted on cloud infrastructure</v>
      </c>
    </row>
    <row r="669" spans="4:13">
      <c r="D669"/>
      <c r="F669"/>
      <c r="H669">
        <v>0</v>
      </c>
      <c r="I669" t="str" cm="1">
        <f t="array" aca="1" ref="I66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69" t="s">
        <v>2942</v>
      </c>
      <c r="K669" s="10" t="str">
        <f>TRIM(SUBSTITUTE( LEFT(DATA_Requirements[[#This Row],[Path]], FIND("/", SUBSTITUTE( DATA_Requirements[[#This Row],[Path]]," ","/"),1)-1), ".",""))</f>
        <v>1044:009000</v>
      </c>
      <c r="L66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Standard Clound Services</v>
      </c>
      <c r="M66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Exemptions MUST be obtained to use higher than Standard licensing options for Cloud Services</v>
      </c>
    </row>
    <row r="670" spans="4:13">
      <c r="D670"/>
      <c r="F670"/>
      <c r="H670">
        <v>0</v>
      </c>
      <c r="I670" t="str" cm="1">
        <f t="array" aca="1" ref="I67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70" t="s">
        <v>2943</v>
      </c>
      <c r="K670" s="10" t="str">
        <f>TRIM(SUBSTITUTE( LEFT(DATA_Requirements[[#This Row],[Path]], FIND("/", SUBSTITUTE( DATA_Requirements[[#This Row],[Path]]," ","/"),1)-1), ".",""))</f>
        <v>1044:009000</v>
      </c>
      <c r="L67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Integrity</v>
      </c>
      <c r="M67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PROD-DATA environments MUST be kept separate from TEST-DATA environments</v>
      </c>
    </row>
    <row r="671" spans="4:13">
      <c r="D671"/>
      <c r="F671" s="21"/>
      <c r="H671">
        <v>0</v>
      </c>
      <c r="I671" s="21" t="str" cm="1">
        <f t="array" aca="1" ref="I67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71" s="21" t="s">
        <v>2944</v>
      </c>
      <c r="K671" s="10" t="str">
        <f>TRIM(SUBSTITUTE( LEFT(DATA_Requirements[[#This Row],[Path]], FIND("/", SUBSTITUTE( DATA_Requirements[[#This Row],[Path]]," ","/"),1)-1), ".",""))</f>
        <v>DESIGN</v>
      </c>
      <c r="L67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DATASEEDING</v>
      </c>
      <c r="M67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672" spans="4:13">
      <c r="D672"/>
      <c r="F672"/>
      <c r="H672">
        <v>0</v>
      </c>
      <c r="I672" t="str" cm="1">
        <f t="array" aca="1" ref="I67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72" t="s">
        <v>2945</v>
      </c>
      <c r="K672" s="10" t="str">
        <f>TRIM(SUBSTITUTE( LEFT(DATA_Requirements[[#This Row],[Path]], FIND("/", SUBSTITUTE( DATA_Requirements[[#This Row],[Path]]," ","/"),1)-1), ".",""))</f>
        <v>Design</v>
      </c>
      <c r="L67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Where</v>
      </c>
      <c r="M67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Where available, a Deployment Pipeline Step SHOULD be used to invoke System APIs to seed immutable data, such as categorisation lists, etc.</v>
      </c>
    </row>
    <row r="673" spans="1:13">
      <c r="D673"/>
      <c r="F673"/>
      <c r="H673">
        <v>0</v>
      </c>
      <c r="I673" t="str" cm="1">
        <f t="array" aca="1" ref="I67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73" t="s">
        <v>2946</v>
      </c>
      <c r="K673" s="10" t="str">
        <f>TRIM(SUBSTITUTE( LEFT(DATA_Requirements[[#This Row],[Path]], FIND("/", SUBSTITUTE( DATA_Requirements[[#This Row],[Path]]," ","/"),1)-1), ".",""))</f>
        <v>Design</v>
      </c>
      <c r="L67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Where</v>
      </c>
      <c r="M67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Where available, Seeding MUST be done via in-code CodeFirst Migrations (Core Reference data) and via a Deployment Pipeline Step invoking APIs (Installation-specific).</v>
      </c>
    </row>
    <row r="674" spans="1:13">
      <c r="D674"/>
      <c r="F674" s="14"/>
      <c r="H674">
        <v>0</v>
      </c>
      <c r="I674" s="14" t="str" cm="1">
        <f t="array" aca="1" ref="I67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74" s="14" t="s">
        <v>2947</v>
      </c>
      <c r="K674" s="10" t="str">
        <f>TRIM(SUBSTITUTE( LEFT(DATA_Requirements[[#This Row],[Path]], FIND("/", SUBSTITUTE( DATA_Requirements[[#This Row],[Path]]," ","/"),1)-1), ".",""))</f>
        <v>Design</v>
      </c>
      <c r="L67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Data</v>
      </c>
      <c r="M67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Data Schemas MUST be developed as Idempotent Instructions</v>
      </c>
    </row>
    <row r="675" spans="1:13">
      <c r="A675" t="s">
        <v>1980</v>
      </c>
      <c r="B675" s="14" t="s">
        <v>2440</v>
      </c>
      <c r="C675" t="s">
        <v>2948</v>
      </c>
      <c r="D675"/>
      <c r="E675" t="s">
        <v>2068</v>
      </c>
      <c r="F675" s="22"/>
      <c r="G675" t="s">
        <v>1928</v>
      </c>
      <c r="H675">
        <v>0</v>
      </c>
      <c r="I675" s="22" t="str" cm="1">
        <f t="array" aca="1" ref="I67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11.426.49..0.0</v>
      </c>
      <c r="J675" s="22" t="s">
        <v>2949</v>
      </c>
      <c r="K675" s="10" t="str">
        <f>TRIM(SUBSTITUTE( LEFT(DATA_Requirements[[#This Row],[Path]], FIND("/", SUBSTITUTE( DATA_Requirements[[#This Row],[Path]]," ","/"),1)-1), ".",""))</f>
        <v>Detailed</v>
      </c>
      <c r="L67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Monitoring Services: Service HTTPS Certificate</v>
      </c>
      <c r="M67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InfoService Certificate's Expiration MUST be monitored to trigger its replacement before it expires.</v>
      </c>
    </row>
    <row r="676" spans="1:13">
      <c r="A676" t="s">
        <v>1980</v>
      </c>
      <c r="B676" t="s">
        <v>2256</v>
      </c>
      <c r="C676" t="s">
        <v>2950</v>
      </c>
      <c r="D676"/>
      <c r="E676" t="s">
        <v>2092</v>
      </c>
      <c r="F676" t="s">
        <v>2092</v>
      </c>
      <c r="G676" t="s">
        <v>1947</v>
      </c>
      <c r="H676">
        <v>0</v>
      </c>
      <c r="I676" t="str" cm="1">
        <f t="array" aca="1" ref="I67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11.482.61.61.3.0</v>
      </c>
      <c r="J676" t="s">
        <v>2951</v>
      </c>
      <c r="K676" s="10" t="str">
        <f>TRIM(SUBSTITUTE( LEFT(DATA_Requirements[[#This Row],[Path]], FIND("/", SUBSTITUTE( DATA_Requirements[[#This Row],[Path]]," ","/"),1)-1), ".",""))</f>
        <v>Messages</v>
      </c>
      <c r="L67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Infrastructure</v>
      </c>
      <c r="M67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Running Out of Devices</v>
      </c>
    </row>
    <row r="677" spans="1:13">
      <c r="A677" t="s">
        <v>1980</v>
      </c>
      <c r="B677" t="s">
        <v>2256</v>
      </c>
      <c r="C677" t="s">
        <v>2952</v>
      </c>
      <c r="D677"/>
      <c r="E677" t="s">
        <v>2126</v>
      </c>
      <c r="F677" t="s">
        <v>2092</v>
      </c>
      <c r="G677" t="s">
        <v>1947</v>
      </c>
      <c r="H677">
        <v>0</v>
      </c>
      <c r="I677" t="str" cm="1">
        <f t="array" aca="1" ref="I67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11.482.78.61.3.0</v>
      </c>
      <c r="J677" t="s">
        <v>2953</v>
      </c>
      <c r="K677" s="10" t="str">
        <f>TRIM(SUBSTITUTE( LEFT(DATA_Requirements[[#This Row],[Path]], FIND("/", SUBSTITUTE( DATA_Requirements[[#This Row],[Path]]," ","/"),1)-1), ".",""))</f>
        <v>Messages</v>
      </c>
      <c r="L677"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Running</v>
      </c>
      <c r="M67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Running Out of Storage</v>
      </c>
    </row>
    <row r="678" spans="1:13">
      <c r="A678" t="s">
        <v>1980</v>
      </c>
      <c r="B678" t="s">
        <v>2256</v>
      </c>
      <c r="C678" t="s">
        <v>2954</v>
      </c>
      <c r="D678"/>
      <c r="E678" t="s">
        <v>2126</v>
      </c>
      <c r="F678" t="s">
        <v>2094</v>
      </c>
      <c r="G678" t="s">
        <v>1928</v>
      </c>
      <c r="H678">
        <v>0</v>
      </c>
      <c r="I678" s="13" t="str" cm="1">
        <f t="array" aca="1" ref="I67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11.482.78.62.0.0</v>
      </c>
      <c r="J678" t="s">
        <v>2955</v>
      </c>
      <c r="K678" s="10" t="str">
        <f>TRIM(SUBSTITUTE( LEFT(DATA_Requirements[[#This Row],[Path]], FIND("/", SUBSTITUTE( DATA_Requirements[[#This Row],[Path]]," ","/"),1)-1), ".",""))</f>
        <v>Messages</v>
      </c>
      <c r="L67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Infrastructure</v>
      </c>
      <c r="M67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Atypical Spike in Requests</v>
      </c>
    </row>
    <row r="679" spans="1:13">
      <c r="A679" t="s">
        <v>1980</v>
      </c>
      <c r="B679" t="s">
        <v>2256</v>
      </c>
      <c r="C679" t="s">
        <v>2956</v>
      </c>
      <c r="D679"/>
      <c r="E679" t="s">
        <v>2126</v>
      </c>
      <c r="F679" t="s">
        <v>2092</v>
      </c>
      <c r="G679" t="s">
        <v>1928</v>
      </c>
      <c r="H679">
        <v>0</v>
      </c>
      <c r="I679" s="13" t="str" cm="1">
        <f t="array" aca="1" ref="I67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11.482.78.61.0.0</v>
      </c>
      <c r="J679" t="s">
        <v>2957</v>
      </c>
      <c r="K679" s="10" t="str">
        <f>TRIM(SUBSTITUTE( LEFT(DATA_Requirements[[#This Row],[Path]], FIND("/", SUBSTITUTE( DATA_Requirements[[#This Row],[Path]]," ","/"),1)-1), ".",""))</f>
        <v>Messages</v>
      </c>
      <c r="L67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Infrastructure</v>
      </c>
      <c r="M67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Service Down or Inaccessible</v>
      </c>
    </row>
    <row r="680" spans="1:13">
      <c r="A680" t="s">
        <v>1980</v>
      </c>
      <c r="B680" t="s">
        <v>2256</v>
      </c>
      <c r="C680" t="s">
        <v>2958</v>
      </c>
      <c r="D680"/>
      <c r="E680" t="s">
        <v>2126</v>
      </c>
      <c r="F680" t="s">
        <v>2092</v>
      </c>
      <c r="G680" t="s">
        <v>1928</v>
      </c>
      <c r="H680">
        <v>0</v>
      </c>
      <c r="I680" s="13" t="str" cm="1">
        <f t="array" aca="1" ref="I68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11.482.78.61.0.0</v>
      </c>
      <c r="J680" t="s">
        <v>2959</v>
      </c>
      <c r="K680" s="10" t="str">
        <f>TRIM(SUBSTITUTE( LEFT(DATA_Requirements[[#This Row],[Path]], FIND("/", SUBSTITUTE( DATA_Requirements[[#This Row],[Path]]," ","/"),1)-1), ".",""))</f>
        <v>Messages</v>
      </c>
      <c r="L68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Infrastructure</v>
      </c>
      <c r="M68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Certificate requiring Updating</v>
      </c>
    </row>
    <row r="681" spans="1:13">
      <c r="A681" t="s">
        <v>1980</v>
      </c>
      <c r="B681" t="s">
        <v>2256</v>
      </c>
      <c r="C681" t="s">
        <v>2960</v>
      </c>
      <c r="D681"/>
      <c r="E681" t="s">
        <v>2126</v>
      </c>
      <c r="F681" t="s">
        <v>2092</v>
      </c>
      <c r="G681" t="s">
        <v>1928</v>
      </c>
      <c r="H681">
        <v>0</v>
      </c>
      <c r="I681" s="13" t="str" cm="1">
        <f t="array" aca="1" ref="I68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11.482.78.61.0.0</v>
      </c>
      <c r="J681" s="13" t="s">
        <v>2961</v>
      </c>
      <c r="K681" s="10" t="str">
        <f>TRIM(SUBSTITUTE( LEFT(DATA_Requirements[[#This Row],[Path]], FIND("/", SUBSTITUTE( DATA_Requirements[[#This Row],[Path]]," ","/"),1)-1), ".",""))</f>
        <v>Reports</v>
      </c>
      <c r="L681"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68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List Components Age (if possible)</v>
      </c>
    </row>
    <row r="682" spans="1:13">
      <c r="A682" t="s">
        <v>1980</v>
      </c>
      <c r="B682" t="s">
        <v>2256</v>
      </c>
      <c r="C682" t="s">
        <v>2962</v>
      </c>
      <c r="D682"/>
      <c r="E682" t="s">
        <v>2126</v>
      </c>
      <c r="F682" t="s">
        <v>2098</v>
      </c>
      <c r="G682" t="s">
        <v>1928</v>
      </c>
      <c r="H682">
        <v>0</v>
      </c>
      <c r="I682" s="13" t="str" cm="1">
        <f t="array" aca="1" ref="I68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11.482.78.64.0.0</v>
      </c>
      <c r="J682" s="13" t="s">
        <v>2963</v>
      </c>
      <c r="K682" s="10" t="str">
        <f>TRIM(SUBSTITUTE( LEFT(DATA_Requirements[[#This Row],[Path]], FIND("/", SUBSTITUTE( DATA_Requirements[[#This Row],[Path]]," ","/"),1)-1), ".",""))</f>
        <v>Reports</v>
      </c>
      <c r="L682"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68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Services connected to, and last accessed</v>
      </c>
    </row>
    <row r="683" spans="1:13">
      <c r="A683" t="s">
        <v>1980</v>
      </c>
      <c r="B683" t="s">
        <v>2256</v>
      </c>
      <c r="C683" t="s">
        <v>2964</v>
      </c>
      <c r="D683"/>
      <c r="E683" t="s">
        <v>2126</v>
      </c>
      <c r="F683" t="s">
        <v>2092</v>
      </c>
      <c r="G683" t="s">
        <v>1928</v>
      </c>
      <c r="H683">
        <v>0</v>
      </c>
      <c r="I683" s="13" t="str" cm="1">
        <f t="array" aca="1" ref="I68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11.482.78.61.0.0</v>
      </c>
      <c r="J683" s="13" t="s">
        <v>2965</v>
      </c>
      <c r="K683" s="10" t="str">
        <f>TRIM(SUBSTITUTE( LEFT(DATA_Requirements[[#This Row],[Path]], FIND("/", SUBSTITUTE( DATA_Requirements[[#This Row],[Path]]," ","/"),1)-1), ".",""))</f>
        <v>Reports</v>
      </c>
      <c r="L683"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68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List Services Down and Duration (for SLR verification)</v>
      </c>
    </row>
    <row r="684" spans="1:13">
      <c r="A684" t="s">
        <v>1980</v>
      </c>
      <c r="B684" t="s">
        <v>2256</v>
      </c>
      <c r="C684" t="s">
        <v>2966</v>
      </c>
      <c r="D684"/>
      <c r="E684" t="s">
        <v>2126</v>
      </c>
      <c r="F684" t="s">
        <v>2100</v>
      </c>
      <c r="G684" t="s">
        <v>1928</v>
      </c>
      <c r="H684">
        <v>0</v>
      </c>
      <c r="I684" s="13" t="str" cm="1">
        <f t="array" aca="1" ref="I68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11.482.78.65.0.0</v>
      </c>
      <c r="J684" s="13" t="s">
        <v>2967</v>
      </c>
      <c r="K684" s="10" t="str">
        <f>TRIM(SUBSTITUTE( LEFT(DATA_Requirements[[#This Row],[Path]], FIND("/", SUBSTITUTE( DATA_Requirements[[#This Row],[Path]]," ","/"),1)-1), ".",""))</f>
        <v>Reports</v>
      </c>
      <c r="L684"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68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Sessions Active, Activity in last 5, Proportion of Anon to Authenticated</v>
      </c>
    </row>
    <row r="685" spans="1:13">
      <c r="A685" t="s">
        <v>1980</v>
      </c>
      <c r="B685" t="s">
        <v>2256</v>
      </c>
      <c r="C685" t="s">
        <v>2968</v>
      </c>
      <c r="D685"/>
      <c r="E685" t="s">
        <v>2126</v>
      </c>
      <c r="F685" t="s">
        <v>2100</v>
      </c>
      <c r="G685" t="s">
        <v>1928</v>
      </c>
      <c r="H685">
        <v>0</v>
      </c>
      <c r="I685" s="13" t="str" cm="1">
        <f t="array" aca="1" ref="I68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11.482.78.65.0.0</v>
      </c>
      <c r="J685" s="13" t="s">
        <v>2969</v>
      </c>
      <c r="K685" s="10" t="str">
        <f>TRIM(SUBSTITUTE( LEFT(DATA_Requirements[[#This Row],[Path]], FIND("/", SUBSTITUTE( DATA_Requirements[[#This Row],[Path]]," ","/"),1)-1), ".",""))</f>
        <v>Reports</v>
      </c>
      <c r="L685"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685"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686" spans="1:13">
      <c r="A686" t="s">
        <v>1980</v>
      </c>
      <c r="B686" t="s">
        <v>2256</v>
      </c>
      <c r="C686" s="13" t="s">
        <v>2970</v>
      </c>
      <c r="E686" t="s">
        <v>2126</v>
      </c>
      <c r="F686" t="s">
        <v>2100</v>
      </c>
      <c r="G686" t="s">
        <v>1928</v>
      </c>
      <c r="H686">
        <v>0</v>
      </c>
      <c r="I686" s="13" t="str" cm="1">
        <f t="array" aca="1" ref="I68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11.482.78.65.0.0</v>
      </c>
      <c r="J686" s="13" t="s">
        <v>2970</v>
      </c>
      <c r="K686" s="10" t="str">
        <f>TRIM(SUBSTITUTE( LEFT(DATA_Requirements[[#This Row],[Path]], FIND("/", SUBSTITUTE( DATA_Requirements[[#This Row],[Path]]," ","/"),1)-1), ".",""))</f>
        <v>Reports</v>
      </c>
      <c r="L686"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686"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687" spans="1:13">
      <c r="A687" t="s">
        <v>1980</v>
      </c>
      <c r="B687" t="s">
        <v>2256</v>
      </c>
      <c r="C687" s="13" t="s">
        <v>2971</v>
      </c>
      <c r="E687" t="s">
        <v>2126</v>
      </c>
      <c r="F687" t="s">
        <v>2100</v>
      </c>
      <c r="G687" t="s">
        <v>1928</v>
      </c>
      <c r="H687">
        <v>0</v>
      </c>
      <c r="I687" s="13" t="str" cm="1">
        <f t="array" aca="1" ref="I68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11.482.78.65.0.0</v>
      </c>
      <c r="J687" s="13" t="s">
        <v>2971</v>
      </c>
      <c r="K687" s="10" t="str">
        <f>TRIM(SUBSTITUTE( LEFT(DATA_Requirements[[#This Row],[Path]], FIND("/", SUBSTITUTE( DATA_Requirements[[#This Row],[Path]]," ","/"),1)-1), ".",""))</f>
        <v>Reports</v>
      </c>
      <c r="L687"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687"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688" spans="1:13">
      <c r="A688" t="s">
        <v>1980</v>
      </c>
      <c r="B688" t="s">
        <v>2256</v>
      </c>
      <c r="C688" s="13" t="s">
        <v>2972</v>
      </c>
      <c r="E688" t="s">
        <v>2126</v>
      </c>
      <c r="F688" t="s">
        <v>2100</v>
      </c>
      <c r="G688" t="s">
        <v>1928</v>
      </c>
      <c r="H688">
        <v>0</v>
      </c>
      <c r="I688" s="13" t="str" cm="1">
        <f t="array" aca="1" ref="I68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11.482.78.65.0.0</v>
      </c>
      <c r="J688" s="13" t="s">
        <v>2972</v>
      </c>
      <c r="K688" s="10" t="str">
        <f>TRIM(SUBSTITUTE( LEFT(DATA_Requirements[[#This Row],[Path]], FIND("/", SUBSTITUTE( DATA_Requirements[[#This Row],[Path]]," ","/"),1)-1), ".",""))</f>
        <v>Reports</v>
      </c>
      <c r="L688"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68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Users to Look Version Percentages (to Phase Out old ones)</v>
      </c>
    </row>
    <row r="689" spans="1:13">
      <c r="A689" t="s">
        <v>1980</v>
      </c>
      <c r="B689" t="s">
        <v>2256</v>
      </c>
      <c r="C689" s="13" t="s">
        <v>2973</v>
      </c>
      <c r="E689" t="s">
        <v>2126</v>
      </c>
      <c r="F689" t="s">
        <v>2100</v>
      </c>
      <c r="G689" t="s">
        <v>1928</v>
      </c>
      <c r="H689">
        <v>0</v>
      </c>
      <c r="I689" s="13" t="str" cm="1">
        <f t="array" aca="1" ref="I68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11.482.78.65.0.0</v>
      </c>
      <c r="J689" s="13" t="s">
        <v>2973</v>
      </c>
      <c r="K689" s="10" t="str">
        <f>TRIM(SUBSTITUTE( LEFT(DATA_Requirements[[#This Row],[Path]], FIND("/", SUBSTITUTE( DATA_Requirements[[#This Row],[Path]]," ","/"),1)-1), ".",""))</f>
        <v>Reports</v>
      </c>
      <c r="L689"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68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Features to Comments</v>
      </c>
    </row>
    <row r="690" spans="1:13">
      <c r="D690"/>
      <c r="H690">
        <v>0</v>
      </c>
      <c r="I690" t="str" cm="1">
        <f t="array" aca="1" ref="I69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90" t="s">
        <v>2974</v>
      </c>
      <c r="K690" s="10" t="str">
        <f>TRIM(SUBSTITUTE( LEFT(DATA_Requirements[[#This Row],[Path]], FIND("/", SUBSTITUTE( DATA_Requirements[[#This Row],[Path]]," ","/"),1)-1), ".",""))</f>
        <v>QA</v>
      </c>
      <c r="L69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ISO-25010: Maintainability: Analysability: Discrete Tests</v>
      </c>
      <c r="M69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Test Scripts MUST be defined for each Task within each User Story</v>
      </c>
    </row>
    <row r="691" spans="1:13">
      <c r="D691"/>
      <c r="H691">
        <v>0</v>
      </c>
      <c r="I691" t="str" cm="1">
        <f t="array" aca="1" ref="I69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91" t="s">
        <v>2975</v>
      </c>
      <c r="K691" s="10" t="str">
        <f>TRIM(SUBSTITUTE( LEFT(DATA_Requirements[[#This Row],[Path]], FIND("/", SUBSTITUTE( DATA_Requirements[[#This Row],[Path]]," ","/"),1)-1), ".",""))</f>
        <v>QA</v>
      </c>
      <c r="L69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ISO-25010: Maintainability: Analysability: Use Gherkin</v>
      </c>
      <c r="M69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Acceptance Test Definitions MUST be defined using Gherkin (GWT) Syntax</v>
      </c>
    </row>
    <row r="692" spans="1:13">
      <c r="D692"/>
      <c r="H692">
        <v>0</v>
      </c>
      <c r="I692" t="str" cm="1">
        <f t="array" aca="1" ref="I69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92" t="s">
        <v>2976</v>
      </c>
      <c r="K692" s="10" t="str">
        <f>TRIM(SUBSTITUTE( LEFT(DATA_Requirements[[#This Row],[Path]], FIND("/", SUBSTITUTE( DATA_Requirements[[#This Row],[Path]]," ","/"),1)-1), ".",""))</f>
        <v>QA</v>
      </c>
      <c r="L69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Interoperability</v>
      </c>
      <c r="M69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Tests for Interoperation MUST be developed</v>
      </c>
    </row>
    <row r="693" spans="1:13">
      <c r="D693"/>
      <c r="H693">
        <v>0</v>
      </c>
      <c r="I693" t="str" cm="1">
        <f t="array" aca="1" ref="I69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93" t="s">
        <v>2977</v>
      </c>
      <c r="K693" s="10" t="str">
        <f>TRIM(SUBSTITUTE( LEFT(DATA_Requirements[[#This Row],[Path]], FIND("/", SUBSTITUTE( DATA_Requirements[[#This Row],[Path]]," ","/"),1)-1), ".",""))</f>
        <v>QA</v>
      </c>
      <c r="L69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Whole Service Lifecycle</v>
      </c>
      <c r="M69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Objectives of QA MUST include automating QA checks so that they ensure quality long after project development resources are disbanded</v>
      </c>
    </row>
    <row r="694" spans="1:13">
      <c r="D694"/>
      <c r="H694">
        <v>0</v>
      </c>
      <c r="I694" t="str" cm="1">
        <f t="array" aca="1" ref="I69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94" t="s">
        <v>2978</v>
      </c>
      <c r="K694" s="10" t="str">
        <f>TRIM(SUBSTITUTE( LEFT(DATA_Requirements[[#This Row],[Path]], FIND("/", SUBSTITUTE( DATA_Requirements[[#This Row],[Path]]," ","/"),1)-1), ".",""))</f>
        <v>QA</v>
      </c>
      <c r="L69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Develop Test Definitions</v>
      </c>
      <c r="M69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Objectives of QA MUST include Developing Test Scripts for Encoding into Automation to be run within Automated Delivery Pipelines</v>
      </c>
    </row>
    <row r="695" spans="1:13">
      <c r="D695"/>
      <c r="H695">
        <v>0</v>
      </c>
      <c r="I695" t="str" cm="1">
        <f t="array" aca="1" ref="I69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95" t="s">
        <v>2979</v>
      </c>
      <c r="K695" s="10" t="str">
        <f>TRIM(SUBSTITUTE( LEFT(DATA_Requirements[[#This Row],[Path]], FIND("/", SUBSTITUTE( DATA_Requirements[[#This Row],[Path]]," ","/"),1)-1), ".",""))</f>
        <v>QA</v>
      </c>
      <c r="L69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Principles: Dynamic Tests</v>
      </c>
      <c r="M69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Testing SHOULD include running Dynamic Tests in the BT Environment</v>
      </c>
    </row>
    <row r="696" spans="1:13">
      <c r="D696"/>
      <c r="H696">
        <v>0</v>
      </c>
      <c r="I696" t="str" cm="1">
        <f t="array" aca="1" ref="I69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96" t="s">
        <v>2980</v>
      </c>
      <c r="K696" s="10" t="str">
        <f>TRIM(SUBSTITUTE( LEFT(DATA_Requirements[[#This Row],[Path]], FIND("/", SUBSTITUTE( DATA_Requirements[[#This Row],[Path]]," ","/"),1)-1), ".",""))</f>
        <v>QA</v>
      </c>
      <c r="L69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Principles: Focus on this System</v>
      </c>
      <c r="M69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Testing of delivery systems MUST exclude responsibility of validating the qualities of dependency systems</v>
      </c>
    </row>
    <row r="697" spans="1:13">
      <c r="D697"/>
      <c r="H697">
        <v>0</v>
      </c>
      <c r="I697" t="str" cm="1">
        <f t="array" aca="1" ref="I69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97" t="s">
        <v>2981</v>
      </c>
      <c r="K697" s="10" t="str">
        <f>TRIM(SUBSTITUTE( LEFT(DATA_Requirements[[#This Row],[Path]], FIND("/", SUBSTITUTE( DATA_Requirements[[#This Row],[Path]]," ","/"),1)-1), ".",""))</f>
        <v>QA</v>
      </c>
      <c r="L69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Principles: Prove Connectivity</v>
      </c>
      <c r="M69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System Dependency Connectivitys are Demonstated by Successful Dynamic Tests</v>
      </c>
    </row>
    <row r="698" spans="1:13">
      <c r="D698"/>
      <c r="H698">
        <v>0</v>
      </c>
      <c r="I698" t="str" cm="1">
        <f t="array" aca="1" ref="I69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98" t="s">
        <v>2982</v>
      </c>
      <c r="K698" s="10" t="str">
        <f>TRIM(SUBSTITUTE( LEFT(DATA_Requirements[[#This Row],[Path]], FIND("/", SUBSTITUTE( DATA_Requirements[[#This Row],[Path]]," ","/"),1)-1), ".",""))</f>
        <v>QA</v>
      </c>
      <c r="L69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Repetitive</v>
      </c>
      <c r="M69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Repetitive Testing by Hand</v>
      </c>
    </row>
    <row r="699" spans="1:13">
      <c r="D699"/>
      <c r="H699">
        <v>0</v>
      </c>
      <c r="I699" t="str" cm="1">
        <f t="array" aca="1" ref="I69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699" t="s">
        <v>2983</v>
      </c>
      <c r="K699" s="10" t="str">
        <f>TRIM(SUBSTITUTE( LEFT(DATA_Requirements[[#This Row],[Path]], FIND("/", SUBSTITUTE( DATA_Requirements[[#This Row],[Path]]," ","/"),1)-1), ".",""))</f>
        <v>QA</v>
      </c>
      <c r="L69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Failure: Access to Full or partial Clear</v>
      </c>
      <c r="M69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Obfuscated Data</v>
      </c>
    </row>
    <row r="700" spans="1:13">
      <c r="D700"/>
      <c r="H700">
        <v>0</v>
      </c>
      <c r="I700" t="str" cm="1">
        <f t="array" aca="1" ref="I70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700" t="s">
        <v>2984</v>
      </c>
      <c r="K700" s="10" t="str">
        <f>TRIM(SUBSTITUTE( LEFT(DATA_Requirements[[#This Row],[Path]], FIND("/", SUBSTITUTE( DATA_Requirements[[#This Row],[Path]]," ","/"),1)-1), ".",""))</f>
        <v>QA</v>
      </c>
      <c r="L70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for Current</v>
      </c>
      <c r="M70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Lagard Device Limits versus predicted (Lifecycle) Needs</v>
      </c>
    </row>
    <row r="701" spans="1:13">
      <c r="D701"/>
      <c r="H701">
        <v>0</v>
      </c>
      <c r="I701" t="str" cm="1">
        <f t="array" aca="1" ref="I70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701" t="s">
        <v>2985</v>
      </c>
      <c r="K701" s="10" t="str">
        <f>TRIM(SUBSTITUTE( LEFT(DATA_Requirements[[#This Row],[Path]], FIND("/", SUBSTITUTE( DATA_Requirements[[#This Row],[Path]]," ","/"),1)-1), ".",""))</f>
        <v>QA</v>
      </c>
      <c r="L70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Solving</v>
      </c>
      <c r="M70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Solving for Data Quality, rather than Logic that improves Data Quality</v>
      </c>
    </row>
    <row r="702" spans="1:13">
      <c r="D702"/>
      <c r="H702">
        <v>0</v>
      </c>
      <c r="I702" s="22" t="str" cm="1">
        <f t="array" aca="1" ref="I70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702" s="22" t="s">
        <v>2986</v>
      </c>
      <c r="K702" s="10" t="str">
        <f>TRIM(SUBSTITUTE( LEFT(DATA_Requirements[[#This Row],[Path]], FIND("/", SUBSTITUTE( DATA_Requirements[[#This Row],[Path]]," ","/"),1)-1), ".",""))</f>
        <v>QA</v>
      </c>
      <c r="L70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CONTENT</v>
      </c>
      <c r="M70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03" spans="1:13">
      <c r="D703"/>
      <c r="H703">
        <v>0</v>
      </c>
      <c r="I703" s="22" t="str" cm="1">
        <f t="array" aca="1" ref="I70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703" s="22" t="s">
        <v>2987</v>
      </c>
      <c r="K703" s="10" t="str">
        <f>TRIM(SUBSTITUTE( LEFT(DATA_Requirements[[#This Row],[Path]], FIND("/", SUBSTITUTE( DATA_Requirements[[#This Row],[Path]]," ","/"),1)-1), ".",""))</f>
        <v>QA</v>
      </c>
      <c r="L70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API-CLIENT</v>
      </c>
      <c r="M70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04" spans="1:13">
      <c r="D704"/>
      <c r="H704">
        <v>0</v>
      </c>
      <c r="I704" s="22" t="str" cm="1">
        <f t="array" aca="1" ref="I70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704" s="22" t="s">
        <v>2988</v>
      </c>
      <c r="K704" s="10" t="str">
        <f>TRIM(SUBSTITUTE( LEFT(DATA_Requirements[[#This Row],[Path]], FIND("/", SUBSTITUTE( DATA_Requirements[[#This Row],[Path]]," ","/"),1)-1), ".",""))</f>
        <v>QA</v>
      </c>
      <c r="L704"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UI-CLIENT</v>
      </c>
      <c r="M70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05" spans="1:15">
      <c r="D705"/>
      <c r="H705">
        <v>0</v>
      </c>
      <c r="I705" t="str" cm="1">
        <f t="array" aca="1" ref="I70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705" t="s">
        <v>2989</v>
      </c>
      <c r="K705" s="10" t="str">
        <f>TRIM(SUBSTITUTE( LEFT(DATA_Requirements[[#This Row],[Path]], FIND("/", SUBSTITUTE( DATA_Requirements[[#This Row],[Path]]," ","/"),1)-1), ".",""))</f>
        <v>QA</v>
      </c>
      <c r="L70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Constraints: UX AntiPatterns: Matching Paper</v>
      </c>
      <c r="M70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Test for Identical Appearance across Devices, Browers and Paper</v>
      </c>
    </row>
    <row r="706" spans="1:15">
      <c r="D706"/>
      <c r="H706">
        <v>0</v>
      </c>
      <c r="I706" t="str" cm="1">
        <f t="array" aca="1" ref="I70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706" t="s">
        <v>2990</v>
      </c>
      <c r="K706" s="10" t="str">
        <f>TRIM(SUBSTITUTE( LEFT(DATA_Requirements[[#This Row],[Path]], FIND("/", SUBSTITUTE( DATA_Requirements[[#This Row],[Path]]," ","/"),1)-1), ".",""))</f>
        <v>QA</v>
      </c>
      <c r="L706"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Constraints: UX AntiPatterns: Matching Statistics across Platforms</v>
      </c>
      <c r="M70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Test for Identical Statistics across Devices, Browers and Paper</v>
      </c>
    </row>
    <row r="707" spans="1:15">
      <c r="D707"/>
      <c r="H707">
        <v>0</v>
      </c>
      <c r="I707" t="str" cm="1">
        <f t="array" aca="1" ref="I70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707" t="s">
        <v>2991</v>
      </c>
      <c r="K707" s="10" t="str">
        <f>TRIM(SUBSTITUTE( LEFT(DATA_Requirements[[#This Row],[Path]], FIND("/", SUBSTITUTE( DATA_Requirements[[#This Row],[Path]]," ","/"),1)-1), ".",""))</f>
        <v>QA</v>
      </c>
      <c r="L70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Tasks</v>
      </c>
      <c r="M70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TODO: Complete each User Story's Tasks with one or more Acceptance Test Definitions</v>
      </c>
    </row>
    <row r="708" spans="1:15">
      <c r="D708"/>
      <c r="H708">
        <v>0</v>
      </c>
      <c r="I708" s="16" t="str" cm="1">
        <f t="array" aca="1" ref="I70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708" s="16" t="s">
        <v>2992</v>
      </c>
      <c r="K708" s="10" t="str">
        <f>TRIM(SUBSTITUTE( LEFT(DATA_Requirements[[#This Row],[Path]], FIND("/", SUBSTITUTE( DATA_Requirements[[#This Row],[Path]]," ","/"),1)-1), ".",""))</f>
        <v>QA</v>
      </c>
      <c r="L708"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70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09" spans="1:15">
      <c r="D709"/>
      <c r="H709">
        <v>0</v>
      </c>
      <c r="I709" s="16" t="str" cm="1">
        <f t="array" aca="1" ref="I70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709" s="16" t="s">
        <v>2993</v>
      </c>
      <c r="K709" s="10" t="str">
        <f>TRIM(SUBSTITUTE( LEFT(DATA_Requirements[[#This Row],[Path]], FIND("/", SUBSTITUTE( DATA_Requirements[[#This Row],[Path]]," ","/"),1)-1), ".",""))</f>
        <v>DELIVERY</v>
      </c>
      <c r="L709"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70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10" spans="1:15">
      <c r="A710" s="21" t="s">
        <v>1996</v>
      </c>
      <c r="B710" t="s">
        <v>2246</v>
      </c>
      <c r="C710"/>
      <c r="D710"/>
      <c r="E710" t="s">
        <v>2126</v>
      </c>
      <c r="F710" s="21" t="s">
        <v>2048</v>
      </c>
      <c r="G710" t="s">
        <v>1928</v>
      </c>
      <c r="H710">
        <v>0</v>
      </c>
      <c r="I710" s="21" t="str" cm="1">
        <f t="array" aca="1" ref="I71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16.461.78.40.0.0</v>
      </c>
      <c r="J710" s="21" t="s">
        <v>2994</v>
      </c>
      <c r="K710" s="10" t="str">
        <f>TRIM(SUBSTITUTE( LEFT(DATA_Requirements[[#This Row],[Path]], FIND("/", SUBSTITUTE( DATA_Requirements[[#This Row],[Path]]," ","/"),1)-1), ".",""))</f>
        <v>16450300</v>
      </c>
      <c r="L71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API GATEWAY</v>
      </c>
      <c r="M71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11" spans="1:15">
      <c r="A711" s="21" t="s">
        <v>1996</v>
      </c>
      <c r="B711" t="s">
        <v>2246</v>
      </c>
      <c r="C711"/>
      <c r="D711"/>
      <c r="E711" t="s">
        <v>2126</v>
      </c>
      <c r="F711" s="21" t="s">
        <v>2048</v>
      </c>
      <c r="G711" t="s">
        <v>1928</v>
      </c>
      <c r="H711">
        <v>0</v>
      </c>
      <c r="I711" s="21" t="str" cm="1">
        <f t="array" aca="1" ref="I71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16.461.78.40.0.0</v>
      </c>
      <c r="J711" s="21" t="s">
        <v>2994</v>
      </c>
      <c r="K711" s="10" t="str">
        <f>TRIM(SUBSTITUTE( LEFT(DATA_Requirements[[#This Row],[Path]], FIND("/", SUBSTITUTE( DATA_Requirements[[#This Row],[Path]]," ","/"),1)-1), ".",""))</f>
        <v>16450300</v>
      </c>
      <c r="L71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API GATEWAY</v>
      </c>
      <c r="M71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12" spans="1:15" s="40" customFormat="1">
      <c r="A712" s="39" t="s">
        <v>1999</v>
      </c>
      <c r="C712" s="41"/>
      <c r="F712" s="42"/>
      <c r="G712" s="41"/>
      <c r="H712" s="40">
        <v>0</v>
      </c>
      <c r="I712" s="40" t="str" cm="1">
        <f t="array" aca="1" ref="I71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12" s="40" t="s">
        <v>2995</v>
      </c>
      <c r="K712" s="43" t="str">
        <f>TRIM(SUBSTITUTE( LEFT(DATA_Requirements[[#This Row],[Path]], FIND("/", SUBSTITUTE( DATA_Requirements[[#This Row],[Path]]," ","/"),1)-1), ".",""))</f>
        <v>Driving</v>
      </c>
      <c r="L712"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Backups</v>
      </c>
      <c r="M712"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Backups</v>
      </c>
      <c r="N712" s="44"/>
      <c r="O712" s="44"/>
    </row>
    <row r="713" spans="1:15" s="40" customFormat="1">
      <c r="A713" s="39" t="s">
        <v>1999</v>
      </c>
      <c r="C713" s="41"/>
      <c r="F713" s="42"/>
      <c r="G713" s="41"/>
      <c r="H713" s="40">
        <v>0</v>
      </c>
      <c r="I713" s="40" t="str" cm="1">
        <f t="array" aca="1" ref="I71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13" s="40" t="s">
        <v>2996</v>
      </c>
      <c r="K713" s="43" t="str">
        <f>TRIM(SUBSTITUTE( LEFT(DATA_Requirements[[#This Row],[Path]], FIND("/", SUBSTITUTE( DATA_Requirements[[#This Row],[Path]]," ","/"),1)-1), ".",""))</f>
        <v>Driving</v>
      </c>
      <c r="L713"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Automated</v>
      </c>
      <c r="M713"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Automated</v>
      </c>
      <c r="N713" s="44"/>
      <c r="O713" s="44"/>
    </row>
    <row r="714" spans="1:15" s="40" customFormat="1">
      <c r="A714" s="39" t="s">
        <v>1999</v>
      </c>
      <c r="C714" s="41"/>
      <c r="F714" s="42"/>
      <c r="G714" s="41"/>
      <c r="H714" s="40">
        <v>0</v>
      </c>
      <c r="I714" s="40" t="str" cm="1">
        <f t="array" aca="1" ref="I71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14" s="40" t="s">
        <v>2997</v>
      </c>
      <c r="K714" s="43" t="str">
        <f>TRIM(SUBSTITUTE( LEFT(DATA_Requirements[[#This Row],[Path]], FIND("/", SUBSTITUTE( DATA_Requirements[[#This Row],[Path]]," ","/"),1)-1), ".",""))</f>
        <v>Driving</v>
      </c>
      <c r="L714"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Encrypted</v>
      </c>
      <c r="M714"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Encrypted At Rest</v>
      </c>
      <c r="N714" s="44"/>
      <c r="O714" s="44"/>
    </row>
    <row r="715" spans="1:15" s="40" customFormat="1">
      <c r="A715" s="39" t="s">
        <v>1999</v>
      </c>
      <c r="C715" s="41"/>
      <c r="F715" s="42"/>
      <c r="G715" s="41"/>
      <c r="H715" s="40">
        <v>0</v>
      </c>
      <c r="I715" s="40" t="str" cm="1">
        <f t="array" aca="1" ref="I71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15" s="40" t="s">
        <v>2998</v>
      </c>
      <c r="K715" s="43" t="str">
        <f>TRIM(SUBSTITUTE( LEFT(DATA_Requirements[[#This Row],[Path]], FIND("/", SUBSTITUTE( DATA_Requirements[[#This Row],[Path]]," ","/"),1)-1), ".",""))</f>
        <v>Driving</v>
      </c>
      <c r="L715"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Mix</v>
      </c>
      <c r="M715"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Mix of Interval &amp; Full Backups</v>
      </c>
      <c r="N715" s="44"/>
      <c r="O715" s="44"/>
    </row>
    <row r="716" spans="1:15" s="40" customFormat="1">
      <c r="A716" s="39" t="s">
        <v>1999</v>
      </c>
      <c r="C716" s="41"/>
      <c r="F716" s="42"/>
      <c r="G716" s="41"/>
      <c r="H716" s="40">
        <v>0</v>
      </c>
      <c r="I716" s="40" t="str" cm="1">
        <f t="array" aca="1" ref="I71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16" s="40" t="s">
        <v>2999</v>
      </c>
      <c r="K716" s="43" t="str">
        <f>TRIM(SUBSTITUTE( LEFT(DATA_Requirements[[#This Row],[Path]], FIND("/", SUBSTITUTE( DATA_Requirements[[#This Row],[Path]]," ","/"),1)-1), ".",""))</f>
        <v>Driving</v>
      </c>
      <c r="L716"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Over</v>
      </c>
      <c r="M716"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Over encrypted channels</v>
      </c>
      <c r="N716" s="44"/>
      <c r="O716" s="44"/>
    </row>
    <row r="717" spans="1:15" s="40" customFormat="1">
      <c r="A717" s="39" t="s">
        <v>1999</v>
      </c>
      <c r="C717" s="41"/>
      <c r="F717" s="42"/>
      <c r="G717" s="41"/>
      <c r="H717" s="40">
        <v>0</v>
      </c>
      <c r="I717" s="40" t="str" cm="1">
        <f t="array" aca="1" ref="I71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17" s="40" t="s">
        <v>3000</v>
      </c>
      <c r="K717" s="43" t="str">
        <f>TRIM(SUBSTITUTE( LEFT(DATA_Requirements[[#This Row],[Path]], FIND("/", SUBSTITUTE( DATA_Requirements[[#This Row],[Path]]," ","/"),1)-1), ".",""))</f>
        <v>Driving</v>
      </c>
      <c r="L717"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Demonstrated</v>
      </c>
      <c r="M717"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Tested (by default Operations)</v>
      </c>
      <c r="N717" s="44"/>
      <c r="O717" s="44"/>
    </row>
    <row r="718" spans="1:15" s="40" customFormat="1">
      <c r="A718" s="39" t="s">
        <v>1999</v>
      </c>
      <c r="C718" s="41"/>
      <c r="F718" s="42"/>
      <c r="G718" s="41"/>
      <c r="H718" s="40">
        <v>0</v>
      </c>
      <c r="I718" s="40" t="str" cm="1">
        <f t="array" aca="1" ref="I71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18" s="40" t="s">
        <v>3001</v>
      </c>
      <c r="K718" s="43" t="str">
        <f>TRIM(SUBSTITUTE( LEFT(DATA_Requirements[[#This Row],[Path]], FIND("/", SUBSTITUTE( DATA_Requirements[[#This Row],[Path]]," ","/"),1)-1), ".",""))</f>
        <v>Driving</v>
      </c>
      <c r="L718"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Restoration</v>
      </c>
      <c r="M718"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Restoration</v>
      </c>
      <c r="N718" s="44"/>
      <c r="O718" s="44"/>
    </row>
    <row r="719" spans="1:15" s="40" customFormat="1">
      <c r="A719" s="39" t="s">
        <v>1999</v>
      </c>
      <c r="C719" s="41"/>
      <c r="F719" s="42"/>
      <c r="G719" s="41"/>
      <c r="H719" s="40">
        <v>0</v>
      </c>
      <c r="I719" s="40" t="str" cm="1">
        <f t="array" aca="1" ref="I71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19" s="40" t="s">
        <v>3002</v>
      </c>
      <c r="K719" s="43" t="str">
        <f>TRIM(SUBSTITUTE( LEFT(DATA_Requirements[[#This Row],[Path]], FIND("/", SUBSTITUTE( DATA_Requirements[[#This Row],[Path]]," ","/"),1)-1), ".",""))</f>
        <v>Driving</v>
      </c>
      <c r="L719"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Automated</v>
      </c>
      <c r="M719"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Automated</v>
      </c>
      <c r="N719" s="44"/>
      <c r="O719" s="44"/>
    </row>
    <row r="720" spans="1:15" s="40" customFormat="1">
      <c r="A720" s="39" t="s">
        <v>1999</v>
      </c>
      <c r="C720" s="41"/>
      <c r="F720" s="42"/>
      <c r="G720" s="41"/>
      <c r="H720" s="40">
        <v>0</v>
      </c>
      <c r="I720" s="40" t="str" cm="1">
        <f t="array" aca="1" ref="I72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20" s="40" t="s">
        <v>3003</v>
      </c>
      <c r="K720" s="43" t="str">
        <f>TRIM(SUBSTITUTE( LEFT(DATA_Requirements[[#This Row],[Path]], FIND("/", SUBSTITUTE( DATA_Requirements[[#This Row],[Path]]," ","/"),1)-1), ".",""))</f>
        <v>Driving</v>
      </c>
      <c r="L720"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Regularly</v>
      </c>
      <c r="M720"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Regularly Tested</v>
      </c>
      <c r="N720" s="44"/>
      <c r="O720" s="44"/>
    </row>
    <row r="721" spans="1:15" s="40" customFormat="1">
      <c r="A721" s="39" t="s">
        <v>1999</v>
      </c>
      <c r="C721" s="41"/>
      <c r="F721" s="42"/>
      <c r="G721" s="41"/>
      <c r="H721" s="40">
        <v>0</v>
      </c>
      <c r="I721" s="40" t="str" cm="1">
        <f t="array" aca="1" ref="I72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21" s="40" t="s">
        <v>3004</v>
      </c>
      <c r="K721" s="43" t="str">
        <f>TRIM(SUBSTITUTE( LEFT(DATA_Requirements[[#This Row],[Path]], FIND("/", SUBSTITUTE( DATA_Requirements[[#This Row],[Path]]," ","/"),1)-1), ".",""))</f>
        <v>Driving</v>
      </c>
      <c r="L721"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Stored</v>
      </c>
      <c r="M721"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Stored in a separate location than PROD-DATA Environment</v>
      </c>
      <c r="N721" s="44"/>
      <c r="O721" s="44"/>
    </row>
    <row r="722" spans="1:15" s="40" customFormat="1">
      <c r="A722" s="39" t="s">
        <v>1999</v>
      </c>
      <c r="C722" s="41"/>
      <c r="F722" s="42"/>
      <c r="G722" s="41"/>
      <c r="H722" s="40">
        <v>0</v>
      </c>
      <c r="I722" s="39" t="str" cm="1">
        <f t="array" aca="1" ref="I72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22" s="39" t="s">
        <v>3005</v>
      </c>
      <c r="K722" s="43" t="str">
        <f>TRIM(SUBSTITUTE( LEFT(DATA_Requirements[[#This Row],[Path]], FIND("/", SUBSTITUTE( DATA_Requirements[[#This Row],[Path]]," ","/"),1)-1), ".",""))</f>
        <v>DRIVING</v>
      </c>
      <c r="L722"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CUSTOMER</v>
      </c>
      <c r="M722"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c r="N722" s="44"/>
      <c r="O722" s="44"/>
    </row>
    <row r="723" spans="1:15" s="40" customFormat="1">
      <c r="A723" s="39" t="s">
        <v>1999</v>
      </c>
      <c r="C723" s="41"/>
      <c r="F723" s="42"/>
      <c r="G723" s="41"/>
      <c r="H723" s="40">
        <v>0</v>
      </c>
      <c r="I723" s="39" t="str" cm="1">
        <f t="array" aca="1" ref="I72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23" s="39" t="s">
        <v>3006</v>
      </c>
      <c r="K723" s="43" t="str">
        <f>TRIM(SUBSTITUTE( LEFT(DATA_Requirements[[#This Row],[Path]], FIND("/", SUBSTITUTE( DATA_Requirements[[#This Row],[Path]]," ","/"),1)-1), ".",""))</f>
        <v>DRIVING</v>
      </c>
      <c r="L723"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BUSINESS</v>
      </c>
      <c r="M723"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c r="N723" s="44"/>
      <c r="O723" s="44"/>
    </row>
    <row r="724" spans="1:15" s="40" customFormat="1">
      <c r="A724" s="39" t="s">
        <v>1999</v>
      </c>
      <c r="C724" s="41"/>
      <c r="F724" s="42"/>
      <c r="G724" s="41"/>
      <c r="H724" s="40">
        <v>0</v>
      </c>
      <c r="I724" s="39" t="str" cm="1">
        <f t="array" aca="1" ref="I72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24" s="39" t="s">
        <v>3007</v>
      </c>
      <c r="K724" s="43" t="str">
        <f>TRIM(SUBSTITUTE( LEFT(DATA_Requirements[[#This Row],[Path]], FIND("/", SUBSTITUTE( DATA_Requirements[[#This Row],[Path]]," ","/"),1)-1), ".",""))</f>
        <v>DRIVING</v>
      </c>
      <c r="L724"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MAINTENANCE</v>
      </c>
      <c r="M724"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c r="N724" s="44"/>
      <c r="O724" s="44"/>
    </row>
    <row r="725" spans="1:15" s="40" customFormat="1">
      <c r="A725" s="39" t="s">
        <v>1999</v>
      </c>
      <c r="C725" s="41"/>
      <c r="F725" s="42"/>
      <c r="G725" s="41"/>
      <c r="H725" s="40">
        <v>0</v>
      </c>
      <c r="I725" s="40" t="str" cm="1">
        <f t="array" aca="1" ref="I72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25" s="40" t="s">
        <v>3008</v>
      </c>
      <c r="K725" s="43" t="str">
        <f>TRIM(SUBSTITUTE( LEFT(DATA_Requirements[[#This Row],[Path]], FIND("/", SUBSTITUTE( DATA_Requirements[[#This Row],[Path]]," ","/"),1)-1), ".",""))</f>
        <v>Driving</v>
      </c>
      <c r="L725"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Security:</v>
      </c>
      <c r="M725"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Security: No Direct Unaudited Access to Storage</v>
      </c>
      <c r="N725" s="44"/>
      <c r="O725" s="44"/>
    </row>
    <row r="726" spans="1:15" s="40" customFormat="1">
      <c r="A726" s="39" t="s">
        <v>1999</v>
      </c>
      <c r="C726" s="41"/>
      <c r="F726" s="42"/>
      <c r="G726" s="41"/>
      <c r="H726" s="40">
        <v>0</v>
      </c>
      <c r="I726" s="40" t="str" cm="1">
        <f t="array" aca="1" ref="I72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26" s="40" t="s">
        <v>3009</v>
      </c>
      <c r="K726" s="43" t="str">
        <f>TRIM(SUBSTITUTE( LEFT(DATA_Requirements[[#This Row],[Path]], FIND("/", SUBSTITUTE( DATA_Requirements[[#This Row],[Path]]," ","/"),1)-1), ".",""))</f>
        <v>Driving</v>
      </c>
      <c r="L726"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Component</v>
      </c>
      <c r="M726"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Component Version Maintenance</v>
      </c>
      <c r="N726" s="44"/>
      <c r="O726" s="44"/>
    </row>
    <row r="727" spans="1:15" s="40" customFormat="1">
      <c r="A727" s="39" t="s">
        <v>1999</v>
      </c>
      <c r="C727" s="41"/>
      <c r="F727" s="42"/>
      <c r="G727" s="41"/>
      <c r="H727" s="40">
        <v>0</v>
      </c>
      <c r="I727" s="40" t="str" cm="1">
        <f t="array" aca="1" ref="I72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27" s="40" t="s">
        <v>3010</v>
      </c>
      <c r="K727" s="43" t="str">
        <f>TRIM(SUBSTITUTE( LEFT(DATA_Requirements[[#This Row],[Path]], FIND("/", SUBSTITUTE( DATA_Requirements[[#This Row],[Path]]," ","/"),1)-1), ".",""))</f>
        <v>Driving</v>
      </c>
      <c r="L727"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Quality</v>
      </c>
      <c r="M727"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Quality</v>
      </c>
      <c r="N727" s="44"/>
      <c r="O727" s="44"/>
    </row>
    <row r="728" spans="1:15" s="40" customFormat="1">
      <c r="A728" s="39" t="s">
        <v>1999</v>
      </c>
      <c r="C728" s="41"/>
      <c r="F728" s="42"/>
      <c r="G728" s="41"/>
      <c r="H728" s="40">
        <v>0</v>
      </c>
      <c r="I728" s="39" t="str" cm="1">
        <f t="array" aca="1" ref="I72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28" s="39" t="s">
        <v>3011</v>
      </c>
      <c r="K728" s="43" t="str">
        <f>TRIM(SUBSTITUTE( LEFT(DATA_Requirements[[#This Row],[Path]], FIND("/", SUBSTITUTE( DATA_Requirements[[#This Row],[Path]]," ","/"),1)-1), ".",""))</f>
        <v>DRIVING</v>
      </c>
      <c r="L728"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OPERATIONS</v>
      </c>
      <c r="M728"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c r="N728" s="44"/>
      <c r="O728" s="44"/>
    </row>
    <row r="729" spans="1:15" s="40" customFormat="1">
      <c r="A729" s="39" t="s">
        <v>1999</v>
      </c>
      <c r="C729" s="41"/>
      <c r="F729" s="42"/>
      <c r="G729" s="41"/>
      <c r="H729" s="40">
        <v>0</v>
      </c>
      <c r="I729" s="40" t="str" cm="1">
        <f t="array" aca="1" ref="I72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29" s="40" t="s">
        <v>3012</v>
      </c>
      <c r="K729" s="43" t="str">
        <f>TRIM(SUBSTITUTE( LEFT(DATA_Requirements[[#This Row],[Path]], FIND("/", SUBSTITUTE( DATA_Requirements[[#This Row],[Path]]," ","/"),1)-1), ".",""))</f>
        <v>Driving</v>
      </c>
      <c r="L729"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Analysis</v>
      </c>
      <c r="M729"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Analysis</v>
      </c>
      <c r="N729" s="44"/>
      <c r="O729" s="44"/>
    </row>
    <row r="730" spans="1:15" s="40" customFormat="1">
      <c r="A730" s="39" t="s">
        <v>1999</v>
      </c>
      <c r="C730" s="41"/>
      <c r="F730" s="42"/>
      <c r="G730" s="41"/>
      <c r="H730" s="40">
        <v>0</v>
      </c>
      <c r="I730" s="40" t="str" cm="1">
        <f t="array" aca="1" ref="I73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30" s="40" t="s">
        <v>3013</v>
      </c>
      <c r="K730" s="43" t="str">
        <f>TRIM(SUBSTITUTE( LEFT(DATA_Requirements[[#This Row],[Path]], FIND("/", SUBSTITUTE( DATA_Requirements[[#This Row],[Path]]," ","/"),1)-1), ".",""))</f>
        <v>Driving</v>
      </c>
      <c r="L730"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Diagnostics</v>
      </c>
      <c r="M730"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Diagnostics</v>
      </c>
      <c r="N730" s="44"/>
      <c r="O730" s="44"/>
    </row>
    <row r="731" spans="1:15" s="40" customFormat="1">
      <c r="A731" s="39" t="s">
        <v>1999</v>
      </c>
      <c r="C731" s="41"/>
      <c r="F731" s="42"/>
      <c r="G731" s="41"/>
      <c r="H731" s="40">
        <v>0</v>
      </c>
      <c r="I731" s="40" t="str" cm="1">
        <f t="array" aca="1" ref="I73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31" s="40" t="s">
        <v>3014</v>
      </c>
      <c r="K731" s="43" t="str">
        <f>TRIM(SUBSTITUTE( LEFT(DATA_Requirements[[#This Row],[Path]], FIND("/", SUBSTITUTE( DATA_Requirements[[#This Row],[Path]]," ","/"),1)-1), ".",""))</f>
        <v>Driving</v>
      </c>
      <c r="L731"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Exporting</v>
      </c>
      <c r="M731"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Exporting</v>
      </c>
      <c r="N731" s="44"/>
      <c r="O731" s="44"/>
    </row>
    <row r="732" spans="1:15" s="40" customFormat="1">
      <c r="A732" s="39" t="s">
        <v>1999</v>
      </c>
      <c r="C732" s="41"/>
      <c r="F732" s="42"/>
      <c r="G732" s="41"/>
      <c r="H732" s="40">
        <v>0</v>
      </c>
      <c r="I732" s="40" t="str" cm="1">
        <f t="array" aca="1" ref="I73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32" s="40" t="s">
        <v>3015</v>
      </c>
      <c r="K732" s="43" t="str">
        <f>TRIM(SUBSTITUTE( LEFT(DATA_Requirements[[#This Row],[Path]], FIND("/", SUBSTITUTE( DATA_Requirements[[#This Row],[Path]]," ","/"),1)-1), ".",""))</f>
        <v>Driving</v>
      </c>
      <c r="L732"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v>
      </c>
      <c r="M732"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Media (Collections, Media, Metadata, Permissions, Members)</v>
      </c>
      <c r="N732" s="44"/>
      <c r="O732" s="44"/>
    </row>
    <row r="733" spans="1:15" s="40" customFormat="1">
      <c r="A733" s="39" t="s">
        <v>1999</v>
      </c>
      <c r="C733" s="41"/>
      <c r="F733" s="42"/>
      <c r="G733" s="41"/>
      <c r="H733" s="40">
        <v>0</v>
      </c>
      <c r="I733" s="40" t="str" cm="1">
        <f t="array" aca="1" ref="I73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33" s="40" t="s">
        <v>3016</v>
      </c>
      <c r="K733" s="43" t="str">
        <f>TRIM(SUBSTITUTE( LEFT(DATA_Requirements[[#This Row],[Path]], FIND("/", SUBSTITUTE( DATA_Requirements[[#This Row],[Path]]," ","/"),1)-1), ".",""))</f>
        <v>Driving</v>
      </c>
      <c r="L733"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Users</v>
      </c>
      <c r="M733"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Users &amp; AuthZ (Groups, Membership, Group Roles, Permissions)</v>
      </c>
      <c r="N733" s="44"/>
      <c r="O733" s="44"/>
    </row>
    <row r="734" spans="1:15" s="40" customFormat="1">
      <c r="A734" s="39" t="s">
        <v>1999</v>
      </c>
      <c r="C734" s="41"/>
      <c r="F734" s="42"/>
      <c r="G734" s="41"/>
      <c r="H734" s="40">
        <v>0</v>
      </c>
      <c r="I734" s="40" t="str" cm="1">
        <f t="array" aca="1" ref="I73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34" s="40" t="s">
        <v>3017</v>
      </c>
      <c r="K734" s="43" t="str">
        <f>TRIM(SUBSTITUTE( LEFT(DATA_Requirements[[#This Row],[Path]], FIND("/", SUBSTITUTE( DATA_Requirements[[#This Row],[Path]]," ","/"),1)-1), ".",""))</f>
        <v>Driving</v>
      </c>
      <c r="L734"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Importing</v>
      </c>
      <c r="M734"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Importing</v>
      </c>
      <c r="N734" s="44"/>
      <c r="O734" s="44"/>
    </row>
    <row r="735" spans="1:15" s="40" customFormat="1">
      <c r="A735" s="39" t="s">
        <v>1999</v>
      </c>
      <c r="C735" s="41"/>
      <c r="F735" s="42"/>
      <c r="G735" s="41"/>
      <c r="H735" s="40">
        <v>0</v>
      </c>
      <c r="I735" s="40" t="str" cm="1">
        <f t="array" aca="1" ref="I73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35" s="40" t="s">
        <v>3018</v>
      </c>
      <c r="K735" s="43" t="str">
        <f>TRIM(SUBSTITUTE( LEFT(DATA_Requirements[[#This Row],[Path]], FIND("/", SUBSTITUTE( DATA_Requirements[[#This Row],[Path]]," ","/"),1)-1), ".",""))</f>
        <v>Driving</v>
      </c>
      <c r="L735"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Importing</v>
      </c>
      <c r="M735"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Importing Users &amp; AuthZ (Groups, Users, Roles, Permissions)</v>
      </c>
      <c r="N735" s="44"/>
      <c r="O735" s="44"/>
    </row>
    <row r="736" spans="1:15" s="40" customFormat="1">
      <c r="A736" s="39" t="s">
        <v>1999</v>
      </c>
      <c r="C736" s="41"/>
      <c r="F736" s="42"/>
      <c r="G736" s="41"/>
      <c r="H736" s="40">
        <v>0</v>
      </c>
      <c r="I736" s="40" t="str" cm="1">
        <f t="array" aca="1" ref="I73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36" s="40" t="s">
        <v>3019</v>
      </c>
      <c r="K736" s="43" t="str">
        <f>TRIM(SUBSTITUTE( LEFT(DATA_Requirements[[#This Row],[Path]], FIND("/", SUBSTITUTE( DATA_Requirements[[#This Row],[Path]]," ","/"),1)-1), ".",""))</f>
        <v>Driving</v>
      </c>
      <c r="L736"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Media</v>
      </c>
      <c r="M736"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Media (Collections, Media, Metadata, Permissions, Members)</v>
      </c>
      <c r="N736" s="44"/>
      <c r="O736" s="44"/>
    </row>
    <row r="737" spans="1:15" s="40" customFormat="1">
      <c r="A737" s="39" t="s">
        <v>1999</v>
      </c>
      <c r="C737" s="41"/>
      <c r="F737" s="42"/>
      <c r="G737" s="41"/>
      <c r="H737" s="40">
        <v>0</v>
      </c>
      <c r="I737" s="40" t="str" cm="1">
        <f t="array" aca="1" ref="I73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37" s="40" t="s">
        <v>3020</v>
      </c>
      <c r="K737" s="43" t="str">
        <f>TRIM(SUBSTITUTE( LEFT(DATA_Requirements[[#This Row],[Path]], FIND("/", SUBSTITUTE( DATA_Requirements[[#This Row],[Path]]," ","/"),1)-1), ".",""))</f>
        <v>Driving</v>
      </c>
      <c r="L737"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Reporting</v>
      </c>
      <c r="M737"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Reporting</v>
      </c>
      <c r="N737" s="44"/>
      <c r="O737" s="44"/>
    </row>
    <row r="738" spans="1:15" s="40" customFormat="1">
      <c r="A738" s="39" t="s">
        <v>1999</v>
      </c>
      <c r="C738" s="41"/>
      <c r="F738" s="42"/>
      <c r="G738" s="41"/>
      <c r="H738" s="40">
        <v>0</v>
      </c>
      <c r="I738" s="40" t="str" cm="1">
        <f t="array" aca="1" ref="I73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38" s="40" t="s">
        <v>3021</v>
      </c>
      <c r="K738" s="43" t="str">
        <f>TRIM(SUBSTITUTE( LEFT(DATA_Requirements[[#This Row],[Path]], FIND("/", SUBSTITUTE( DATA_Requirements[[#This Row],[Path]]," ","/"),1)-1), ".",""))</f>
        <v>Driving</v>
      </c>
      <c r="L738"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Assets</v>
      </c>
      <c r="M738"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Assets (Most Viewed)</v>
      </c>
      <c r="N738" s="44"/>
      <c r="O738" s="44"/>
    </row>
    <row r="739" spans="1:15" s="40" customFormat="1">
      <c r="A739" s="39" t="s">
        <v>1999</v>
      </c>
      <c r="C739" s="41"/>
      <c r="F739" s="42"/>
      <c r="G739" s="41"/>
      <c r="H739" s="40">
        <v>0</v>
      </c>
      <c r="I739" s="40" t="str" cm="1">
        <f t="array" aca="1" ref="I73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39" s="40" t="s">
        <v>3022</v>
      </c>
      <c r="K739" s="43" t="str">
        <f>TRIM(SUBSTITUTE( LEFT(DATA_Requirements[[#This Row],[Path]], FIND("/", SUBSTITUTE( DATA_Requirements[[#This Row],[Path]]," ","/"),1)-1), ".",""))</f>
        <v>Driving</v>
      </c>
      <c r="L739"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Auditing</v>
      </c>
      <c r="M739"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Auditing (Group Summary: Description, Metadata, Members, Resources)</v>
      </c>
      <c r="N739" s="44"/>
      <c r="O739" s="44"/>
    </row>
    <row r="740" spans="1:15" s="40" customFormat="1">
      <c r="A740" s="39" t="s">
        <v>1999</v>
      </c>
      <c r="C740" s="41"/>
      <c r="F740" s="42"/>
      <c r="G740" s="41"/>
      <c r="H740" s="40">
        <v>0</v>
      </c>
      <c r="I740" s="40" t="str" cm="1">
        <f t="array" aca="1" ref="I74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40" s="40" t="s">
        <v>3023</v>
      </c>
      <c r="K740" s="43" t="str">
        <f>TRIM(SUBSTITUTE( LEFT(DATA_Requirements[[#This Row],[Path]], FIND("/", SUBSTITUTE( DATA_Requirements[[#This Row],[Path]]," ","/"),1)-1), ".",""))</f>
        <v>Driving</v>
      </c>
      <c r="L740"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Auditing</v>
      </c>
      <c r="M740"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Auditing (Record History: Viewers, Editors, Creator, Logical Deletor)</v>
      </c>
      <c r="N740" s="44"/>
      <c r="O740" s="44"/>
    </row>
    <row r="741" spans="1:15" s="40" customFormat="1">
      <c r="A741" s="39" t="s">
        <v>1999</v>
      </c>
      <c r="C741" s="41"/>
      <c r="F741" s="42"/>
      <c r="G741" s="41"/>
      <c r="H741" s="40">
        <v>0</v>
      </c>
      <c r="I741" s="40" t="str" cm="1">
        <f t="array" aca="1" ref="I74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41" s="40" t="s">
        <v>3024</v>
      </c>
      <c r="K741" s="43" t="str">
        <f>TRIM(SUBSTITUTE( LEFT(DATA_Requirements[[#This Row],[Path]], FIND("/", SUBSTITUTE( DATA_Requirements[[#This Row],[Path]]," ","/"),1)-1), ".",""))</f>
        <v>Driving</v>
      </c>
      <c r="L741"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Auditing</v>
      </c>
      <c r="M741"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Auditing (User Activity History: Operations)</v>
      </c>
      <c r="N741" s="44"/>
      <c r="O741" s="44"/>
    </row>
    <row r="742" spans="1:15" s="40" customFormat="1">
      <c r="A742" s="39" t="s">
        <v>1999</v>
      </c>
      <c r="C742" s="41"/>
      <c r="F742" s="42"/>
      <c r="G742" s="41"/>
      <c r="H742" s="40">
        <v>0</v>
      </c>
      <c r="I742" s="40" t="str" cm="1">
        <f t="array" aca="1" ref="I74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42" s="40" t="s">
        <v>3025</v>
      </c>
      <c r="K742" s="43" t="str">
        <f>TRIM(SUBSTITUTE( LEFT(DATA_Requirements[[#This Row],[Path]], FIND("/", SUBSTITUTE( DATA_Requirements[[#This Row],[Path]]," ","/"),1)-1), ".",""))</f>
        <v>Driving</v>
      </c>
      <c r="L742"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Auditing</v>
      </c>
      <c r="M742"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Auditing (User Summary: Context, Permissions, Operations, Records)</v>
      </c>
      <c r="N742" s="44"/>
      <c r="O742" s="44"/>
    </row>
    <row r="743" spans="1:15" s="40" customFormat="1">
      <c r="A743" s="39" t="s">
        <v>1999</v>
      </c>
      <c r="C743" s="41"/>
      <c r="F743" s="42"/>
      <c r="G743" s="41"/>
      <c r="H743" s="40">
        <v>0</v>
      </c>
      <c r="I743" s="40" t="str" cm="1">
        <f t="array" aca="1" ref="I74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43" s="40" t="s">
        <v>3026</v>
      </c>
      <c r="K743" s="43" t="str">
        <f>TRIM(SUBSTITUTE( LEFT(DATA_Requirements[[#This Row],[Path]], FIND("/", SUBSTITUTE( DATA_Requirements[[#This Row],[Path]]," ","/"),1)-1), ".",""))</f>
        <v>Driving</v>
      </c>
      <c r="L743"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Discovery</v>
      </c>
      <c r="M743"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Discovery (Source Paths,Metadata Used)</v>
      </c>
      <c r="N743" s="44"/>
      <c r="O743" s="44"/>
    </row>
    <row r="744" spans="1:15" s="40" customFormat="1">
      <c r="A744" s="39" t="s">
        <v>1999</v>
      </c>
      <c r="C744" s="41"/>
      <c r="F744" s="42"/>
      <c r="G744" s="41"/>
      <c r="H744" s="40">
        <v>0</v>
      </c>
      <c r="I744" s="40" t="str" cm="1">
        <f t="array" aca="1" ref="I74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44" s="40" t="s">
        <v>3027</v>
      </c>
      <c r="K744" s="43" t="str">
        <f>TRIM(SUBSTITUTE( LEFT(DATA_Requirements[[#This Row],[Path]], FIND("/", SUBSTITUTE( DATA_Requirements[[#This Row],[Path]]," ","/"),1)-1), ".",""))</f>
        <v>Driving</v>
      </c>
      <c r="L744"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PDF</v>
      </c>
      <c r="M744"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PDF is preferred for print</v>
      </c>
      <c r="N744" s="44"/>
      <c r="O744" s="44"/>
    </row>
    <row r="745" spans="1:15" s="40" customFormat="1">
      <c r="A745" s="39" t="s">
        <v>1999</v>
      </c>
      <c r="C745" s="41"/>
      <c r="F745" s="42"/>
      <c r="G745" s="41"/>
      <c r="H745" s="40">
        <v>0</v>
      </c>
      <c r="I745" s="40" t="str" cm="1">
        <f t="array" aca="1" ref="I74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45" s="40" t="s">
        <v>3028</v>
      </c>
      <c r="K745" s="43" t="str">
        <f>TRIM(SUBSTITUTE( LEFT(DATA_Requirements[[#This Row],[Path]], FIND("/", SUBSTITUTE( DATA_Requirements[[#This Row],[Path]]," ","/"),1)-1), ".",""))</f>
        <v>Driving</v>
      </c>
      <c r="L745"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Operations</v>
      </c>
      <c r="M745"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Operations (Search, Abandonment, Consumation)</v>
      </c>
      <c r="N745" s="44"/>
      <c r="O745" s="44"/>
    </row>
    <row r="746" spans="1:15" s="40" customFormat="1">
      <c r="A746" s="39" t="s">
        <v>1999</v>
      </c>
      <c r="C746" s="41"/>
      <c r="F746" s="42"/>
      <c r="G746" s="41"/>
      <c r="H746" s="40">
        <v>0</v>
      </c>
      <c r="I746" s="40" t="str" cm="1">
        <f t="array" aca="1" ref="I74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46" s="40" t="s">
        <v>3029</v>
      </c>
      <c r="K746" s="43" t="str">
        <f>TRIM(SUBSTITUTE( LEFT(DATA_Requirements[[#This Row],[Path]], FIND("/", SUBSTITUTE( DATA_Requirements[[#This Row],[Path]]," ","/"),1)-1), ".",""))</f>
        <v>Driving</v>
      </c>
      <c r="L746"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QA</v>
      </c>
      <c r="M746"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QA (Requests to Delay, Duration, Exceptions)</v>
      </c>
      <c r="N746" s="44"/>
      <c r="O746" s="44"/>
    </row>
    <row r="747" spans="1:15" s="40" customFormat="1">
      <c r="A747" s="39" t="s">
        <v>1999</v>
      </c>
      <c r="C747" s="41"/>
      <c r="F747" s="42"/>
      <c r="G747" s="41"/>
      <c r="H747" s="40">
        <v>0</v>
      </c>
      <c r="I747" s="40" t="str" cm="1">
        <f t="array" aca="1" ref="I74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47" s="40" t="s">
        <v>3030</v>
      </c>
      <c r="K747" s="43" t="str">
        <f>TRIM(SUBSTITUTE( LEFT(DATA_Requirements[[#This Row],[Path]], FIND("/", SUBSTITUTE( DATA_Requirements[[#This Row],[Path]]," ","/"),1)-1), ".",""))</f>
        <v>Driving</v>
      </c>
      <c r="L747"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printed</v>
      </c>
      <c r="M747"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printed reports are unalterable</v>
      </c>
      <c r="N747" s="44"/>
      <c r="O747" s="44"/>
    </row>
    <row r="748" spans="1:15" s="40" customFormat="1">
      <c r="A748" s="39" t="s">
        <v>1999</v>
      </c>
      <c r="C748" s="41"/>
      <c r="F748" s="42"/>
      <c r="G748" s="41"/>
      <c r="H748" s="40">
        <v>0</v>
      </c>
      <c r="I748" s="40" t="str" cm="1">
        <f t="array" aca="1" ref="I74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48" s="40" t="s">
        <v>3031</v>
      </c>
      <c r="K748" s="43" t="str">
        <f>TRIM(SUBSTITUTE( LEFT(DATA_Requirements[[#This Row],[Path]], FIND("/", SUBSTITUTE( DATA_Requirements[[#This Row],[Path]]," ","/"),1)-1), ".",""))</f>
        <v>Driving</v>
      </c>
      <c r="L748"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Traffic</v>
      </c>
      <c r="M748"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Traffic (UnAuthenticated, Abandonment, Authentication, Authenticated)</v>
      </c>
      <c r="N748" s="44"/>
      <c r="O748" s="44"/>
    </row>
    <row r="749" spans="1:15" s="40" customFormat="1">
      <c r="A749" s="39" t="s">
        <v>1999</v>
      </c>
      <c r="C749" s="41"/>
      <c r="F749" s="42"/>
      <c r="G749" s="41"/>
      <c r="H749" s="40">
        <v>0</v>
      </c>
      <c r="I749" s="40" t="str" cm="1">
        <f t="array" aca="1" ref="I74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17.....0</v>
      </c>
      <c r="J749" s="40" t="s">
        <v>3032</v>
      </c>
      <c r="K749" s="43" t="str">
        <f>TRIM(SUBSTITUTE( LEFT(DATA_Requirements[[#This Row],[Path]], FIND("/", SUBSTITUTE( DATA_Requirements[[#This Row],[Path]]," ","/"),1)-1), ".",""))</f>
        <v>Driving</v>
      </c>
      <c r="L749" s="41"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Usability</v>
      </c>
      <c r="M749" s="41"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Usability (Searches, Followed, Abandoned)</v>
      </c>
      <c r="N749" s="44"/>
      <c r="O749" s="44"/>
    </row>
    <row r="750" spans="1:15">
      <c r="A750" t="s">
        <v>2002</v>
      </c>
      <c r="B750" t="s">
        <v>2246</v>
      </c>
      <c r="C750" t="s">
        <v>3033</v>
      </c>
      <c r="D750"/>
      <c r="F750" t="s">
        <v>2054</v>
      </c>
      <c r="G750"/>
      <c r="H750">
        <v>0</v>
      </c>
      <c r="I750" t="str" cm="1">
        <f t="array" aca="1" ref="I75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18.461..43..0</v>
      </c>
      <c r="J750" t="s">
        <v>3034</v>
      </c>
      <c r="K750" s="10" t="str">
        <f>TRIM(SUBSTITUTE( LEFT(DATA_Requirements[[#This Row],[Path]], FIND("/", SUBSTITUTE( DATA_Requirements[[#This Row],[Path]]," ","/"),1)-1), ".",""))</f>
        <v>Decommissioning</v>
      </c>
      <c r="L75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System</v>
      </c>
      <c r="M75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System Data MUST be digitally prepared for Archives prior to Decomissioning the infoservice.</v>
      </c>
    </row>
    <row r="751" spans="1:15">
      <c r="A751" t="s">
        <v>2002</v>
      </c>
      <c r="B751" t="s">
        <v>2246</v>
      </c>
      <c r="C751"/>
      <c r="D751"/>
      <c r="E751" t="s">
        <v>2132</v>
      </c>
      <c r="F751" t="s">
        <v>2032</v>
      </c>
      <c r="G751" t="s">
        <v>1928</v>
      </c>
      <c r="H751">
        <v>0</v>
      </c>
      <c r="I751" t="str" cm="1">
        <f t="array" aca="1" ref="I75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18.461.81.32.0.0</v>
      </c>
      <c r="J751" t="s">
        <v>3035</v>
      </c>
      <c r="K751" s="10" t="str">
        <f>TRIM(SUBSTITUTE( LEFT(DATA_Requirements[[#This Row],[Path]], FIND("/", SUBSTITUTE( DATA_Requirements[[#This Row],[Path]]," ","/"),1)-1), ".",""))</f>
        <v>Decommissioning</v>
      </c>
      <c r="L751"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v>
      </c>
      <c r="M75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digital method of migrating system data (ETL over APIs, etc.) to a replacement system MUST be made available prior to Decomissioning a legacy system</v>
      </c>
    </row>
    <row r="752" spans="1:15">
      <c r="A752" t="s">
        <v>2002</v>
      </c>
      <c r="B752" t="s">
        <v>2246</v>
      </c>
      <c r="C752" t="s">
        <v>3036</v>
      </c>
      <c r="D752"/>
      <c r="E752" t="s">
        <v>2132</v>
      </c>
      <c r="F752" t="s">
        <v>2096</v>
      </c>
      <c r="G752" t="s">
        <v>1928</v>
      </c>
      <c r="H752">
        <v>0</v>
      </c>
      <c r="I752" t="str" cm="1">
        <f t="array" aca="1" ref="I75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18.461.81.63.0.0</v>
      </c>
      <c r="J752" t="s">
        <v>3037</v>
      </c>
      <c r="K752" s="10" t="str">
        <f>TRIM(SUBSTITUTE( LEFT(DATA_Requirements[[#This Row],[Path]], FIND("/", SUBSTITUTE( DATA_Requirements[[#This Row],[Path]]," ","/"),1)-1), ".",""))</f>
        <v>Decommissioning</v>
      </c>
      <c r="L75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Hosted</v>
      </c>
      <c r="M75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Hosted Storage Devices MUST be deleted securely when decomissioned</v>
      </c>
    </row>
    <row r="753" spans="1:13">
      <c r="A753" t="s">
        <v>2002</v>
      </c>
      <c r="B753" t="s">
        <v>2246</v>
      </c>
      <c r="C753"/>
      <c r="D753"/>
      <c r="E753" t="s">
        <v>2100</v>
      </c>
      <c r="F753" t="s">
        <v>2096</v>
      </c>
      <c r="G753" t="s">
        <v>1928</v>
      </c>
      <c r="H753">
        <v>0</v>
      </c>
      <c r="I753" t="str" cm="1">
        <f t="array" aca="1" ref="I75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18.461.65.63.0.0</v>
      </c>
      <c r="J753" t="s">
        <v>3038</v>
      </c>
      <c r="K753" s="10" t="str">
        <f>TRIM(SUBSTITUTE( LEFT(DATA_Requirements[[#This Row],[Path]], FIND("/", SUBSTITUTE( DATA_Requirements[[#This Row],[Path]]," ","/"),1)-1), ".",""))</f>
        <v>Decommissioning</v>
      </c>
      <c r="L753"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The</v>
      </c>
      <c r="M75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The next appropriate system MUST be Authenticatable and Permitted to export data via API prior to Decommissioning a legacy system</v>
      </c>
    </row>
    <row r="754" spans="1:13">
      <c r="A754" s="16" t="s">
        <v>2002</v>
      </c>
      <c r="B754" s="16"/>
      <c r="C754"/>
      <c r="D754"/>
      <c r="E754" s="16"/>
      <c r="F754" s="16"/>
      <c r="G754" t="s">
        <v>1928</v>
      </c>
      <c r="H754">
        <v>0</v>
      </c>
      <c r="I754" s="16" t="str" cm="1">
        <f t="array" aca="1" ref="I75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18....0.0</v>
      </c>
      <c r="J754" s="16" t="s">
        <v>3039</v>
      </c>
      <c r="K754" s="10" t="str">
        <f>TRIM(SUBSTITUTE( LEFT(DATA_Requirements[[#This Row],[Path]], FIND("/", SUBSTITUTE( DATA_Requirements[[#This Row],[Path]]," ","/"),1)-1), ".",""))</f>
        <v>DECOMMISSIONING</v>
      </c>
      <c r="L754"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75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55" spans="1:13">
      <c r="B755" t="s">
        <v>2246</v>
      </c>
      <c r="C755"/>
      <c r="D755"/>
      <c r="F755" t="s">
        <v>2012</v>
      </c>
      <c r="G755" t="s">
        <v>1928</v>
      </c>
      <c r="H755">
        <v>0</v>
      </c>
      <c r="I755" t="str" cm="1">
        <f t="array" aca="1" ref="I75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.461..22.0.0</v>
      </c>
      <c r="J755" t="s">
        <v>3040</v>
      </c>
      <c r="K755" s="10" t="str">
        <f>TRIM(SUBSTITUTE( LEFT(DATA_Requirements[[#This Row],[Path]], FIND("/", SUBSTITUTE( DATA_Requirements[[#This Row],[Path]]," ","/"),1)-1), ".",""))</f>
        <v>Design</v>
      </c>
      <c r="L755"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Migration</v>
      </c>
      <c r="M75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Migration Data SHOULD not be ingested directly into system storage - use validated APIs instead when available</v>
      </c>
    </row>
    <row r="756" spans="1:13">
      <c r="A756" s="21"/>
      <c r="B756" s="21"/>
      <c r="C756"/>
      <c r="D756"/>
      <c r="E756" s="21"/>
      <c r="F756" s="21"/>
      <c r="G756" t="s">
        <v>1928</v>
      </c>
      <c r="H756">
        <v>0</v>
      </c>
      <c r="I756" s="21" t="str" cm="1">
        <f t="array" aca="1" ref="I75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J756" s="21" t="s">
        <v>3041</v>
      </c>
      <c r="K756" s="10" t="str">
        <f>TRIM(SUBSTITUTE( LEFT(DATA_Requirements[[#This Row],[Path]], FIND("/", SUBSTITUTE( DATA_Requirements[[#This Row],[Path]]," ","/"),1)-1), ".",""))</f>
        <v>DIRECTION</v>
      </c>
      <c r="L756"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75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57" spans="1:13">
      <c r="A757" s="21"/>
      <c r="B757" s="21"/>
      <c r="C757"/>
      <c r="D757"/>
      <c r="E757" s="21"/>
      <c r="F757" t="s">
        <v>2012</v>
      </c>
      <c r="G757" t="s">
        <v>1928</v>
      </c>
      <c r="H757">
        <v>0</v>
      </c>
      <c r="I757" s="21" t="str" cm="1">
        <f t="array" aca="1" ref="I75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...22.0.0</v>
      </c>
      <c r="J757" s="21" t="s">
        <v>3042</v>
      </c>
      <c r="K757" s="10" t="str">
        <f>TRIM(SUBSTITUTE( LEFT(DATA_Requirements[[#This Row],[Path]], FIND("/", SUBSTITUTE( DATA_Requirements[[#This Row],[Path]]," ","/"),1)-1), ".",""))</f>
        <v>DESIGN</v>
      </c>
      <c r="L757"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LEGACYDATAMIGRATION</v>
      </c>
      <c r="M75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58" spans="1:13">
      <c r="A758" s="16"/>
      <c r="B758" s="16"/>
      <c r="C758"/>
      <c r="D758"/>
      <c r="E758" s="16"/>
      <c r="F758" s="16"/>
      <c r="G758" t="s">
        <v>1928</v>
      </c>
      <c r="H758">
        <v>0</v>
      </c>
      <c r="I758" s="16" t="str" cm="1">
        <f t="array" aca="1" ref="I75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J758" s="16" t="s">
        <v>3043</v>
      </c>
      <c r="K758" s="10" t="str">
        <f>TRIM(SUBSTITUTE( LEFT(DATA_Requirements[[#This Row],[Path]], FIND("/", SUBSTITUTE( DATA_Requirements[[#This Row],[Path]]," ","/"),1)-1), ".",""))</f>
        <v>1000:0000</v>
      </c>
      <c r="L758"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Design: High LevelComponents, Info &amp; Delivery Design</v>
      </c>
      <c r="M75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 High Level Design Proposition of components, information, development &amp; delivery MUST be provided for review and collaborative critique, correction and completion</v>
      </c>
    </row>
    <row r="759" spans="1:13">
      <c r="C759"/>
      <c r="D759"/>
      <c r="F759"/>
      <c r="G759" t="s">
        <v>1928</v>
      </c>
      <c r="H759">
        <v>0</v>
      </c>
      <c r="I759" t="str" cm="1">
        <f t="array" aca="1" ref="I75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J759" t="s">
        <v>3044</v>
      </c>
      <c r="K759" s="10" t="str">
        <f>TRIM(SUBSTITUTE( LEFT(DATA_Requirements[[#This Row],[Path]], FIND("/", SUBSTITUTE( DATA_Requirements[[#This Row],[Path]]," ","/"),1)-1), ".",""))</f>
        <v>Design</v>
      </c>
      <c r="L759"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Migrations</v>
      </c>
      <c r="M75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Migration Data MUST not be bypass validation and ingested directly into system storage - use validated system APIs</v>
      </c>
    </row>
    <row r="760" spans="1:13">
      <c r="A760" s="21"/>
      <c r="B760" s="21"/>
      <c r="C760"/>
      <c r="D760"/>
      <c r="E760" s="21"/>
      <c r="F760" s="21"/>
      <c r="G760" t="s">
        <v>1928</v>
      </c>
      <c r="H760">
        <v>0</v>
      </c>
      <c r="I760" s="21" t="str" cm="1">
        <f t="array" aca="1" ref="I76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J760" s="21" t="s">
        <v>3045</v>
      </c>
      <c r="K760" s="10" t="str">
        <f>TRIM(SUBSTITUTE( LEFT(DATA_Requirements[[#This Row],[Path]], FIND("/", SUBSTITUTE( DATA_Requirements[[#This Row],[Path]]," ","/"),1)-1), ".",""))</f>
        <v>DESIGN</v>
      </c>
      <c r="L760"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RESOURCES</v>
      </c>
      <c r="M76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61" spans="1:13">
      <c r="A761" s="22"/>
      <c r="B761" s="22"/>
      <c r="C761"/>
      <c r="D761"/>
      <c r="E761" s="22"/>
      <c r="F761" s="22"/>
      <c r="G761" t="s">
        <v>1928</v>
      </c>
      <c r="H761">
        <v>0</v>
      </c>
      <c r="I761" s="22" t="str" cm="1">
        <f t="array" aca="1" ref="I76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J761" s="22" t="s">
        <v>3046</v>
      </c>
      <c r="K761" s="10" t="str">
        <f>TRIM(SUBSTITUTE( LEFT(DATA_Requirements[[#This Row],[Path]], FIND("/", SUBSTITUTE( DATA_Requirements[[#This Row],[Path]]," ","/"),1)-1), ".",""))</f>
        <v>TEAM</v>
      </c>
      <c r="L761"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Management</v>
      </c>
      <c r="M76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Management Roles MUST assemble a Team of individuals capable of filling the Roles required to deliver expected deliverables and service.</v>
      </c>
    </row>
    <row r="762" spans="1:13">
      <c r="A762" s="21"/>
      <c r="B762" s="21"/>
      <c r="C762"/>
      <c r="D762"/>
      <c r="E762" s="21"/>
      <c r="F762" s="21"/>
      <c r="G762" t="s">
        <v>1928</v>
      </c>
      <c r="H762">
        <v>0</v>
      </c>
      <c r="I762" s="21" t="str" cm="1">
        <f t="array" aca="1" ref="I76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J762" s="21" t="s">
        <v>3047</v>
      </c>
      <c r="K762" s="10" t="str">
        <f>TRIM(SUBSTITUTE( LEFT(DATA_Requirements[[#This Row],[Path]], FIND("/", SUBSTITUTE( DATA_Requirements[[#This Row],[Path]]," ","/"),1)-1), ".",""))</f>
        <v>DESIGN</v>
      </c>
      <c r="L762" s="18"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DEPLOYMENT PIPELINES</v>
      </c>
      <c r="M76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row r="763" spans="1:13">
      <c r="C763"/>
      <c r="D763"/>
      <c r="E763" t="s">
        <v>2060</v>
      </c>
      <c r="F763"/>
      <c r="G763" t="s">
        <v>1928</v>
      </c>
      <c r="H763">
        <v>0</v>
      </c>
      <c r="I763" t="str" cm="1">
        <f t="array" aca="1" ref="I76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63" t="s">
        <v>3048</v>
      </c>
      <c r="K763" s="10" t="str">
        <f>TRIM(SUBSTITUTE( LEFT(DATA_Requirements[[#This Row],[Path]], FIND("/", SUBSTITUTE( DATA_Requirements[[#This Row],[Path]]," ","/"),1)-1), ".",""))</f>
        <v/>
      </c>
      <c r="L76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Team Members: Constraints: Team AntiPatterns</v>
      </c>
      <c r="M76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Support Developers MUST have current capabilities, patterns and approaches</v>
      </c>
    </row>
    <row r="764" spans="1:13">
      <c r="C764"/>
      <c r="D764"/>
      <c r="E764" t="s">
        <v>2060</v>
      </c>
      <c r="F764"/>
      <c r="G764" t="s">
        <v>1928</v>
      </c>
      <c r="H764">
        <v>0</v>
      </c>
      <c r="I764" t="str" cm="1">
        <f t="array" aca="1" ref="I76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64" t="s">
        <v>3049</v>
      </c>
      <c r="K764" s="10" t="str">
        <f>TRIM(SUBSTITUTE( LEFT(DATA_Requirements[[#This Row],[Path]], FIND("/", SUBSTITUTE( DATA_Requirements[[#This Row],[Path]]," ","/"),1)-1), ".",""))</f>
        <v>Direction</v>
      </c>
      <c r="L764"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Constraints: AntiPatterns: Devs != Design Lead</v>
      </c>
      <c r="M76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Developer Roles SHOULD NOT perform as the Solution Architect Role</v>
      </c>
    </row>
    <row r="765" spans="1:13">
      <c r="C765"/>
      <c r="D765"/>
      <c r="E765" t="s">
        <v>2060</v>
      </c>
      <c r="F765"/>
      <c r="G765" t="s">
        <v>1928</v>
      </c>
      <c r="H765">
        <v>0</v>
      </c>
      <c r="I765" t="str" cm="1">
        <f t="array" aca="1" ref="I76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65" t="s">
        <v>3050</v>
      </c>
      <c r="K765" s="10" t="str">
        <f>TRIM(SUBSTITUTE( LEFT(DATA_Requirements[[#This Row],[Path]], FIND("/", SUBSTITUTE( DATA_Requirements[[#This Row],[Path]]," ","/"),1)-1), ".",""))</f>
        <v>Direction</v>
      </c>
      <c r="L765"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Constraints: Patterns: Common Induction</v>
      </c>
      <c r="M76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 Members MUST read Induction Material defining Outcomes, Obligations, Processes to get there As a Service Client team</v>
      </c>
    </row>
    <row r="766" spans="1:13">
      <c r="C766"/>
      <c r="D766"/>
      <c r="E766" t="s">
        <v>2060</v>
      </c>
      <c r="F766"/>
      <c r="G766" t="s">
        <v>1928</v>
      </c>
      <c r="H766">
        <v>0</v>
      </c>
      <c r="I766" t="str" cm="1">
        <f t="array" aca="1" ref="I76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66" t="s">
        <v>3051</v>
      </c>
      <c r="K766" s="10" t="str">
        <f>TRIM(SUBSTITUTE( LEFT(DATA_Requirements[[#This Row],[Path]], FIND("/", SUBSTITUTE( DATA_Requirements[[#This Row],[Path]]," ","/"),1)-1), ".",""))</f>
        <v>Direction</v>
      </c>
      <c r="L76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Constraints: Patterns: Dev Lead Required</v>
      </c>
      <c r="M76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 MUST include a Development Team Lead Role</v>
      </c>
    </row>
    <row r="767" spans="1:13">
      <c r="C767"/>
      <c r="D767"/>
      <c r="E767" t="s">
        <v>2060</v>
      </c>
      <c r="F767"/>
      <c r="G767" t="s">
        <v>1928</v>
      </c>
      <c r="H767">
        <v>0</v>
      </c>
      <c r="I767" t="str" cm="1">
        <f t="array" aca="1" ref="I76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67" t="s">
        <v>3052</v>
      </c>
      <c r="K767" s="10" t="str">
        <f>TRIM(SUBSTITUTE( LEFT(DATA_Requirements[[#This Row],[Path]], FIND("/", SUBSTITUTE( DATA_Requirements[[#This Row],[Path]]," ","/"),1)-1), ".",""))</f>
        <v>Direction</v>
      </c>
      <c r="L767"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Constraints: Patterns: Hire on Capability</v>
      </c>
      <c r="M76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 members SHOULD be hired for best Capabilities rather than Social Fit to decrease delivery risks</v>
      </c>
    </row>
    <row r="768" spans="1:13">
      <c r="C768"/>
      <c r="D768"/>
      <c r="E768" t="s">
        <v>2060</v>
      </c>
      <c r="F768"/>
      <c r="G768" t="s">
        <v>1928</v>
      </c>
      <c r="H768">
        <v>0</v>
      </c>
      <c r="I768" t="str" cm="1">
        <f t="array" aca="1" ref="I76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68" t="s">
        <v>3053</v>
      </c>
      <c r="K768" s="10" t="str">
        <f>TRIM(SUBSTITUTE( LEFT(DATA_Requirements[[#This Row],[Path]], FIND("/", SUBSTITUTE( DATA_Requirements[[#This Row],[Path]]," ","/"),1)-1), ".",""))</f>
        <v>Direction</v>
      </c>
      <c r="L768"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Constraints: Patterns: Members may have Multipe Roles</v>
      </c>
      <c r="M76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Small Teams MAY assign multiple Roles to a single qualified Person</v>
      </c>
    </row>
    <row r="769" spans="3:13">
      <c r="C769"/>
      <c r="D769"/>
      <c r="E769" t="s">
        <v>2060</v>
      </c>
      <c r="F769"/>
      <c r="G769" t="s">
        <v>1928</v>
      </c>
      <c r="H769">
        <v>0</v>
      </c>
      <c r="I769" t="str" cm="1">
        <f t="array" aca="1" ref="I76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69" t="s">
        <v>3054</v>
      </c>
      <c r="K769" s="10" t="str">
        <f>TRIM(SUBSTITUTE( LEFT(DATA_Requirements[[#This Row],[Path]], FIND("/", SUBSTITUTE( DATA_Requirements[[#This Row],[Path]]," ","/"),1)-1), ".",""))</f>
        <v>Direction</v>
      </c>
      <c r="L769"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Constraints: Patterns: QA Lead Required</v>
      </c>
      <c r="M76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 MUST include a QA Team Lead Role</v>
      </c>
    </row>
    <row r="770" spans="3:13">
      <c r="C770"/>
      <c r="D770"/>
      <c r="E770" t="s">
        <v>2060</v>
      </c>
      <c r="F770" t="s">
        <v>2082</v>
      </c>
      <c r="G770" t="s">
        <v>1928</v>
      </c>
      <c r="H770">
        <v>0</v>
      </c>
      <c r="I770" t="str" cm="1">
        <f t="array" aca="1" ref="I77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..46.56.0.0</v>
      </c>
      <c r="J770" t="s">
        <v>3055</v>
      </c>
      <c r="K770" s="10" t="str">
        <f>TRIM(SUBSTITUTE( LEFT(DATA_Requirements[[#This Row],[Path]], FIND("/", SUBSTITUTE( DATA_Requirements[[#This Row],[Path]]," ","/"),1)-1), ".",""))</f>
        <v>Direction</v>
      </c>
      <c r="L770"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Constraints: Patterns: Work Orchestrator Required</v>
      </c>
      <c r="M77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 MUST include a Role (eg: Scrum Master) to organise workitem prioritsation, allocation and progress</v>
      </c>
    </row>
    <row r="771" spans="3:13">
      <c r="C771"/>
      <c r="D771"/>
      <c r="E771" t="s">
        <v>2060</v>
      </c>
      <c r="F771"/>
      <c r="G771" t="s">
        <v>1928</v>
      </c>
      <c r="H771">
        <v>0</v>
      </c>
      <c r="I771" t="str" cm="1">
        <f t="array" aca="1" ref="I77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71" t="s">
        <v>3056</v>
      </c>
      <c r="K771" s="10" t="str">
        <f>TRIM(SUBSTITUTE( LEFT(DATA_Requirements[[#This Row],[Path]], FIND("/", SUBSTITUTE( DATA_Requirements[[#This Row],[Path]]," ","/"),1)-1), ".",""))</f>
        <v>Direction</v>
      </c>
      <c r="L771"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Constriants: AntiPatterns: SMEs are not BAs</v>
      </c>
      <c r="M77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SMEs MUST NOT be employed as Stakeholder Analysts</v>
      </c>
    </row>
    <row r="772" spans="3:13">
      <c r="C772"/>
      <c r="D772"/>
      <c r="E772" t="s">
        <v>2060</v>
      </c>
      <c r="F772"/>
      <c r="G772" t="s">
        <v>1928</v>
      </c>
      <c r="H772">
        <v>0</v>
      </c>
      <c r="I772" t="str" cm="1">
        <f t="array" aca="1" ref="I77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72" t="s">
        <v>3057</v>
      </c>
      <c r="K772" s="10" t="str">
        <f>TRIM(SUBSTITUTE( LEFT(DATA_Requirements[[#This Row],[Path]], FIND("/", SUBSTITUTE( DATA_Requirements[[#This Row],[Path]]," ","/"),1)-1), ".",""))</f>
        <v>Direction</v>
      </c>
      <c r="L772"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Cosntraints: AntiPatterns: Hire Devs Last</v>
      </c>
      <c r="M77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 Development hiring MUST NOT start with Developers</v>
      </c>
    </row>
    <row r="773" spans="3:13">
      <c r="C773"/>
      <c r="D773"/>
      <c r="E773" t="s">
        <v>2060</v>
      </c>
      <c r="F773"/>
      <c r="G773" t="s">
        <v>1928</v>
      </c>
      <c r="H773">
        <v>0</v>
      </c>
      <c r="I773" t="str" cm="1">
        <f t="array" aca="1" ref="I77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73" t="s">
        <v>3058</v>
      </c>
      <c r="K773" s="10" t="str">
        <f>TRIM(SUBSTITUTE( LEFT(DATA_Requirements[[#This Row],[Path]], FIND("/", SUBSTITUTE( DATA_Requirements[[#This Row],[Path]]," ","/"),1)-1), ".",""))</f>
        <v>Direction</v>
      </c>
      <c r="L77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are Stakeholder Analysts</v>
      </c>
      <c r="M77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Business Analysts SHOULD be referred to as Stakeholder Analyst to not embed bias towards one Stakeholder Group</v>
      </c>
    </row>
    <row r="774" spans="3:13">
      <c r="C774"/>
      <c r="D774"/>
      <c r="E774" t="s">
        <v>2060</v>
      </c>
      <c r="F774"/>
      <c r="G774" t="s">
        <v>1928</v>
      </c>
      <c r="H774">
        <v>0</v>
      </c>
      <c r="I774" t="str" cm="1">
        <f t="array" aca="1" ref="I77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74" t="s">
        <v>3059</v>
      </c>
      <c r="K774" s="10" t="str">
        <f>TRIM(SUBSTITUTE( LEFT(DATA_Requirements[[#This Row],[Path]], FIND("/", SUBSTITUTE( DATA_Requirements[[#This Row],[Path]]," ","/"),1)-1), ".",""))</f>
        <v>Direction</v>
      </c>
      <c r="L774"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Capabilities</v>
      </c>
      <c r="M77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Capabilities</v>
      </c>
    </row>
    <row r="775" spans="3:13">
      <c r="C775"/>
      <c r="D775"/>
      <c r="E775" t="s">
        <v>2060</v>
      </c>
      <c r="F775"/>
      <c r="G775" t="s">
        <v>1928</v>
      </c>
      <c r="H775">
        <v>0</v>
      </c>
      <c r="I775" t="str" cm="1">
        <f t="array" aca="1" ref="I77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75" t="s">
        <v>3060</v>
      </c>
      <c r="K775" s="10" t="str">
        <f>TRIM(SUBSTITUTE( LEFT(DATA_Requirements[[#This Row],[Path]], FIND("/", SUBSTITUTE( DATA_Requirements[[#This Row],[Path]]," ","/"),1)-1), ".",""))</f>
        <v>Direction</v>
      </c>
      <c r="L775"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Team|Members:</v>
      </c>
      <c r="M77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Team|Members: Team MUST include a Solution Architect Role to design &amp; describe how the Service will be delivered</v>
      </c>
    </row>
    <row r="776" spans="3:13">
      <c r="C776"/>
      <c r="D776"/>
      <c r="E776" t="s">
        <v>2060</v>
      </c>
      <c r="F776"/>
      <c r="G776" t="s">
        <v>1928</v>
      </c>
      <c r="H776">
        <v>0</v>
      </c>
      <c r="I776" t="str" cm="1">
        <f t="array" aca="1" ref="I77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76" t="s">
        <v>3061</v>
      </c>
      <c r="K776" s="10" t="str">
        <f>TRIM(SUBSTITUTE( LEFT(DATA_Requirements[[#This Row],[Path]], FIND("/", SUBSTITUTE( DATA_Requirements[[#This Row],[Path]]," ","/"),1)-1), ".",""))</f>
        <v>Direction</v>
      </c>
      <c r="L77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Team|Members:</v>
      </c>
      <c r="M77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Team|Members: Team MUST include an Automated Infrastructure, Pipeline &amp; Delivery Specialist Role</v>
      </c>
    </row>
    <row r="777" spans="3:13">
      <c r="C777"/>
      <c r="D777"/>
      <c r="E777" t="s">
        <v>2060</v>
      </c>
      <c r="F777"/>
      <c r="G777" t="s">
        <v>1928</v>
      </c>
      <c r="H777">
        <v>0</v>
      </c>
      <c r="I777" t="str" cm="1">
        <f t="array" aca="1" ref="I77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77" t="s">
        <v>3062</v>
      </c>
      <c r="K777" s="10" t="str">
        <f>TRIM(SUBSTITUTE( LEFT(DATA_Requirements[[#This Row],[Path]], FIND("/", SUBSTITUTE( DATA_Requirements[[#This Row],[Path]]," ","/"),1)-1), ".",""))</f>
        <v>Direction</v>
      </c>
      <c r="L777"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Team|Members:</v>
      </c>
      <c r="M77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Team|Members: Team MUST include Development Roles for converting Stakeholder anaylst defined User story tasks into Automation</v>
      </c>
    </row>
    <row r="778" spans="3:13">
      <c r="C778"/>
      <c r="D778"/>
      <c r="E778" t="s">
        <v>2060</v>
      </c>
      <c r="F778"/>
      <c r="G778" t="s">
        <v>1928</v>
      </c>
      <c r="H778">
        <v>0</v>
      </c>
      <c r="I778" t="str" cm="1">
        <f t="array" aca="1" ref="I77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78" t="s">
        <v>3063</v>
      </c>
      <c r="K778" s="10" t="str">
        <f>TRIM(SUBSTITUTE( LEFT(DATA_Requirements[[#This Row],[Path]], FIND("/", SUBSTITUTE( DATA_Requirements[[#This Row],[Path]]," ","/"),1)-1), ".",""))</f>
        <v>Direction</v>
      </c>
      <c r="L778"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Team|Members:</v>
      </c>
      <c r="M77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Team|Members: Team MUST include Development Roles for converting Test Scripts into Automation</v>
      </c>
    </row>
    <row r="779" spans="3:13">
      <c r="C779"/>
      <c r="D779"/>
      <c r="E779" t="s">
        <v>2060</v>
      </c>
      <c r="F779"/>
      <c r="G779" t="s">
        <v>1928</v>
      </c>
      <c r="H779">
        <v>0</v>
      </c>
      <c r="I779" t="str" cm="1">
        <f t="array" aca="1" ref="I77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79" t="s">
        <v>3064</v>
      </c>
      <c r="K779" s="10" t="str">
        <f>TRIM(SUBSTITUTE( LEFT(DATA_Requirements[[#This Row],[Path]], FIND("/", SUBSTITUTE( DATA_Requirements[[#This Row],[Path]]," ","/"),1)-1), ".",""))</f>
        <v>Direction</v>
      </c>
      <c r="L779"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Team|Members:</v>
      </c>
      <c r="M77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Team|Members: Team MUST include Development Roles for developing Infrastructure as Code for automating the development of Environments</v>
      </c>
    </row>
    <row r="780" spans="3:13">
      <c r="C780"/>
      <c r="D780"/>
      <c r="F780"/>
      <c r="G780" t="s">
        <v>1928</v>
      </c>
      <c r="H780">
        <v>0</v>
      </c>
      <c r="I780" t="str" cm="1">
        <f t="array" aca="1" ref="I78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J780" t="s">
        <v>3065</v>
      </c>
      <c r="K780" s="10" t="str">
        <f>TRIM(SUBSTITUTE( LEFT(DATA_Requirements[[#This Row],[Path]], FIND("/", SUBSTITUTE( DATA_Requirements[[#This Row],[Path]]," ","/"),1)-1), ".",""))</f>
        <v>Direction</v>
      </c>
      <c r="L780"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ALM Service</v>
      </c>
      <c r="M78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Developed Git Repository</v>
      </c>
    </row>
    <row r="781" spans="3:13">
      <c r="C781"/>
      <c r="D781"/>
      <c r="E781" t="s">
        <v>2060</v>
      </c>
      <c r="F781"/>
      <c r="G781" t="s">
        <v>1928</v>
      </c>
      <c r="H781">
        <v>0</v>
      </c>
      <c r="I781" t="str" cm="1">
        <f t="array" aca="1" ref="I78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81" t="s">
        <v>3066</v>
      </c>
      <c r="K781" s="10" t="str">
        <f>TRIM(SUBSTITUTE( LEFT(DATA_Requirements[[#This Row],[Path]], FIND("/", SUBSTITUTE( DATA_Requirements[[#This Row],[Path]]," ","/"),1)-1), ".",""))</f>
        <v>Direction</v>
      </c>
      <c r="L781"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v>
      </c>
      <c r="M78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ALM Service|A Delivery Pipelines MUST be developed to deploy Environments, Infrastructure, Components, Configuration, Seed data, Migration Data</v>
      </c>
    </row>
    <row r="782" spans="3:13">
      <c r="C782"/>
      <c r="D782"/>
      <c r="E782" t="s">
        <v>2060</v>
      </c>
      <c r="F782"/>
      <c r="G782" t="s">
        <v>1928</v>
      </c>
      <c r="H782">
        <v>0</v>
      </c>
      <c r="I782" t="str" cm="1">
        <f t="array" aca="1" ref="I78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82" t="s">
        <v>3067</v>
      </c>
      <c r="K782" s="10" t="str">
        <f>TRIM(SUBSTITUTE( LEFT(DATA_Requirements[[#This Row],[Path]], FIND("/", SUBSTITUTE( DATA_Requirements[[#This Row],[Path]]," ","/"),1)-1), ".",""))</f>
        <v>Direction</v>
      </c>
      <c r="L782"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v>
      </c>
      <c r="M78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ALM Service|Delivery Pipelines MUST include multiple types of QA Testing (Unit Testing, Behavioural)</v>
      </c>
    </row>
    <row r="783" spans="3:13">
      <c r="C783"/>
      <c r="D783"/>
      <c r="E783" t="s">
        <v>2060</v>
      </c>
      <c r="F783"/>
      <c r="G783" t="s">
        <v>1928</v>
      </c>
      <c r="H783">
        <v>0</v>
      </c>
      <c r="I783" t="str" cm="1">
        <f t="array" aca="1" ref="I78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83" t="s">
        <v>3068</v>
      </c>
      <c r="K783" s="10" t="str">
        <f>TRIM(SUBSTITUTE( LEFT(DATA_Requirements[[#This Row],[Path]], FIND("/", SUBSTITUTE( DATA_Requirements[[#This Row],[Path]]," ","/"),1)-1), ".",""))</f>
        <v>Direction</v>
      </c>
      <c r="L78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v>
      </c>
      <c r="M78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ALM Service|Projects MUST be initialized with an ALM based Documentation cability (for a Technical Wiki)</v>
      </c>
    </row>
    <row r="784" spans="3:13">
      <c r="C784"/>
      <c r="D784"/>
      <c r="E784" t="s">
        <v>2060</v>
      </c>
      <c r="F784"/>
      <c r="G784" t="s">
        <v>1928</v>
      </c>
      <c r="H784">
        <v>0</v>
      </c>
      <c r="I784" t="str" cm="1">
        <f t="array" aca="1" ref="I78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84" t="s">
        <v>3069</v>
      </c>
      <c r="K784" s="10" t="str">
        <f>TRIM(SUBSTITUTE( LEFT(DATA_Requirements[[#This Row],[Path]], FIND("/", SUBSTITUTE( DATA_Requirements[[#This Row],[Path]]," ","/"),1)-1), ".",""))</f>
        <v>Direction</v>
      </c>
      <c r="L784"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v>
      </c>
      <c r="M78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ALM Service|Projects MUST be initialized with an ALM based Project Space A46</v>
      </c>
    </row>
    <row r="785" spans="1:13">
      <c r="C785"/>
      <c r="D785"/>
      <c r="E785" t="s">
        <v>2060</v>
      </c>
      <c r="F785"/>
      <c r="G785" t="s">
        <v>1928</v>
      </c>
      <c r="H785">
        <v>0</v>
      </c>
      <c r="I785" t="str" cm="1">
        <f t="array" aca="1" ref="I78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85" t="s">
        <v>3070</v>
      </c>
      <c r="K785" s="10" t="str">
        <f>TRIM(SUBSTITUTE( LEFT(DATA_Requirements[[#This Row],[Path]], FIND("/", SUBSTITUTE( DATA_Requirements[[#This Row],[Path]]," ","/"),1)-1), ".",""))</f>
        <v>Direction</v>
      </c>
      <c r="L785"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v>
      </c>
      <c r="M78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ALM Service|Projects MUST be provisioned with a Dynamic Project Dashboard to Management roles as to functionality quality, progress, etc.</v>
      </c>
    </row>
    <row r="786" spans="1:13">
      <c r="C786"/>
      <c r="D786"/>
      <c r="E786" t="s">
        <v>2060</v>
      </c>
      <c r="F786"/>
      <c r="G786" t="s">
        <v>1928</v>
      </c>
      <c r="H786">
        <v>0</v>
      </c>
      <c r="I786" t="str" cm="1">
        <f t="array" aca="1" ref="I78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86" t="s">
        <v>3071</v>
      </c>
      <c r="K786" s="10" t="str">
        <f>TRIM(SUBSTITUTE( LEFT(DATA_Requirements[[#This Row],[Path]], FIND("/", SUBSTITUTE( DATA_Requirements[[#This Row],[Path]]," ","/"),1)-1), ".",""))</f>
        <v>Direction</v>
      </c>
      <c r="L78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v>
      </c>
      <c r="M78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ALM Service|Projects MUST be provisioned with ALM based delivery pipelines which deploy System Configuration (eg: via APIs)</v>
      </c>
    </row>
    <row r="787" spans="1:13">
      <c r="C787"/>
      <c r="D787"/>
      <c r="E787" t="s">
        <v>2060</v>
      </c>
      <c r="F787"/>
      <c r="G787" t="s">
        <v>1928</v>
      </c>
      <c r="H787">
        <v>0</v>
      </c>
      <c r="I787" t="str" cm="1">
        <f t="array" aca="1" ref="I78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87" t="s">
        <v>3072</v>
      </c>
      <c r="K787" s="10" t="str">
        <f>TRIM(SUBSTITUTE( LEFT(DATA_Requirements[[#This Row],[Path]], FIND("/", SUBSTITUTE( DATA_Requirements[[#This Row],[Path]]," ","/"),1)-1), ".",""))</f>
        <v>Direction</v>
      </c>
      <c r="L787"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v>
      </c>
      <c r="M78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ALM Service|Projects MUST be provisioned with an ALM based Project Workitem Backlog</v>
      </c>
    </row>
    <row r="788" spans="1:13">
      <c r="C788"/>
      <c r="D788"/>
      <c r="E788" t="s">
        <v>2060</v>
      </c>
      <c r="F788"/>
      <c r="G788" t="s">
        <v>1928</v>
      </c>
      <c r="H788">
        <v>0</v>
      </c>
      <c r="I788" t="str" cm="1">
        <f t="array" aca="1" ref="I78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88" t="s">
        <v>3073</v>
      </c>
      <c r="K788" s="10" t="str">
        <f>TRIM(SUBSTITUTE( LEFT(DATA_Requirements[[#This Row],[Path]], FIND("/", SUBSTITUTE( DATA_Requirements[[#This Row],[Path]]," ","/"),1)-1), ".",""))</f>
        <v>Direction</v>
      </c>
      <c r="L788"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v>
      </c>
      <c r="M78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ALM Service|Projects MUST be provisioned with an ALM based Sprint Backlogs to show Defined, Sized, Ready Workitems</v>
      </c>
    </row>
    <row r="789" spans="1:13">
      <c r="A789" s="5"/>
      <c r="B789" s="5"/>
      <c r="C789"/>
      <c r="D789"/>
      <c r="E789" t="s">
        <v>2060</v>
      </c>
      <c r="F789" s="5"/>
      <c r="G789" t="s">
        <v>1928</v>
      </c>
      <c r="H789">
        <v>0</v>
      </c>
      <c r="I789" s="5" t="str" cm="1">
        <f t="array" aca="1" ref="I78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89" s="5" t="s">
        <v>3074</v>
      </c>
      <c r="K789" s="10" t="str">
        <f>TRIM(SUBSTITUTE( LEFT(DATA_Requirements[[#This Row],[Path]], FIND("/", SUBSTITUTE( DATA_Requirements[[#This Row],[Path]]," ","/"),1)-1), ".",""))</f>
        <v>Direction</v>
      </c>
      <c r="L789"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Services</v>
      </c>
      <c r="M78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Team Member Comms (Teams, etc.)</v>
      </c>
    </row>
    <row r="790" spans="1:13">
      <c r="C790"/>
      <c r="D790"/>
      <c r="F790"/>
      <c r="G790" t="s">
        <v>1928</v>
      </c>
      <c r="H790">
        <v>0</v>
      </c>
      <c r="I790" t="str" cm="1">
        <f t="array" aca="1" ref="I79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....0.0</v>
      </c>
      <c r="J790" t="s">
        <v>3075</v>
      </c>
      <c r="K790" s="10" t="str">
        <f>TRIM(SUBSTITUTE( LEFT(DATA_Requirements[[#This Row],[Path]], FIND("/", SUBSTITUTE( DATA_Requirements[[#This Row],[Path]]," ","/"),1)-1), ".",""))</f>
        <v>Direction</v>
      </c>
      <c r="L790"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Environments</v>
      </c>
      <c r="M79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Subscription</v>
      </c>
    </row>
    <row r="791" spans="1:13">
      <c r="C791"/>
      <c r="D791"/>
      <c r="E791" t="s">
        <v>2060</v>
      </c>
      <c r="F791"/>
      <c r="G791" t="s">
        <v>1928</v>
      </c>
      <c r="H791">
        <v>0</v>
      </c>
      <c r="I791" t="str" cm="1">
        <f t="array" aca="1" ref="I79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91" t="s">
        <v>3076</v>
      </c>
      <c r="K791" s="10" t="str">
        <f>TRIM(SUBSTITUTE( LEFT(DATA_Requirements[[#This Row],[Path]], FIND("/", SUBSTITUTE( DATA_Requirements[[#This Row],[Path]]," ","/"),1)-1), ".",""))</f>
        <v>Direction</v>
      </c>
      <c r="L791"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Member Devices</v>
      </c>
      <c r="M79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Project *Development* Members MUST be provisioned with appropriately capable physical development Devices to be efficient</v>
      </c>
    </row>
    <row r="792" spans="1:13">
      <c r="C792"/>
      <c r="D792"/>
      <c r="E792" t="s">
        <v>2060</v>
      </c>
      <c r="F792"/>
      <c r="G792" t="s">
        <v>1928</v>
      </c>
      <c r="H792">
        <v>0</v>
      </c>
      <c r="I792" t="str" cm="1">
        <f t="array" aca="1" ref="I79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92" t="s">
        <v>3077</v>
      </c>
      <c r="K792" s="10" t="str">
        <f>TRIM(SUBSTITUTE( LEFT(DATA_Requirements[[#This Row],[Path]], FIND("/", SUBSTITUTE( DATA_Requirements[[#This Row],[Path]]," ","/"),1)-1), ".",""))</f>
        <v>Direction</v>
      </c>
      <c r="L792"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Access</v>
      </c>
      <c r="M792"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Project Member Devices MUST have access to NON-PROD-DATA environments</v>
      </c>
    </row>
    <row r="793" spans="1:13">
      <c r="C793"/>
      <c r="D793"/>
      <c r="E793" t="s">
        <v>2060</v>
      </c>
      <c r="F793"/>
      <c r="G793" t="s">
        <v>1928</v>
      </c>
      <c r="H793">
        <v>0</v>
      </c>
      <c r="I793" t="str" cm="1">
        <f t="array" aca="1" ref="I79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93" t="s">
        <v>3078</v>
      </c>
      <c r="K793" s="10" t="str">
        <f>TRIM(SUBSTITUTE( LEFT(DATA_Requirements[[#This Row],[Path]], FIND("/", SUBSTITUTE( DATA_Requirements[[#This Row],[Path]]," ","/"),1)-1), ".",""))</f>
        <v>Direction</v>
      </c>
      <c r="L793"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Work</v>
      </c>
      <c r="M79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Issued Devices MUST be amply capable of efficient remote work from home</v>
      </c>
    </row>
    <row r="794" spans="1:13">
      <c r="C794"/>
      <c r="D794"/>
      <c r="E794" t="s">
        <v>2060</v>
      </c>
      <c r="F794"/>
      <c r="G794" t="s">
        <v>1928</v>
      </c>
      <c r="H794">
        <v>0</v>
      </c>
      <c r="I794" t="str" cm="1">
        <f t="array" aca="1" ref="I794"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94" t="s">
        <v>3079</v>
      </c>
      <c r="K794" s="10" t="str">
        <f>TRIM(SUBSTITUTE( LEFT(DATA_Requirements[[#This Row],[Path]], FIND("/", SUBSTITUTE( DATA_Requirements[[#This Row],[Path]]," ","/"),1)-1), ".",""))</f>
        <v>Direction</v>
      </c>
      <c r="L794"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Devices</v>
      </c>
      <c r="M794"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Project Members MUST be provisioned with appropriately capable physical development Devices</v>
      </c>
    </row>
    <row r="795" spans="1:13">
      <c r="C795"/>
      <c r="D795"/>
      <c r="E795" t="s">
        <v>2060</v>
      </c>
      <c r="F795"/>
      <c r="G795" t="s">
        <v>1928</v>
      </c>
      <c r="H795">
        <v>0</v>
      </c>
      <c r="I795" t="str" cm="1">
        <f t="array" aca="1" ref="I795"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95" t="s">
        <v>3080</v>
      </c>
      <c r="K795" s="10" t="str">
        <f>TRIM(SUBSTITUTE( LEFT(DATA_Requirements[[#This Row],[Path]], FIND("/", SUBSTITUTE( DATA_Requirements[[#This Row],[Path]]," ","/"),1)-1), ".",""))</f>
        <v>Direction</v>
      </c>
      <c r="L795"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Environmental Access</v>
      </c>
      <c r="M795"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All Project Member Devices MUST NOT have access to PROD-DATA environments (the Deployment Service Agent does it for you in a secure manner)</v>
      </c>
    </row>
    <row r="796" spans="1:13">
      <c r="C796"/>
      <c r="D796"/>
      <c r="E796" t="s">
        <v>2060</v>
      </c>
      <c r="F796"/>
      <c r="G796" t="s">
        <v>1928</v>
      </c>
      <c r="H796">
        <v>0</v>
      </c>
      <c r="I796" t="str" cm="1">
        <f t="array" aca="1" ref="I796"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96" t="s">
        <v>3081</v>
      </c>
      <c r="K796" s="10" t="str">
        <f>TRIM(SUBSTITUTE( LEFT(DATA_Requirements[[#This Row],[Path]], FIND("/", SUBSTITUTE( DATA_Requirements[[#This Row],[Path]]," ","/"),1)-1), ".",""))</f>
        <v>Direction</v>
      </c>
      <c r="L796"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
      </c>
      <c r="M796"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
      </c>
    </row>
    <row r="797" spans="1:13">
      <c r="A797" s="5"/>
      <c r="B797" s="5"/>
      <c r="C797"/>
      <c r="D797"/>
      <c r="E797" t="s">
        <v>2060</v>
      </c>
      <c r="F797" s="5"/>
      <c r="G797" t="s">
        <v>1928</v>
      </c>
      <c r="H797">
        <v>0</v>
      </c>
      <c r="I797" s="5" t="str" cm="1">
        <f t="array" aca="1" ref="I797"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97" s="5" t="s">
        <v>3082</v>
      </c>
      <c r="K797" s="10" t="str">
        <f>TRIM(SUBSTITUTE( LEFT(DATA_Requirements[[#This Row],[Path]], FIND("/", SUBSTITUTE( DATA_Requirements[[#This Row],[Path]]," ","/"),1)-1), ".",""))</f>
        <v>Direction</v>
      </c>
      <c r="L797"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Licenses|All</v>
      </c>
      <c r="M797"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Licenses|All Project Development Members MUST be provisioned with Licenses permitting access to the Project ALM code repositories and build pipelines</v>
      </c>
    </row>
    <row r="798" spans="1:13">
      <c r="A798" s="5"/>
      <c r="B798" s="5"/>
      <c r="C798"/>
      <c r="D798"/>
      <c r="E798" t="s">
        <v>2060</v>
      </c>
      <c r="F798" s="5"/>
      <c r="G798" t="s">
        <v>1928</v>
      </c>
      <c r="H798">
        <v>0</v>
      </c>
      <c r="I798" s="5" t="str" cm="1">
        <f t="array" aca="1" ref="I798"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98" s="5" t="s">
        <v>3083</v>
      </c>
      <c r="K798" s="10" t="str">
        <f>TRIM(SUBSTITUTE( LEFT(DATA_Requirements[[#This Row],[Path]], FIND("/", SUBSTITUTE( DATA_Requirements[[#This Row],[Path]]," ","/"),1)-1), ".",""))</f>
        <v>Direction</v>
      </c>
      <c r="L798"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Licenses|All</v>
      </c>
      <c r="M798"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Licenses|All Project Members MUST be provisioned with Developer Tool (eg: IDEs, Visual Studio) Licenses</v>
      </c>
    </row>
    <row r="799" spans="1:13">
      <c r="A799" s="5"/>
      <c r="B799" s="5"/>
      <c r="C799"/>
      <c r="D799"/>
      <c r="E799" t="s">
        <v>2060</v>
      </c>
      <c r="F799" s="5"/>
      <c r="G799" t="s">
        <v>1928</v>
      </c>
      <c r="H799">
        <v>0</v>
      </c>
      <c r="I799" s="5" t="str" cm="1">
        <f t="array" aca="1" ref="I799"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799" s="5" t="s">
        <v>3084</v>
      </c>
      <c r="K799" s="10" t="str">
        <f>TRIM(SUBSTITUTE( LEFT(DATA_Requirements[[#This Row],[Path]], FIND("/", SUBSTITUTE( DATA_Requirements[[#This Row],[Path]]," ","/"),1)-1), ".",""))</f>
        <v>Direction</v>
      </c>
      <c r="L799"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Licenses|All</v>
      </c>
      <c r="M799"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Licenses|All Project Members MUST be provisioned with Licenses permitting access to the Project ALM documentation and workitems</v>
      </c>
    </row>
    <row r="800" spans="1:13">
      <c r="A800" s="5"/>
      <c r="B800" s="5"/>
      <c r="C800"/>
      <c r="D800"/>
      <c r="E800" t="s">
        <v>2060</v>
      </c>
      <c r="F800" s="5"/>
      <c r="G800" t="s">
        <v>1928</v>
      </c>
      <c r="H800">
        <v>0</v>
      </c>
      <c r="I800" s="5" t="str" cm="1">
        <f t="array" aca="1" ref="I800"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800" s="5" t="s">
        <v>3085</v>
      </c>
      <c r="K800" s="10" t="str">
        <f>TRIM(SUBSTITUTE( LEFT(DATA_Requirements[[#This Row],[Path]], FIND("/", SUBSTITUTE( DATA_Requirements[[#This Row],[Path]]," ","/"),1)-1), ".",""))</f>
        <v>Direction</v>
      </c>
      <c r="L800"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Licenses|All</v>
      </c>
      <c r="M800"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Licenses|All Project Members MUST be provisioned with Licenses permitting Cloud Environment access</v>
      </c>
    </row>
    <row r="801" spans="1:13">
      <c r="C801"/>
      <c r="D801"/>
      <c r="E801" t="s">
        <v>2060</v>
      </c>
      <c r="F801"/>
      <c r="G801" t="s">
        <v>1928</v>
      </c>
      <c r="H801">
        <v>0</v>
      </c>
      <c r="I801" t="str" cm="1">
        <f t="array" aca="1" ref="I801"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..46..0.0</v>
      </c>
      <c r="J801" t="s">
        <v>3086</v>
      </c>
      <c r="K801" s="10" t="str">
        <f>TRIM(SUBSTITUTE( LEFT(DATA_Requirements[[#This Row],[Path]], FIND("/", SUBSTITUTE( DATA_Requirements[[#This Row],[Path]]," ","/"),1)-1), ".",""))</f>
        <v>Direction</v>
      </c>
      <c r="L801" s="14" t="str">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Has</v>
      </c>
      <c r="M801"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Has Membership to Interteam Communication Service</v>
      </c>
    </row>
    <row r="802" spans="1:13">
      <c r="C802" t="s">
        <v>3087</v>
      </c>
      <c r="D802"/>
      <c r="F802"/>
      <c r="G802"/>
      <c r="I802" s="13" t="str" cm="1">
        <f t="array" aca="1" ref="I802"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v>
      </c>
      <c r="J802" t="s">
        <v>3088</v>
      </c>
      <c r="K802" s="10" t="str">
        <f>TRIM(SUBSTITUTE( LEFT(DATA_Requirements[[#This Row],[Path]], FIND("/", SUBSTITUTE( DATA_Requirements[[#This Row],[Path]]," ","/"),1)-1), ".",""))</f>
        <v>For</v>
      </c>
      <c r="L802"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802" s="13" t="e">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#VALUE!</v>
      </c>
    </row>
    <row r="803" spans="1:13">
      <c r="A803" s="16"/>
      <c r="B803" s="16"/>
      <c r="C803"/>
      <c r="D803"/>
      <c r="E803" s="16"/>
      <c r="F803" s="16"/>
      <c r="G803" s="16"/>
      <c r="H803">
        <v>0</v>
      </c>
      <c r="I803" s="16" t="str" cm="1">
        <f t="array" aca="1" ref="I803" ca="1">_xlfn.TEXTJOIN("",TRUE,IFERROR((MID(DATA_Requirements[[#This Row],[Phase]],ROW(INDIRECT("1:"&amp;LEN(DATA_Requirements[[#This Row],[Phase]]))),1)*1),""),".",IFERROR((MID(DATA_Requirements[[#This Row],[Deliverables]],ROW(INDIRECT("1:"&amp;LEN(DATA_Requirements[[#This Row],[Deliverables]]))),1)*1),""),".", IFERROR((MID(DATA_Requirements[[#This Row],[Responsible]],ROW(INDIRECT("1:"&amp;LEN(DATA_Requirements[[#This Row],[Responsible]]))),1)*1),""),".", IFERROR((MID(DATA_Requirements[[#This Row],[Sponsor]],ROW(INDIRECT("1:"&amp;LEN(DATA_Requirements[[#This Row],[Sponsor]]))),1)*1),""),".", IFERROR((MID(DATA_Requirements[[#This Row],[Type]],ROW(INDIRECT("1:"&amp;LEN(DATA_Requirements[[#This Row],[Type]]))),1)*1),""),".", IFERROR((MID(DATA_Requirements[[#This Row],[Order]],ROW(INDIRECT("1:"&amp;LEN(DATA_Requirements[[#This Row],[Order]]))),1)*1),""))</f>
        <v>.....0</v>
      </c>
      <c r="J803" s="16" t="s">
        <v>3089</v>
      </c>
      <c r="K803" s="10" t="str">
        <f>TRIM(SUBSTITUTE( LEFT(DATA_Requirements[[#This Row],[Path]], FIND("/", SUBSTITUTE( DATA_Requirements[[#This Row],[Path]]," ","/"),1)-1), ".",""))</f>
        <v>DEVELOP</v>
      </c>
      <c r="L803" s="18" t="e">
        <f>TRIM(MID(SUBSTITUTE(DATA_Requirements[[#This Row],[Path]]," ","/",1),
       FIND("~", SUBSTITUTE( SUBSTITUTE(DATA_Requirements[[#This Row],[Path]]," ","/",1),"/","~", (LEN(SUBSTITUTE(DATA_Requirements[[#This Row],[Path]]," ","/",1)) - LEN( SUBSTITUTE(SUBSTITUTE(DATA_Requirements[[#This Row],[Path]]," ","/",1),"/","") ))-1 ), 1)+1,
       FIND("~", SUBSTITUTE(SUBSTITUTE(DATA_Requirements[[#This Row],[Path]]," ","/",1),"/","~", (LEN(SUBSTITUTE(DATA_Requirements[[#This Row],[Path]]," ","/",1)) - LEN( SUBSTITUTE(SUBSTITUTE(DATA_Requirements[[#This Row],[Path]]," ","/",1),"/","") ))-0 ), 1)
             - FIND("~", SUBSTITUTE(SUBSTITUTE(DATA_Requirements[[#This Row],[Path]]," ","/",1),"/","~", (LEN(SUBSTITUTE(DATA_Requirements[[#This Row],[Path]]," ","/",1)) - LEN( SUBSTITUTE(SUBSTITUTE(DATA_Requirements[[#This Row],[Path]]," ","/",1),"/","") ))-1 ), 1) -1    ))</f>
        <v>#VALUE!</v>
      </c>
      <c r="M803" s="13" t="str">
        <f>TRIM(MID(DATA_Requirements[[#This Row],[Path]],
       FIND("~", SUBSTITUTE(DATA_Requirements[[#This Row],[Path]],"/","~", (LEN(DATA_Requirements[[#This Row],[Path]]) - LEN( SUBSTITUTE(DATA_Requirements[[#This Row],[Path]],"/","") )) ), 1)+1,
       LEN(DATA_Requirements[[#This Row],[Path]]) - FIND("~", SUBSTITUTE(DATA_Requirements[[#This Row],[Path]],"/","~", (LEN(DATA_Requirements[[#This Row],[Path]]) - LEN( SUBSTITUTE(DATA_Requirements[[#This Row],[Path]],"/","") )) ), 1)    ))</f>
        <v>...</v>
      </c>
    </row>
  </sheetData>
  <dataValidations count="6">
    <dataValidation type="whole" allowBlank="1" showInputMessage="1" showErrorMessage="1" sqref="H1:H803" xr:uid="{39E99BD3-EADC-4A45-92C9-429DE64AFE46}">
      <formula1>0</formula1>
      <formula2>9</formula2>
    </dataValidation>
    <dataValidation type="list" allowBlank="1" showInputMessage="1" showErrorMessage="1" sqref="I3:I803 G2:G294 G675:G689 G710:G711 G750:G803" xr:uid="{98BD1A35-5054-4A3F-8B2B-C22257C52F7F}">
      <formula1>TBL_Type</formula1>
    </dataValidation>
    <dataValidation type="list" allowBlank="1" showInputMessage="1" showErrorMessage="1" sqref="E2:F139 F140:F164 E175:F294 F295:F674 E675:F689 E710:F711 E750:F803" xr:uid="{87E0CDBD-9B58-4B70-82BB-98E1F68583D0}">
      <formula1>TBL_Stakeholders</formula1>
    </dataValidation>
    <dataValidation type="list" allowBlank="1" showInputMessage="1" showErrorMessage="1" sqref="B2:D164 C165:D173 B174:D294 D295:D674 B675:D689 D690:D709 B710:D711 B750:D803 B712:B749 D712:D749" xr:uid="{AD176A6E-3E2D-4460-9E5D-CE5D6C479EB1}">
      <formula1>TBL_Deliverables</formula1>
    </dataValidation>
    <dataValidation type="list" allowBlank="1" showInputMessage="1" showErrorMessage="1" sqref="A2:A164 A175:A294 A675:A689 A710:A803" xr:uid="{0E1B707D-7680-45AB-8D16-52DC2CE5789F}">
      <formula1>TBL_Phase</formula1>
    </dataValidation>
    <dataValidation type="list" allowBlank="1" showInputMessage="1" showErrorMessage="1" sqref="C2:D294 D295:D674 C675:D689 D690:D709 C710:D711 C750:D799 D712:D749" xr:uid="{F7C4324E-A3A1-4094-AF0B-4B89603D4A30}">
      <formula1>TBL_Qualities</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814B0-2D39-4EA9-BF50-FCDE23A0F702}">
  <sheetPr codeName="Sheet6">
    <tabColor theme="4"/>
  </sheetPr>
  <dimension ref="A1:L3"/>
  <sheetViews>
    <sheetView workbookViewId="0">
      <selection activeCell="D6" sqref="D6"/>
    </sheetView>
  </sheetViews>
  <sheetFormatPr defaultRowHeight="15" customHeight="1"/>
  <cols>
    <col min="1" max="1" width="14.453125" customWidth="1"/>
    <col min="2" max="2" width="33.453125" customWidth="1"/>
    <col min="3" max="3" width="21.7265625" style="7" customWidth="1"/>
    <col min="4" max="4" width="13.81640625" style="7" customWidth="1"/>
    <col min="5" max="5" width="25.26953125" customWidth="1"/>
    <col min="6" max="6" width="7.81640625" bestFit="1" customWidth="1"/>
    <col min="7" max="9" width="13" customWidth="1"/>
    <col min="10" max="10" width="14.1796875" customWidth="1"/>
    <col min="11" max="11" width="13.453125" bestFit="1" customWidth="1"/>
  </cols>
  <sheetData>
    <row r="1" spans="1:12" ht="15" customHeight="1">
      <c r="A1" t="s">
        <v>3090</v>
      </c>
    </row>
    <row r="2" spans="1:12" ht="14.5">
      <c r="A2" t="s">
        <v>3091</v>
      </c>
      <c r="B2" t="s">
        <v>3092</v>
      </c>
      <c r="C2" s="7" t="s">
        <v>3093</v>
      </c>
      <c r="D2" s="7" t="s">
        <v>3094</v>
      </c>
      <c r="E2" t="s">
        <v>3095</v>
      </c>
      <c r="F2" t="s">
        <v>3096</v>
      </c>
      <c r="G2" t="s">
        <v>2286</v>
      </c>
      <c r="H2" t="s">
        <v>3097</v>
      </c>
      <c r="I2" t="s">
        <v>3098</v>
      </c>
      <c r="J2" t="s">
        <v>3099</v>
      </c>
      <c r="K2" t="s">
        <v>3100</v>
      </c>
      <c r="L2" t="s">
        <v>1922</v>
      </c>
    </row>
    <row r="3" spans="1:12" ht="14.5">
      <c r="A3" t="s">
        <v>1965</v>
      </c>
      <c r="B3" t="s">
        <v>1926</v>
      </c>
      <c r="C3" s="7" t="s">
        <v>3101</v>
      </c>
      <c r="D3" s="7" t="s">
        <v>3102</v>
      </c>
      <c r="E3" t="s">
        <v>3103</v>
      </c>
      <c r="F3" t="str">
        <f>TRIM(MID(Table1518[[#This Row],[CONCERN.UNIQUEPATH]], IF( ISNUMBER( SEARCH("/",Table1518[[#This Row],[CONCERN.UNIQUEPATH]])),SEARCH("/",Table1518[[#This Row],[CONCERN.UNIQUEPATH]])+1,1),255))</f>
        <v>Title</v>
      </c>
    </row>
  </sheetData>
  <dataValidations disablePrompts="1" count="4">
    <dataValidation type="list" allowBlank="1" showInputMessage="1" showErrorMessage="1" sqref="A3" xr:uid="{271B261C-392D-42BC-B545-06A7011B8A98}">
      <formula1>TBL_Phase</formula1>
    </dataValidation>
    <dataValidation type="list" allowBlank="1" showInputMessage="1" showErrorMessage="1" sqref="B3" xr:uid="{48313C3F-D44F-48D2-8F17-30D5004DCDAF}">
      <formula1>TBL_Deliverables</formula1>
    </dataValidation>
    <dataValidation type="list" allowBlank="1" showInputMessage="1" showErrorMessage="1" sqref="J3:K3" xr:uid="{33A43A80-46B3-43F8-9F40-B7FE261F810B}">
      <formula1>TBL_Stakeholders</formula1>
    </dataValidation>
    <dataValidation type="list" allowBlank="1" showInputMessage="1" showErrorMessage="1" sqref="L3" xr:uid="{BD6C30F2-8593-4D27-9ABD-6CC2FB40CDA9}">
      <formula1>TBL_Type</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9CC6E-F399-4C21-973C-762138FC3BF2}">
  <sheetPr codeName="Sheet18">
    <tabColor theme="8" tint="0.39997558519241921"/>
  </sheetPr>
  <dimension ref="A1:L6"/>
  <sheetViews>
    <sheetView workbookViewId="0">
      <selection activeCell="B1" sqref="B1"/>
    </sheetView>
  </sheetViews>
  <sheetFormatPr defaultRowHeight="14.5"/>
  <cols>
    <col min="1" max="1" width="8.453125" customWidth="1"/>
    <col min="2" max="2" width="13.81640625" customWidth="1"/>
    <col min="3" max="3" width="13.81640625" bestFit="1" customWidth="1"/>
    <col min="4" max="4" width="47" bestFit="1" customWidth="1"/>
    <col min="5" max="5" width="13.81640625" customWidth="1"/>
    <col min="6" max="6" width="47" bestFit="1" customWidth="1"/>
    <col min="7" max="7" width="186.26953125" bestFit="1" customWidth="1"/>
    <col min="8" max="8" width="14.1796875" customWidth="1"/>
    <col min="9" max="9" width="13.453125" bestFit="1" customWidth="1"/>
  </cols>
  <sheetData>
    <row r="1" spans="1:12">
      <c r="A1" t="s">
        <v>3104</v>
      </c>
      <c r="B1">
        <v>61</v>
      </c>
    </row>
    <row r="2" spans="1:12">
      <c r="A2" t="s">
        <v>3091</v>
      </c>
      <c r="B2" t="s">
        <v>3092</v>
      </c>
      <c r="C2" t="s">
        <v>3093</v>
      </c>
      <c r="D2" t="s">
        <v>3095</v>
      </c>
      <c r="E2" t="s">
        <v>3094</v>
      </c>
      <c r="F2" t="s">
        <v>3096</v>
      </c>
      <c r="G2" t="s">
        <v>2286</v>
      </c>
      <c r="H2" t="s">
        <v>3097</v>
      </c>
      <c r="I2" t="s">
        <v>3098</v>
      </c>
      <c r="J2" t="s">
        <v>3099</v>
      </c>
      <c r="K2" t="s">
        <v>3100</v>
      </c>
      <c r="L2" t="s">
        <v>1922</v>
      </c>
    </row>
    <row r="3" spans="1:12">
      <c r="A3" t="s">
        <v>1944</v>
      </c>
      <c r="B3" t="s">
        <v>2217</v>
      </c>
      <c r="C3" t="s">
        <v>3105</v>
      </c>
      <c r="D3" t="s">
        <v>3106</v>
      </c>
      <c r="E3" t="str">
        <f xml:space="preserve"> CONCATENATE( MID(Table151828[[#This Row],[PHASE]],2,3), MID(Table151828[[#This Row],[DELIVERABLE]],2,4), $B$1,TRIM(SUBSTITUTE(MID(Table151828[[#This Row],[CONCERN.ID]],2,20),"X","") )  )</f>
        <v>03.421.6102</v>
      </c>
      <c r="F3" t="str">
        <f>TRIM(MID(Table151828[[#This Row],[CONCERN.UNIQUEPATH]], IF( ISNUMBER( SEARCH("/",Table151828[[#This Row],[CONCERN.UNIQUEPATH]])),SEARCH("/",Table151828[[#This Row],[CONCERN.UNIQUEPATH]])+1,1),255))</f>
        <v>Sponsor: Expectations Alignment</v>
      </c>
      <c r="G3" t="s">
        <v>3107</v>
      </c>
    </row>
    <row r="4" spans="1:12">
      <c r="A4" t="s">
        <v>1944</v>
      </c>
      <c r="B4" t="s">
        <v>2217</v>
      </c>
      <c r="C4" t="s">
        <v>3108</v>
      </c>
      <c r="D4" t="s">
        <v>3109</v>
      </c>
      <c r="E4" t="str">
        <f xml:space="preserve"> CONCATENATE( MID(Table151828[[#This Row],[PHASE]],2,3), MID(Table151828[[#This Row],[DELIVERABLE]],2,4), $B$1,TRIM(SUBSTITUTE(MID(Table151828[[#This Row],[CONCERN.ID]],2,20),"X","") )  )</f>
        <v>03.421.6104</v>
      </c>
      <c r="F4" t="str">
        <f>TRIM(MID(Table151828[[#This Row],[CONCERN.UNIQUEPATH]], IF( ISNUMBER( SEARCH("/",Table151828[[#This Row],[CONCERN.UNIQUEPATH]])),SEARCH("/",Table151828[[#This Row],[CONCERN.UNIQUEPATH]])+1,1),255))</f>
        <v>Organisation: Information Aignment</v>
      </c>
      <c r="G4" t="s">
        <v>3110</v>
      </c>
    </row>
    <row r="5" spans="1:12">
      <c r="A5" t="s">
        <v>1944</v>
      </c>
      <c r="B5" t="s">
        <v>2217</v>
      </c>
      <c r="C5" t="s">
        <v>3111</v>
      </c>
      <c r="D5" t="s">
        <v>3112</v>
      </c>
      <c r="E5" t="str">
        <f xml:space="preserve"> CONCATENATE( MID(Table151828[[#This Row],[PHASE]],2,3), MID(Table151828[[#This Row],[DELIVERABLE]],2,4), $B$1,TRIM(SUBSTITUTE(MID(Table151828[[#This Row],[CONCERN.ID]],2,20),"X","") )  )</f>
        <v>03.421.6105</v>
      </c>
      <c r="F5" t="str">
        <f>TRIM(MID(Table151828[[#This Row],[CONCERN.UNIQUEPATH]], IF( ISNUMBER( SEARCH("/",Table151828[[#This Row],[CONCERN.UNIQUEPATH]])),SEARCH("/",Table151828[[#This Row],[CONCERN.UNIQUEPATH]])+1,1),255))</f>
        <v>Organisation: System Architecture Alignment</v>
      </c>
      <c r="G5" t="s">
        <v>3113</v>
      </c>
    </row>
    <row r="6" spans="1:12">
      <c r="A6" t="s">
        <v>1944</v>
      </c>
      <c r="B6" t="s">
        <v>2217</v>
      </c>
      <c r="C6" t="s">
        <v>3114</v>
      </c>
      <c r="D6" t="s">
        <v>3115</v>
      </c>
      <c r="E6" t="str">
        <f xml:space="preserve"> CONCATENATE( MID(Table151828[[#This Row],[PHASE]],2,3), MID(Table151828[[#This Row],[DELIVERABLE]],2,4), $B$1,TRIM(SUBSTITUTE(MID(Table151828[[#This Row],[CONCERN.ID]],2,20),"X","") )  )</f>
        <v>03.421.6106</v>
      </c>
      <c r="F6" t="str">
        <f>TRIM(MID(Table151828[[#This Row],[CONCERN.UNIQUEPATH]], IF( ISNUMBER( SEARCH("/",Table151828[[#This Row],[CONCERN.UNIQUEPATH]])),SEARCH("/",Table151828[[#This Row],[CONCERN.UNIQUEPATH]])+1,1),255))</f>
        <v>Organisation: Obligations Alignment</v>
      </c>
      <c r="G6" t="s">
        <v>3116</v>
      </c>
    </row>
  </sheetData>
  <dataValidations count="4">
    <dataValidation type="list" allowBlank="1" showInputMessage="1" showErrorMessage="1" sqref="L3:L6" xr:uid="{B0E94987-3DE7-4787-90BC-8BFFEB56B3C2}">
      <formula1>TBL_Type</formula1>
    </dataValidation>
    <dataValidation type="list" allowBlank="1" showInputMessage="1" showErrorMessage="1" sqref="J3:K6" xr:uid="{DDF86DDF-B2D4-4DBD-8BB0-0358143E809B}">
      <formula1>TBL_Stakeholders</formula1>
    </dataValidation>
    <dataValidation type="list" allowBlank="1" showInputMessage="1" showErrorMessage="1" sqref="B3:B6" xr:uid="{6767FA86-8F48-4187-B06F-D0BE3FA7CDA5}">
      <formula1>TBL_Deliverables</formula1>
    </dataValidation>
    <dataValidation type="list" allowBlank="1" showInputMessage="1" showErrorMessage="1" sqref="A3:A6" xr:uid="{466AA3C3-0FFA-4A7F-9D5F-8FC5C4197CF8}">
      <formula1>TBL_Phase</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A40C6-23CF-4523-A0BB-4411033B11F7}">
  <sheetPr codeName="Sheet7">
    <tabColor theme="8" tint="0.39997558519241921"/>
  </sheetPr>
  <dimension ref="A1:L2"/>
  <sheetViews>
    <sheetView workbookViewId="0">
      <selection activeCell="F2" sqref="F2"/>
    </sheetView>
  </sheetViews>
  <sheetFormatPr defaultRowHeight="14.5"/>
  <cols>
    <col min="1" max="1" width="8.453125" customWidth="1"/>
    <col min="2" max="2" width="13.81640625" customWidth="1"/>
    <col min="3" max="3" width="13.81640625" bestFit="1" customWidth="1"/>
    <col min="4" max="5" width="13.81640625" customWidth="1"/>
    <col min="6" max="6" width="7.453125" bestFit="1" customWidth="1"/>
    <col min="7" max="9" width="13" customWidth="1"/>
    <col min="10" max="10" width="14.1796875" customWidth="1"/>
    <col min="11" max="11" width="13.453125" bestFit="1" customWidth="1"/>
  </cols>
  <sheetData>
    <row r="1" spans="1:12">
      <c r="A1" t="s">
        <v>3091</v>
      </c>
      <c r="B1" t="s">
        <v>3092</v>
      </c>
      <c r="C1" t="s">
        <v>3093</v>
      </c>
      <c r="D1" t="s">
        <v>3095</v>
      </c>
      <c r="E1" t="s">
        <v>3094</v>
      </c>
      <c r="F1" t="s">
        <v>3096</v>
      </c>
      <c r="G1" t="s">
        <v>2286</v>
      </c>
      <c r="H1" t="s">
        <v>3097</v>
      </c>
      <c r="I1" t="s">
        <v>3098</v>
      </c>
      <c r="J1" t="s">
        <v>3099</v>
      </c>
      <c r="K1" t="s">
        <v>3100</v>
      </c>
      <c r="L1" t="s">
        <v>1922</v>
      </c>
    </row>
    <row r="2" spans="1:12">
      <c r="C2" t="s">
        <v>3117</v>
      </c>
      <c r="E2" t="str">
        <f xml:space="preserve"> CONCATENATE( MID(Table151821[[#This Row],[PHASE]],2,3), MID(Table151821[[#This Row],[DELIVERABLE]],2,4), TRIM(SUBSTITUTE(MID(Table151821[[#This Row],[CONCERN.ID]],2,20),"X","") )  )</f>
        <v>63.01.01</v>
      </c>
      <c r="F2" t="str">
        <f>TRIM(MID(Table151821[[#This Row],[CONCERN.UNIQUEPATH]], IF( ISNUMBER( SEARCH("/",Table151821[[#This Row],[CONCERN.UNIQUEPATH]])),SEARCH("/",Table151821[[#This Row],[CONCERN.UNIQUEPATH]])+1,1),255))</f>
        <v/>
      </c>
    </row>
  </sheetData>
  <dataValidations count="4">
    <dataValidation type="list" allowBlank="1" showInputMessage="1" showErrorMessage="1" sqref="L2" xr:uid="{3B13406E-BFFF-4BC1-BB56-47C58A8D2E30}">
      <formula1>TBL_Type</formula1>
    </dataValidation>
    <dataValidation type="list" allowBlank="1" showInputMessage="1" showErrorMessage="1" sqref="J2:K2" xr:uid="{0C58C853-4A61-4884-A651-5E4ECB672093}">
      <formula1>TBL_Stakeholders</formula1>
    </dataValidation>
    <dataValidation type="list" allowBlank="1" showInputMessage="1" showErrorMessage="1" sqref="B2" xr:uid="{4F7EE523-D960-4F10-B7F7-4F24676FDA49}">
      <formula1>TBL_Deliverables</formula1>
    </dataValidation>
    <dataValidation type="list" allowBlank="1" showInputMessage="1" showErrorMessage="1" sqref="A2" xr:uid="{6E4FF9DA-DC70-40D0-88D4-0DCF2D9A9F8E}">
      <formula1>TBL_Phase</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054E1-E86D-47A0-BD7A-4134CF0119E4}">
  <sheetPr codeName="Sheet17">
    <tabColor theme="8" tint="0.39997558519241921"/>
  </sheetPr>
  <dimension ref="A1:L25"/>
  <sheetViews>
    <sheetView topLeftCell="F1" zoomScale="90" zoomScaleNormal="90" workbookViewId="0">
      <selection activeCell="G12" sqref="G12"/>
    </sheetView>
  </sheetViews>
  <sheetFormatPr defaultRowHeight="14.5"/>
  <cols>
    <col min="1" max="1" width="13" bestFit="1" customWidth="1"/>
    <col min="2" max="2" width="24.81640625" bestFit="1" customWidth="1"/>
    <col min="3" max="3" width="13.81640625" bestFit="1" customWidth="1"/>
    <col min="4" max="4" width="60.26953125" bestFit="1" customWidth="1"/>
    <col min="5" max="5" width="13.81640625" customWidth="1"/>
    <col min="6" max="6" width="51.54296875" bestFit="1" customWidth="1"/>
    <col min="7" max="7" width="221.1796875" bestFit="1" customWidth="1"/>
    <col min="8" max="8" width="30.453125" bestFit="1" customWidth="1"/>
    <col min="9" max="9" width="13.453125" bestFit="1" customWidth="1"/>
    <col min="10" max="10" width="16.54296875" bestFit="1" customWidth="1"/>
  </cols>
  <sheetData>
    <row r="1" spans="1:12">
      <c r="A1" t="s">
        <v>3091</v>
      </c>
      <c r="B1" t="s">
        <v>3092</v>
      </c>
      <c r="C1" t="s">
        <v>3093</v>
      </c>
      <c r="D1" t="s">
        <v>3095</v>
      </c>
      <c r="E1" t="s">
        <v>3094</v>
      </c>
      <c r="F1" t="s">
        <v>3096</v>
      </c>
      <c r="G1" t="s">
        <v>2286</v>
      </c>
      <c r="H1" t="s">
        <v>3097</v>
      </c>
      <c r="I1" t="s">
        <v>3098</v>
      </c>
      <c r="J1" t="s">
        <v>3099</v>
      </c>
      <c r="K1" t="s">
        <v>3100</v>
      </c>
      <c r="L1" t="s">
        <v>1922</v>
      </c>
    </row>
    <row r="2" spans="1:12">
      <c r="A2" t="s">
        <v>1951</v>
      </c>
      <c r="B2" t="s">
        <v>2031</v>
      </c>
      <c r="C2" t="s">
        <v>3118</v>
      </c>
      <c r="D2" t="s">
        <v>3119</v>
      </c>
      <c r="E2" t="str">
        <f xml:space="preserve"> CONCATENATE( MID(Table151827[[#This Row],[PHASE]],2,3), MID(Table151827[[#This Row],[DELIVERABLE]],2,4), TRIM(SUBSTITUTE(MID(Table151827[[#This Row],[CONCERN.ID]],2,20),"X","") )  )</f>
        <v>04.037.63.01</v>
      </c>
      <c r="F2" t="str">
        <f>TRIM(MID(Table151827[[#This Row],[CONCERN.UNIQUEPATH]], IF( ISNUMBER( SEARCH("/",Table151827[[#This Row],[CONCERN.UNIQUEPATH]])),SEARCH("/",Table151827[[#This Row],[CONCERN.UNIQUEPATH]])+1,1),255))</f>
        <v>Constraints: Obligations: ATO Required</v>
      </c>
      <c r="G2" t="s">
        <v>3120</v>
      </c>
      <c r="J2" t="s">
        <v>2060</v>
      </c>
      <c r="L2" t="s">
        <v>1972</v>
      </c>
    </row>
    <row r="3" spans="1:12">
      <c r="A3" t="s">
        <v>1951</v>
      </c>
      <c r="B3" t="s">
        <v>2031</v>
      </c>
      <c r="C3" t="s">
        <v>3121</v>
      </c>
      <c r="D3" t="s">
        <v>3122</v>
      </c>
      <c r="E3" t="str">
        <f xml:space="preserve"> CONCATENATE( MID(Table151827[[#This Row],[PHASE]],2,3), MID(Table151827[[#This Row],[DELIVERABLE]],2,4), TRIM(SUBSTITUTE(MID(Table151827[[#This Row],[CONCERN.ID]],2,20),"X","") )  )</f>
        <v>04.037.63.02</v>
      </c>
      <c r="F3" t="str">
        <f>TRIM(MID(Table151827[[#This Row],[CONCERN.UNIQUEPATH]], IF( ISNUMBER( SEARCH("/",Table151827[[#This Row],[CONCERN.UNIQUEPATH]])),SEARCH("/",Table151827[[#This Row],[CONCERN.UNIQUEPATH]])+1,1),255))</f>
        <v>Constraints: Obligations: Progress Reporting</v>
      </c>
      <c r="G3" t="s">
        <v>3123</v>
      </c>
      <c r="J3" t="s">
        <v>2060</v>
      </c>
      <c r="L3" t="s">
        <v>1972</v>
      </c>
    </row>
    <row r="4" spans="1:12">
      <c r="A4" t="s">
        <v>1951</v>
      </c>
      <c r="B4" t="s">
        <v>2031</v>
      </c>
      <c r="C4" t="s">
        <v>3124</v>
      </c>
      <c r="D4" t="s">
        <v>3125</v>
      </c>
      <c r="E4" t="str">
        <f xml:space="preserve"> CONCATENATE( MID(Table151827[[#This Row],[PHASE]],2,3), MID(Table151827[[#This Row],[DELIVERABLE]],2,4), TRIM(SUBSTITUTE(MID(Table151827[[#This Row],[CONCERN.ID]],2,20),"X","") )  )</f>
        <v>04.037.63.03</v>
      </c>
      <c r="F4" t="str">
        <f>TRIM(MID(Table151827[[#This Row],[CONCERN.UNIQUEPATH]], IF( ISNUMBER( SEARCH("/",Table151827[[#This Row],[CONCERN.UNIQUEPATH]])),SEARCH("/",Table151827[[#This Row],[CONCERN.UNIQUEPATH]])+1,1),255))</f>
        <v>Constraints: Obligations: Probity</v>
      </c>
      <c r="G4" t="s">
        <v>3126</v>
      </c>
      <c r="J4" t="s">
        <v>2060</v>
      </c>
      <c r="L4" t="s">
        <v>1972</v>
      </c>
    </row>
    <row r="5" spans="1:12">
      <c r="A5" t="s">
        <v>1951</v>
      </c>
      <c r="B5" t="s">
        <v>2031</v>
      </c>
      <c r="C5" t="s">
        <v>3127</v>
      </c>
      <c r="D5" t="s">
        <v>3128</v>
      </c>
      <c r="E5" t="str">
        <f xml:space="preserve"> CONCATENATE( MID(Table151827[[#This Row],[PHASE]],2,3), MID(Table151827[[#This Row],[DELIVERABLE]],2,4), TRIM(SUBSTITUTE(MID(Table151827[[#This Row],[CONCERN.ID]],2,20),"X","") )  )</f>
        <v>04.037.63.11</v>
      </c>
      <c r="F5" t="str">
        <f>TRIM(MID(Table151827[[#This Row],[CONCERN.UNIQUEPATH]], IF( ISNUMBER( SEARCH("/",Table151827[[#This Row],[CONCERN.UNIQUEPATH]])),SEARCH("/",Table151827[[#This Row],[CONCERN.UNIQUEPATH]])+1,1),255))</f>
        <v>Constraints: Obligcations: Deliverables</v>
      </c>
      <c r="G5" t="s">
        <v>3129</v>
      </c>
      <c r="J5" t="s">
        <v>2060</v>
      </c>
      <c r="L5" t="s">
        <v>1972</v>
      </c>
    </row>
    <row r="6" spans="1:12">
      <c r="A6" t="s">
        <v>1951</v>
      </c>
      <c r="B6" t="s">
        <v>2031</v>
      </c>
      <c r="C6" t="s">
        <v>3130</v>
      </c>
      <c r="D6" t="s">
        <v>3131</v>
      </c>
      <c r="E6" t="str">
        <f xml:space="preserve"> CONCATENATE( MID(Table151827[[#This Row],[PHASE]],2,3), MID(Table151827[[#This Row],[DELIVERABLE]],2,4), TRIM(SUBSTITUTE(MID(Table151827[[#This Row],[CONCERN.ID]],2,20),"X","") )  )</f>
        <v>04.037.63.12</v>
      </c>
      <c r="F6" t="str">
        <f>TRIM(MID(Table151827[[#This Row],[CONCERN.UNIQUEPATH]], IF( ISNUMBER( SEARCH("/",Table151827[[#This Row],[CONCERN.UNIQUEPATH]])),SEARCH("/",Table151827[[#This Row],[CONCERN.UNIQUEPATH]])+1,1),255))</f>
        <v>Constraints: Planning: Key Deliverables</v>
      </c>
      <c r="G6" t="s">
        <v>3132</v>
      </c>
      <c r="J6" t="s">
        <v>2060</v>
      </c>
      <c r="L6" t="s">
        <v>1972</v>
      </c>
    </row>
    <row r="7" spans="1:12">
      <c r="A7" t="s">
        <v>1951</v>
      </c>
      <c r="B7" t="s">
        <v>2031</v>
      </c>
      <c r="C7" t="s">
        <v>3133</v>
      </c>
      <c r="D7" t="s">
        <v>3134</v>
      </c>
      <c r="E7" t="str">
        <f xml:space="preserve"> CONCATENATE( MID(Table151827[[#This Row],[PHASE]],2,3), MID(Table151827[[#This Row],[DELIVERABLE]],2,4), TRIM(SUBSTITUTE(MID(Table151827[[#This Row],[CONCERN.ID]],2,20),"X","") )  )</f>
        <v>04.037.63.13</v>
      </c>
      <c r="F7" t="str">
        <f>TRIM(MID(Table151827[[#This Row],[CONCERN.UNIQUEPATH]], IF( ISNUMBER( SEARCH("/",Table151827[[#This Row],[CONCERN.UNIQUEPATH]])),SEARCH("/",Table151827[[#This Row],[CONCERN.UNIQUEPATH]])+1,1),255))</f>
        <v>Constraints: Planning: Iterative Phases</v>
      </c>
      <c r="G7" t="s">
        <v>3135</v>
      </c>
      <c r="J7" t="s">
        <v>2060</v>
      </c>
      <c r="L7" t="s">
        <v>1972</v>
      </c>
    </row>
    <row r="8" spans="1:12">
      <c r="A8" t="s">
        <v>1951</v>
      </c>
      <c r="B8" t="s">
        <v>2031</v>
      </c>
      <c r="C8" t="s">
        <v>3136</v>
      </c>
      <c r="D8" t="s">
        <v>3137</v>
      </c>
      <c r="E8" t="str">
        <f xml:space="preserve"> CONCATENATE( MID(Table151827[[#This Row],[PHASE]],2,3), MID(Table151827[[#This Row],[DELIVERABLE]],2,4), TRIM(SUBSTITUTE(MID(Table151827[[#This Row],[CONCERN.ID]],2,20),"X","") )  )</f>
        <v>04.037.63.14</v>
      </c>
      <c r="F8" t="str">
        <f>TRIM(MID(Table151827[[#This Row],[CONCERN.UNIQUEPATH]], IF( ISNUMBER( SEARCH("/",Table151827[[#This Row],[CONCERN.UNIQUEPATH]])),SEARCH("/",Table151827[[#This Row],[CONCERN.UNIQUEPATH]])+1,1),255))</f>
        <v>Constraints: Planning: All Stakeholders Functionality</v>
      </c>
      <c r="G8" t="s">
        <v>3138</v>
      </c>
      <c r="J8" t="s">
        <v>2060</v>
      </c>
      <c r="L8" t="s">
        <v>1972</v>
      </c>
    </row>
    <row r="9" spans="1:12">
      <c r="A9" t="s">
        <v>1951</v>
      </c>
      <c r="B9" t="s">
        <v>2031</v>
      </c>
      <c r="C9" t="s">
        <v>3139</v>
      </c>
      <c r="D9" t="s">
        <v>3140</v>
      </c>
      <c r="E9" t="str">
        <f xml:space="preserve"> CONCATENATE( MID(Table151827[[#This Row],[PHASE]],2,3), MID(Table151827[[#This Row],[DELIVERABLE]],2,4), TRIM(SUBSTITUTE(MID(Table151827[[#This Row],[CONCERN.ID]],2,20),"X","") )  )</f>
        <v>04.037.63.15</v>
      </c>
      <c r="F9" t="str">
        <f>TRIM(MID(Table151827[[#This Row],[CONCERN.UNIQUEPATH]], IF( ISNUMBER( SEARCH("/",Table151827[[#This Row],[CONCERN.UNIQUEPATH]])),SEARCH("/",Table151827[[#This Row],[CONCERN.UNIQUEPATH]])+1,1),255))</f>
        <v>Constraints: Planning: for Full Service Lifespan</v>
      </c>
      <c r="G9" t="s">
        <v>3141</v>
      </c>
      <c r="J9" t="s">
        <v>2060</v>
      </c>
      <c r="L9" t="s">
        <v>1972</v>
      </c>
    </row>
    <row r="10" spans="1:12">
      <c r="A10" t="s">
        <v>1951</v>
      </c>
      <c r="B10" t="s">
        <v>2031</v>
      </c>
      <c r="C10" t="s">
        <v>3142</v>
      </c>
      <c r="D10" t="s">
        <v>3143</v>
      </c>
      <c r="E10" t="str">
        <f xml:space="preserve"> CONCATENATE( MID(Table151827[[#This Row],[PHASE]],2,3), MID(Table151827[[#This Row],[DELIVERABLE]],2,4), TRIM(SUBSTITUTE(MID(Table151827[[#This Row],[CONCERN.ID]],2,20),"X","") )  )</f>
        <v>04.037.63.21</v>
      </c>
      <c r="F10" t="str">
        <f>TRIM(MID(Table151827[[#This Row],[CONCERN.UNIQUEPATH]], IF( ISNUMBER( SEARCH("/",Table151827[[#This Row],[CONCERN.UNIQUEPATH]])),SEARCH("/",Table151827[[#This Row],[CONCERN.UNIQUEPATH]])+1,1),255))</f>
        <v>Constraints: Budgeting: Restrained Capex</v>
      </c>
      <c r="G10" t="s">
        <v>3144</v>
      </c>
      <c r="J10" t="s">
        <v>2060</v>
      </c>
      <c r="L10" t="s">
        <v>1972</v>
      </c>
    </row>
    <row r="11" spans="1:12">
      <c r="A11" t="s">
        <v>1951</v>
      </c>
      <c r="B11" t="s">
        <v>2031</v>
      </c>
      <c r="C11" t="s">
        <v>3145</v>
      </c>
      <c r="D11" t="s">
        <v>3146</v>
      </c>
      <c r="E11" t="str">
        <f xml:space="preserve"> CONCATENATE( MID(Table151827[[#This Row],[PHASE]],2,3), MID(Table151827[[#This Row],[DELIVERABLE]],2,4), TRIM(SUBSTITUTE(MID(Table151827[[#This Row],[CONCERN.ID]],2,20),"X","") )  )</f>
        <v>04.037.63.22</v>
      </c>
      <c r="F11" t="str">
        <f>TRIM(MID(Table151827[[#This Row],[CONCERN.UNIQUEPATH]], IF( ISNUMBER( SEARCH("/",Table151827[[#This Row],[CONCERN.UNIQUEPATH]])),SEARCH("/",Table151827[[#This Row],[CONCERN.UNIQUEPATH]])+1,1),255))</f>
        <v>Constraints: Budgeting: Sufficient Opex</v>
      </c>
      <c r="G11" t="s">
        <v>3147</v>
      </c>
      <c r="J11" t="s">
        <v>2060</v>
      </c>
      <c r="L11" t="s">
        <v>1972</v>
      </c>
    </row>
    <row r="12" spans="1:12">
      <c r="A12" t="s">
        <v>1951</v>
      </c>
      <c r="B12" t="s">
        <v>2031</v>
      </c>
      <c r="C12" t="s">
        <v>3148</v>
      </c>
      <c r="D12" t="s">
        <v>3149</v>
      </c>
      <c r="E12" t="str">
        <f xml:space="preserve"> CONCATENATE( MID(Table151827[[#This Row],[PHASE]],2,3), MID(Table151827[[#This Row],[DELIVERABLE]],2,4), TRIM(SUBSTITUTE(MID(Table151827[[#This Row],[CONCERN.ID]],2,20),"X","") )  )</f>
        <v>04.037.63.31</v>
      </c>
      <c r="F12" t="str">
        <f>TRIM(MID(Table151827[[#This Row],[CONCERN.UNIQUEPATH]], IF( ISNUMBER( SEARCH("/",Table151827[[#This Row],[CONCERN.UNIQUEPATH]])),SEARCH("/",Table151827[[#This Row],[CONCERN.UNIQUEPATH]])+1,1),255))</f>
        <v>Constraints: Reporting: Progress</v>
      </c>
      <c r="G12" t="s">
        <v>3150</v>
      </c>
      <c r="J12" t="s">
        <v>2060</v>
      </c>
      <c r="L12" t="s">
        <v>1972</v>
      </c>
    </row>
    <row r="13" spans="1:12">
      <c r="A13" t="s">
        <v>1951</v>
      </c>
      <c r="B13" t="s">
        <v>2031</v>
      </c>
      <c r="C13" t="s">
        <v>3151</v>
      </c>
      <c r="D13" t="s">
        <v>3152</v>
      </c>
      <c r="E13" t="str">
        <f xml:space="preserve"> CONCATENATE( MID(Table151827[[#This Row],[PHASE]],2,3), MID(Table151827[[#This Row],[DELIVERABLE]],2,4), TRIM(SUBSTITUTE(MID(Table151827[[#This Row],[CONCERN.ID]],2,20),"X","") )  )</f>
        <v>04.037.63.32</v>
      </c>
      <c r="F13" t="str">
        <f>TRIM(MID(Table151827[[#This Row],[CONCERN.UNIQUEPATH]], IF( ISNUMBER( SEARCH("/",Table151827[[#This Row],[CONCERN.UNIQUEPATH]])),SEARCH("/",Table151827[[#This Row],[CONCERN.UNIQUEPATH]])+1,1),255))</f>
        <v>Constraints: Reporting: QA</v>
      </c>
      <c r="G13" t="s">
        <v>3153</v>
      </c>
      <c r="J13" t="s">
        <v>2060</v>
      </c>
      <c r="L13" t="s">
        <v>1972</v>
      </c>
    </row>
    <row r="14" spans="1:12">
      <c r="A14" t="s">
        <v>1951</v>
      </c>
      <c r="B14" t="s">
        <v>2031</v>
      </c>
      <c r="C14" t="s">
        <v>3154</v>
      </c>
      <c r="D14" t="s">
        <v>3155</v>
      </c>
      <c r="E14" t="str">
        <f xml:space="preserve"> CONCATENATE( MID(Table151827[[#This Row],[PHASE]],2,3), MID(Table151827[[#This Row],[DELIVERABLE]],2,4), TRIM(SUBSTITUTE(MID(Table151827[[#This Row],[CONCERN.ID]],2,20),"X","") )  )</f>
        <v>04.037.63.33</v>
      </c>
      <c r="F14" t="str">
        <f>TRIM(MID(Table151827[[#This Row],[CONCERN.UNIQUEPATH]], IF( ISNUMBER( SEARCH("/",Table151827[[#This Row],[CONCERN.UNIQUEPATH]])),SEARCH("/",Table151827[[#This Row],[CONCERN.UNIQUEPATH]])+1,1),255))</f>
        <v>Constraints: Reporting: Risk Register</v>
      </c>
      <c r="G14" t="s">
        <v>3156</v>
      </c>
      <c r="J14" t="s">
        <v>2060</v>
      </c>
      <c r="L14" t="s">
        <v>1972</v>
      </c>
    </row>
    <row r="15" spans="1:12">
      <c r="A15" t="s">
        <v>1951</v>
      </c>
      <c r="B15" t="s">
        <v>2031</v>
      </c>
      <c r="C15" t="s">
        <v>3157</v>
      </c>
      <c r="D15" t="s">
        <v>3158</v>
      </c>
      <c r="E15" t="str">
        <f xml:space="preserve"> CONCATENATE( MID(Table151827[[#This Row],[PHASE]],2,3), MID(Table151827[[#This Row],[DELIVERABLE]],2,4), TRIM(SUBSTITUTE(MID(Table151827[[#This Row],[CONCERN.ID]],2,20),"X","") )  )</f>
        <v>04.037.63.34</v>
      </c>
      <c r="F15" t="str">
        <f>TRIM(MID(Table151827[[#This Row],[CONCERN.UNIQUEPATH]], IF( ISNUMBER( SEARCH("/",Table151827[[#This Row],[CONCERN.UNIQUEPATH]])),SEARCH("/",Table151827[[#This Row],[CONCERN.UNIQUEPATH]])+1,1),255))</f>
        <v>Constraints: Reporting: Code Coverage</v>
      </c>
      <c r="G15" t="s">
        <v>3159</v>
      </c>
      <c r="J15" t="s">
        <v>2060</v>
      </c>
      <c r="L15" t="s">
        <v>1972</v>
      </c>
    </row>
    <row r="16" spans="1:12">
      <c r="A16" t="s">
        <v>1951</v>
      </c>
      <c r="B16" t="s">
        <v>2031</v>
      </c>
      <c r="C16" t="s">
        <v>3160</v>
      </c>
      <c r="D16" t="s">
        <v>3161</v>
      </c>
      <c r="E16" t="str">
        <f xml:space="preserve"> CONCATENATE( MID(Table151827[[#This Row],[PHASE]],2,3), MID(Table151827[[#This Row],[DELIVERABLE]],2,4), TRIM(SUBSTITUTE(MID(Table151827[[#This Row],[CONCERN.ID]],2,20),"X","") )  )</f>
        <v>04.037.63.35</v>
      </c>
      <c r="F16" t="str">
        <f>TRIM(MID(Table151827[[#This Row],[CONCERN.UNIQUEPATH]], IF( ISNUMBER( SEARCH("/",Table151827[[#This Row],[CONCERN.UNIQUEPATH]])),SEARCH("/",Table151827[[#This Row],[CONCERN.UNIQUEPATH]])+1,1),255))</f>
        <v>Constraints: Reporting: C&amp;A and Endorsements</v>
      </c>
      <c r="G16" t="s">
        <v>3162</v>
      </c>
      <c r="J16" t="s">
        <v>2060</v>
      </c>
      <c r="L16" t="s">
        <v>1972</v>
      </c>
    </row>
    <row r="17" spans="1:12">
      <c r="A17" t="s">
        <v>1951</v>
      </c>
      <c r="B17" t="s">
        <v>2031</v>
      </c>
      <c r="C17" t="s">
        <v>3163</v>
      </c>
      <c r="D17" t="s">
        <v>3164</v>
      </c>
      <c r="E17" t="str">
        <f xml:space="preserve"> CONCATENATE( MID(Table151827[[#This Row],[PHASE]],2,3), MID(Table151827[[#This Row],[DELIVERABLE]],2,4), TRIM(SUBSTITUTE(MID(Table151827[[#This Row],[CONCERN.ID]],2,20),"X","") )  )</f>
        <v>04.037.63.41</v>
      </c>
      <c r="F17" t="str">
        <f>TRIM(MID(Table151827[[#This Row],[CONCERN.UNIQUEPATH]], IF( ISNUMBER( SEARCH("/",Table151827[[#This Row],[CONCERN.UNIQUEPATH]])),SEARCH("/",Table151827[[#This Row],[CONCERN.UNIQUEPATH]])+1,1),255))</f>
        <v>Constraints: Resourcing: Blackout Periods</v>
      </c>
      <c r="G17" t="s">
        <v>3165</v>
      </c>
      <c r="J17" t="s">
        <v>2060</v>
      </c>
      <c r="L17" t="s">
        <v>1972</v>
      </c>
    </row>
    <row r="18" spans="1:12">
      <c r="A18" t="s">
        <v>1951</v>
      </c>
      <c r="B18" t="s">
        <v>2031</v>
      </c>
      <c r="C18" t="s">
        <v>3166</v>
      </c>
      <c r="D18" t="s">
        <v>3167</v>
      </c>
      <c r="E18" t="str">
        <f xml:space="preserve"> CONCATENATE( MID(Table151827[[#This Row],[PHASE]],2,3), MID(Table151827[[#This Row],[DELIVERABLE]],2,4), TRIM(SUBSTITUTE(MID(Table151827[[#This Row],[CONCERN.ID]],2,20),"X","") )  )</f>
        <v>04.037.63.42</v>
      </c>
      <c r="F18" t="str">
        <f>TRIM(MID(Table151827[[#This Row],[CONCERN.UNIQUEPATH]], IF( ISNUMBER( SEARCH("/",Table151827[[#This Row],[CONCERN.UNIQUEPATH]])),SEARCH("/",Table151827[[#This Row],[CONCERN.UNIQUEPATH]])+1,1),255))</f>
        <v>Constraints: Resourcing: Scholastic Schedules</v>
      </c>
      <c r="G18" t="s">
        <v>3168</v>
      </c>
      <c r="J18" t="s">
        <v>2060</v>
      </c>
      <c r="L18" t="s">
        <v>1972</v>
      </c>
    </row>
    <row r="19" spans="1:12">
      <c r="A19" t="s">
        <v>1951</v>
      </c>
      <c r="B19" t="s">
        <v>2031</v>
      </c>
      <c r="C19" t="s">
        <v>3169</v>
      </c>
      <c r="D19" t="s">
        <v>3170</v>
      </c>
      <c r="E19" t="str">
        <f xml:space="preserve"> CONCATENATE( MID(Table151827[[#This Row],[PHASE]],2,3), MID(Table151827[[#This Row],[DELIVERABLE]],2,4), TRIM(SUBSTITUTE(MID(Table151827[[#This Row],[CONCERN.ID]],2,20),"X","") )  )</f>
        <v>04.037.63.51</v>
      </c>
      <c r="F19" t="str">
        <f>TRIM(MID(Table151827[[#This Row],[CONCERN.UNIQUEPATH]], IF( ISNUMBER( SEARCH("/",Table151827[[#This Row],[CONCERN.UNIQUEPATH]])),SEARCH("/",Table151827[[#This Row],[CONCERN.UNIQUEPATH]])+1,1),255))</f>
        <v>Constraints: Team: Security Training</v>
      </c>
      <c r="G19" t="s">
        <v>3171</v>
      </c>
      <c r="J19" t="s">
        <v>2060</v>
      </c>
      <c r="L19" t="s">
        <v>1972</v>
      </c>
    </row>
    <row r="20" spans="1:12">
      <c r="A20" t="s">
        <v>1951</v>
      </c>
      <c r="B20" t="s">
        <v>2031</v>
      </c>
      <c r="C20" t="s">
        <v>3172</v>
      </c>
      <c r="D20" t="s">
        <v>3173</v>
      </c>
      <c r="E20" t="str">
        <f xml:space="preserve"> CONCATENATE( MID(Table151827[[#This Row],[PHASE]],2,3), MID(Table151827[[#This Row],[DELIVERABLE]],2,4), TRIM(SUBSTITUTE(MID(Table151827[[#This Row],[CONCERN.ID]],2,20),"X","") )  )</f>
        <v>04.037.63.52</v>
      </c>
      <c r="F20" t="str">
        <f>TRIM(MID(Table151827[[#This Row],[CONCERN.UNIQUEPATH]], IF( ISNUMBER( SEARCH("/",Table151827[[#This Row],[CONCERN.UNIQUEPATH]])),SEARCH("/",Table151827[[#This Row],[CONCERN.UNIQUEPATH]])+1,1),255))</f>
        <v>Constraints: Team: Hire Devs Last</v>
      </c>
      <c r="G20" t="s">
        <v>3174</v>
      </c>
      <c r="J20" t="s">
        <v>2060</v>
      </c>
      <c r="L20" t="s">
        <v>1972</v>
      </c>
    </row>
    <row r="21" spans="1:12">
      <c r="A21" t="s">
        <v>1951</v>
      </c>
      <c r="B21" t="s">
        <v>2031</v>
      </c>
      <c r="C21" t="s">
        <v>3175</v>
      </c>
      <c r="D21" t="s">
        <v>3176</v>
      </c>
      <c r="E21" t="str">
        <f xml:space="preserve"> CONCATENATE( MID(Table151827[[#This Row],[PHASE]],2,3), MID(Table151827[[#This Row],[DELIVERABLE]],2,4), TRIM(SUBSTITUTE(MID(Table151827[[#This Row],[CONCERN.ID]],2,20),"X","") )  )</f>
        <v>04.037.63.61</v>
      </c>
      <c r="F21" t="str">
        <f>TRIM(MID(Table151827[[#This Row],[CONCERN.UNIQUEPATH]], IF( ISNUMBER( SEARCH("/",Table151827[[#This Row],[CONCERN.UNIQUEPATH]])),SEARCH("/",Table151827[[#This Row],[CONCERN.UNIQUEPATH]])+1,1),255))</f>
        <v>Constraints: Sequencing: Release Cadence</v>
      </c>
      <c r="G21" t="s">
        <v>3177</v>
      </c>
      <c r="J21" t="s">
        <v>2060</v>
      </c>
      <c r="L21" t="s">
        <v>1972</v>
      </c>
    </row>
    <row r="22" spans="1:12">
      <c r="A22" t="s">
        <v>1951</v>
      </c>
      <c r="B22" t="s">
        <v>2031</v>
      </c>
      <c r="C22" t="s">
        <v>3178</v>
      </c>
      <c r="D22" t="s">
        <v>3179</v>
      </c>
      <c r="E22" t="str">
        <f xml:space="preserve"> CONCATENATE( MID(Table151827[[#This Row],[PHASE]],2,3), MID(Table151827[[#This Row],[DELIVERABLE]],2,4), TRIM(SUBSTITUTE(MID(Table151827[[#This Row],[CONCERN.ID]],2,20),"X","") )  )</f>
        <v>04.037.63.62</v>
      </c>
      <c r="F22" t="str">
        <f>TRIM(MID(Table151827[[#This Row],[CONCERN.UNIQUEPATH]], IF( ISNUMBER( SEARCH("/",Table151827[[#This Row],[CONCERN.UNIQUEPATH]])),SEARCH("/",Table151827[[#This Row],[CONCERN.UNIQUEPATH]])+1,1),255))</f>
        <v>Constraints: Sequencing: Hold back Development</v>
      </c>
      <c r="G22" t="s">
        <v>3180</v>
      </c>
      <c r="J22" t="s">
        <v>2060</v>
      </c>
      <c r="L22" t="s">
        <v>1972</v>
      </c>
    </row>
    <row r="23" spans="1:12">
      <c r="A23" t="s">
        <v>1951</v>
      </c>
      <c r="B23" t="s">
        <v>2031</v>
      </c>
      <c r="C23" t="s">
        <v>3181</v>
      </c>
      <c r="D23" t="s">
        <v>3182</v>
      </c>
      <c r="E23" t="str">
        <f xml:space="preserve"> CONCATENATE( MID(Table151827[[#This Row],[PHASE]],2,3), MID(Table151827[[#This Row],[DELIVERABLE]],2,4), TRIM(SUBSTITUTE(MID(Table151827[[#This Row],[CONCERN.ID]],2,20),"X","") )  )</f>
        <v>04.037.63.63</v>
      </c>
      <c r="F23" t="str">
        <f>TRIM(MID(Table151827[[#This Row],[CONCERN.UNIQUEPATH]], IF( ISNUMBER( SEARCH("/",Table151827[[#This Row],[CONCERN.UNIQUEPATH]])),SEARCH("/",Table151827[[#This Row],[CONCERN.UNIQUEPATH]])+1,1),255))</f>
        <v>Constraints: Sequencing: Running Dev &amp; QA Def in parallel</v>
      </c>
      <c r="G23" t="s">
        <v>3183</v>
      </c>
      <c r="J23" t="s">
        <v>2060</v>
      </c>
      <c r="L23" t="s">
        <v>1972</v>
      </c>
    </row>
    <row r="24" spans="1:12">
      <c r="A24" t="s">
        <v>1951</v>
      </c>
      <c r="B24" t="s">
        <v>2031</v>
      </c>
      <c r="C24" t="s">
        <v>3184</v>
      </c>
      <c r="D24" t="s">
        <v>3185</v>
      </c>
      <c r="E24" t="str">
        <f xml:space="preserve"> CONCATENATE( MID(Table151827[[#This Row],[PHASE]],2,3), MID(Table151827[[#This Row],[DELIVERABLE]],2,4), TRIM(SUBSTITUTE(MID(Table151827[[#This Row],[CONCERN.ID]],2,20),"X","") )  )</f>
        <v>04.037.63.64</v>
      </c>
      <c r="F24" t="str">
        <f>TRIM(MID(Table151827[[#This Row],[CONCERN.UNIQUEPATH]], IF( ISNUMBER( SEARCH("/",Table151827[[#This Row],[CONCERN.UNIQUEPATH]])),SEARCH("/",Table151827[[#This Row],[CONCERN.UNIQUEPATH]])+1,1),255))</f>
        <v>Constraints: Sequencing: Estimation</v>
      </c>
      <c r="G24" t="s">
        <v>3186</v>
      </c>
      <c r="J24" t="s">
        <v>2060</v>
      </c>
      <c r="L24" t="s">
        <v>1972</v>
      </c>
    </row>
    <row r="25" spans="1:12">
      <c r="A25" t="s">
        <v>1951</v>
      </c>
      <c r="B25" t="s">
        <v>2031</v>
      </c>
      <c r="C25" t="s">
        <v>3187</v>
      </c>
      <c r="D25" t="s">
        <v>3188</v>
      </c>
      <c r="E25" t="str">
        <f xml:space="preserve"> CONCATENATE( MID(Table151827[[#This Row],[PHASE]],2,3), MID(Table151827[[#This Row],[DELIVERABLE]],2,4), TRIM(SUBSTITUTE(MID(Table151827[[#This Row],[CONCERN.ID]],2,20),"X","") )  )</f>
        <v>04.037.63.65</v>
      </c>
      <c r="F25" t="str">
        <f>TRIM(MID(Table151827[[#This Row],[CONCERN.UNIQUEPATH]], IF( ISNUMBER( SEARCH("/",Table151827[[#This Row],[CONCERN.UNIQUEPATH]])),SEARCH("/",Table151827[[#This Row],[CONCERN.UNIQUEPATH]])+1,1),255))</f>
        <v>Constraints: Sequencing: GoLive in 60 days</v>
      </c>
      <c r="G25" t="s">
        <v>3189</v>
      </c>
      <c r="J25" t="s">
        <v>2060</v>
      </c>
      <c r="L25" t="s">
        <v>1972</v>
      </c>
    </row>
  </sheetData>
  <dataValidations count="4">
    <dataValidation type="list" allowBlank="1" showInputMessage="1" showErrorMessage="1" sqref="L2:L25" xr:uid="{9802351B-AA3E-4DB9-9AC3-7B664A74EADB}">
      <formula1>TBL_Type</formula1>
    </dataValidation>
    <dataValidation type="list" allowBlank="1" showInputMessage="1" showErrorMessage="1" sqref="J2:K25" xr:uid="{B3EABF7E-928D-4C13-99BD-9CAB9F7E1C7F}">
      <formula1>TBL_Stakeholders</formula1>
    </dataValidation>
    <dataValidation type="list" allowBlank="1" showInputMessage="1" showErrorMessage="1" sqref="A2:A25" xr:uid="{DF99DCF3-CD85-4F52-96D0-DE84BF8FDBB2}">
      <formula1>TBL_Phase</formula1>
    </dataValidation>
    <dataValidation type="list" allowBlank="1" showInputMessage="1" showErrorMessage="1" sqref="B2:B25" xr:uid="{FBFE75FE-0FB6-439E-B59C-86EAA34AF2D1}">
      <formula1>TBL_Deliverables</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DF22-CF2E-4E69-8BC6-0F203DA798CD}">
  <sheetPr codeName="Sheet8">
    <tabColor theme="8" tint="0.39997558519241921"/>
  </sheetPr>
  <dimension ref="A1:L26"/>
  <sheetViews>
    <sheetView workbookViewId="0">
      <selection activeCell="D2" sqref="D2"/>
    </sheetView>
  </sheetViews>
  <sheetFormatPr defaultRowHeight="14.5"/>
  <cols>
    <col min="1" max="1" width="12.81640625" bestFit="1" customWidth="1"/>
    <col min="2" max="2" width="17.54296875" bestFit="1" customWidth="1"/>
    <col min="3" max="3" width="13.81640625" bestFit="1" customWidth="1"/>
    <col min="4" max="4" width="62.54296875" bestFit="1" customWidth="1"/>
    <col min="5" max="5" width="11.54296875" customWidth="1"/>
    <col min="6" max="6" width="35.453125" bestFit="1" customWidth="1"/>
    <col min="7" max="7" width="157.453125" bestFit="1" customWidth="1"/>
    <col min="8" max="8" width="30" bestFit="1" customWidth="1"/>
    <col min="9" max="9" width="13.453125" bestFit="1" customWidth="1"/>
  </cols>
  <sheetData>
    <row r="1" spans="1:12">
      <c r="A1" t="s">
        <v>3091</v>
      </c>
      <c r="B1" t="s">
        <v>3092</v>
      </c>
      <c r="C1" t="s">
        <v>3093</v>
      </c>
      <c r="D1" t="s">
        <v>3095</v>
      </c>
      <c r="E1" t="s">
        <v>3094</v>
      </c>
      <c r="F1" t="s">
        <v>3096</v>
      </c>
      <c r="G1" t="s">
        <v>2286</v>
      </c>
      <c r="H1" t="s">
        <v>3097</v>
      </c>
      <c r="I1" t="s">
        <v>3098</v>
      </c>
      <c r="J1" t="s">
        <v>3099</v>
      </c>
      <c r="K1" t="s">
        <v>3100</v>
      </c>
      <c r="L1" t="s">
        <v>1922</v>
      </c>
    </row>
    <row r="2" spans="1:12">
      <c r="A2" t="s">
        <v>1961</v>
      </c>
      <c r="B2" t="s">
        <v>2154</v>
      </c>
      <c r="C2" t="s">
        <v>3190</v>
      </c>
      <c r="D2" t="s">
        <v>3191</v>
      </c>
      <c r="E2" t="str">
        <f xml:space="preserve"> CONCATENATE( MID(Table151820[[#This Row],[PHASE]],2,3), MID(Table151820[[#This Row],[DELIVERABLE]],2,4), TRIM(SUBSTITUTE(MID(Table151820[[#This Row],[CONCERN.ID]],2,20),"X","") )  )</f>
        <v>06.361.65.01</v>
      </c>
      <c r="F2" t="str">
        <f>TRIM(MID(Table151820[[#This Row],[CONCERN.UNIQUEPATH]], IF( ISNUMBER( SEARCH("/",Table151820[[#This Row],[CONCERN.UNIQUEPATH]])),SEARCH("/",Table151820[[#This Row],[CONCERN.UNIQUEPATH]])+1,1),255))</f>
        <v>Deployment Services: Query SMEs</v>
      </c>
      <c r="G2" t="s">
        <v>3192</v>
      </c>
      <c r="J2" t="s">
        <v>2066</v>
      </c>
      <c r="K2" s="9" t="s">
        <v>2060</v>
      </c>
    </row>
    <row r="3" spans="1:12">
      <c r="A3" t="s">
        <v>1961</v>
      </c>
      <c r="B3" t="s">
        <v>2154</v>
      </c>
      <c r="C3" t="s">
        <v>3193</v>
      </c>
      <c r="D3" t="s">
        <v>3194</v>
      </c>
      <c r="E3" t="str">
        <f xml:space="preserve"> CONCATENATE( MID(Table151820[[#This Row],[PHASE]],2,3), MID(Table151820[[#This Row],[DELIVERABLE]],2,4), TRIM(SUBSTITUTE(MID(Table151820[[#This Row],[CONCERN.ID]],2,20),"X","") )  )</f>
        <v>06.361.65.02</v>
      </c>
      <c r="F3" t="str">
        <f>TRIM(MID(Table151820[[#This Row],[CONCERN.UNIQUEPATH]], IF( ISNUMBER( SEARCH("/",Table151820[[#This Row],[CONCERN.UNIQUEPATH]])),SEARCH("/",Table151820[[#This Row],[CONCERN.UNIQUEPATH]])+1,1),255))</f>
        <v>Stakeholder Analyst Services: Stakeholder Map</v>
      </c>
      <c r="G3" t="s">
        <v>3195</v>
      </c>
      <c r="J3" t="s">
        <v>2066</v>
      </c>
      <c r="K3" s="9" t="s">
        <v>2060</v>
      </c>
    </row>
    <row r="4" spans="1:12">
      <c r="A4" t="s">
        <v>1961</v>
      </c>
      <c r="B4" t="s">
        <v>2154</v>
      </c>
      <c r="C4" t="s">
        <v>3196</v>
      </c>
      <c r="D4" t="s">
        <v>3197</v>
      </c>
      <c r="E4" t="str">
        <f xml:space="preserve"> CONCATENATE( MID(Table151820[[#This Row],[PHASE]],2,3), MID(Table151820[[#This Row],[DELIVERABLE]],2,4), TRIM(SUBSTITUTE(MID(Table151820[[#This Row],[CONCERN.ID]],2,20),"X","") )  )</f>
        <v>06.361.65.03</v>
      </c>
      <c r="F4" t="str">
        <f>TRIM(MID(Table151820[[#This Row],[CONCERN.UNIQUEPATH]], IF( ISNUMBER( SEARCH("/",Table151820[[#This Row],[CONCERN.UNIQUEPATH]])),SEARCH("/",Table151820[[#This Row],[CONCERN.UNIQUEPATH]])+1,1),255))</f>
        <v>Discovery: Stakeholder Analyst Services: Constraints: Obligations</v>
      </c>
      <c r="G4" t="s">
        <v>3198</v>
      </c>
      <c r="J4" t="s">
        <v>2066</v>
      </c>
      <c r="K4" s="9" t="s">
        <v>2060</v>
      </c>
    </row>
    <row r="5" spans="1:12">
      <c r="A5" t="s">
        <v>1961</v>
      </c>
      <c r="B5" t="s">
        <v>2154</v>
      </c>
      <c r="C5" t="s">
        <v>3199</v>
      </c>
      <c r="D5" t="s">
        <v>3200</v>
      </c>
      <c r="E5" t="str">
        <f xml:space="preserve"> CONCATENATE( MID(Table151820[[#This Row],[PHASE]],2,3), MID(Table151820[[#This Row],[DELIVERABLE]],2,4), TRIM(SUBSTITUTE(MID(Table151820[[#This Row],[CONCERN.ID]],2,20),"X","") )  )</f>
        <v>06.361.65.04</v>
      </c>
      <c r="F5" t="str">
        <f>TRIM(MID(Table151820[[#This Row],[CONCERN.UNIQUEPATH]], IF( ISNUMBER( SEARCH("/",Table151820[[#This Row],[CONCERN.UNIQUEPATH]])),SEARCH("/",Table151820[[#This Row],[CONCERN.UNIQUEPATH]])+1,1),255))</f>
        <v>Discovery: Stakeholder Analyst Services: Constraints: Scenarios Based Discovery &amp; Testing</v>
      </c>
      <c r="G5" t="s">
        <v>3201</v>
      </c>
      <c r="J5" t="s">
        <v>2066</v>
      </c>
      <c r="K5" s="9" t="s">
        <v>2096</v>
      </c>
    </row>
    <row r="6" spans="1:12">
      <c r="A6" t="s">
        <v>1961</v>
      </c>
      <c r="B6" t="s">
        <v>2154</v>
      </c>
      <c r="C6" t="s">
        <v>3202</v>
      </c>
      <c r="D6" t="s">
        <v>3203</v>
      </c>
      <c r="E6" t="str">
        <f xml:space="preserve"> CONCATENATE( MID(Table151820[[#This Row],[PHASE]],2,3), MID(Table151820[[#This Row],[DELIVERABLE]],2,4), TRIM(SUBSTITUTE(MID(Table151820[[#This Row],[CONCERN.ID]],2,20),"X","") )  )</f>
        <v>06.361.65.05</v>
      </c>
      <c r="F6" t="str">
        <f>TRIM(MID(Table151820[[#This Row],[CONCERN.UNIQUEPATH]], IF( ISNUMBER( SEARCH("/",Table151820[[#This Row],[CONCERN.UNIQUEPATH]])),SEARCH("/",Table151820[[#This Row],[CONCERN.UNIQUEPATH]])+1,1),255))</f>
        <v>Discovery: Stakeholder Analyst Services: Constraints: Don't Develop from User Stories</v>
      </c>
      <c r="G6" t="s">
        <v>3204</v>
      </c>
      <c r="J6" t="s">
        <v>2066</v>
      </c>
      <c r="K6" s="9" t="s">
        <v>2082</v>
      </c>
    </row>
    <row r="7" spans="1:12">
      <c r="A7" t="s">
        <v>1961</v>
      </c>
      <c r="B7" t="s">
        <v>2154</v>
      </c>
      <c r="C7" t="s">
        <v>3205</v>
      </c>
      <c r="D7" t="s">
        <v>3206</v>
      </c>
      <c r="E7" t="str">
        <f xml:space="preserve"> CONCATENATE( MID(Table151820[[#This Row],[PHASE]],2,3), MID(Table151820[[#This Row],[DELIVERABLE]],2,4), TRIM(SUBSTITUTE(MID(Table151820[[#This Row],[CONCERN.ID]],2,20),"X","") )  )</f>
        <v>06.361.65.06</v>
      </c>
      <c r="F7" t="str">
        <f>TRIM(MID(Table151820[[#This Row],[CONCERN.UNIQUEPATH]], IF( ISNUMBER( SEARCH("/",Table151820[[#This Row],[CONCERN.UNIQUEPATH]])),SEARCH("/",Table151820[[#This Row],[CONCERN.UNIQUEPATH]])+1,1),255))</f>
        <v>Discovery: QA Services: Acceptance Test Format</v>
      </c>
      <c r="G7" t="s">
        <v>3207</v>
      </c>
      <c r="J7" t="s">
        <v>2066</v>
      </c>
      <c r="K7" s="9" t="s">
        <v>2124</v>
      </c>
    </row>
    <row r="8" spans="1:12">
      <c r="A8" t="s">
        <v>1961</v>
      </c>
      <c r="B8" t="s">
        <v>2154</v>
      </c>
      <c r="C8" t="s">
        <v>3208</v>
      </c>
      <c r="D8" t="s">
        <v>3209</v>
      </c>
      <c r="E8" t="str">
        <f xml:space="preserve"> CONCATENATE( MID(Table151820[[#This Row],[PHASE]],2,3), MID(Table151820[[#This Row],[DELIVERABLE]],2,4), TRIM(SUBSTITUTE(MID(Table151820[[#This Row],[CONCERN.ID]],2,20),"X","") )  )</f>
        <v>06.361.65.07</v>
      </c>
      <c r="F8" t="str">
        <f>TRIM(MID(Table151820[[#This Row],[CONCERN.UNIQUEPATH]], IF( ISNUMBER( SEARCH("/",Table151820[[#This Row],[CONCERN.UNIQUEPATH]])),SEARCH("/",Table151820[[#This Row],[CONCERN.UNIQUEPATH]])+1,1),255))</f>
        <v>Discovery: C&amp;A Servicews: Query SMEs</v>
      </c>
      <c r="G8" t="s">
        <v>3210</v>
      </c>
      <c r="J8" t="s">
        <v>2066</v>
      </c>
      <c r="K8" s="9" t="s">
        <v>2016</v>
      </c>
    </row>
    <row r="9" spans="1:12">
      <c r="A9" t="s">
        <v>1961</v>
      </c>
      <c r="B9" t="s">
        <v>2154</v>
      </c>
      <c r="C9" t="s">
        <v>3211</v>
      </c>
      <c r="D9" t="s">
        <v>3212</v>
      </c>
      <c r="E9" t="str">
        <f xml:space="preserve"> CONCATENATE( MID(Table151820[[#This Row],[PHASE]],2,3), MID(Table151820[[#This Row],[DELIVERABLE]],2,4), TRIM(SUBSTITUTE(MID(Table151820[[#This Row],[CONCERN.ID]],2,20),"X","") )  )</f>
        <v>06.361.65.08</v>
      </c>
      <c r="F9" t="str">
        <f>TRIM(MID(Table151820[[#This Row],[CONCERN.UNIQUEPATH]], IF( ISNUMBER( SEARCH("/",Table151820[[#This Row],[CONCERN.UNIQUEPATH]])),SEARCH("/",Table151820[[#This Row],[CONCERN.UNIQUEPATH]])+1,1),255))</f>
        <v>Discovery: Monitoring Services: Query SMEs</v>
      </c>
      <c r="G9" t="s">
        <v>3213</v>
      </c>
      <c r="J9" t="s">
        <v>2066</v>
      </c>
      <c r="K9" s="9" t="s">
        <v>2094</v>
      </c>
    </row>
    <row r="10" spans="1:12">
      <c r="A10" t="s">
        <v>1961</v>
      </c>
      <c r="B10" t="s">
        <v>2154</v>
      </c>
      <c r="C10" t="s">
        <v>3214</v>
      </c>
      <c r="D10" t="s">
        <v>3215</v>
      </c>
      <c r="E10" t="str">
        <f xml:space="preserve"> CONCATENATE( MID(Table151820[[#This Row],[PHASE]],2,3), MID(Table151820[[#This Row],[DELIVERABLE]],2,4), TRIM(SUBSTITUTE(MID(Table151820[[#This Row],[CONCERN.ID]],2,20),"X","") )  )</f>
        <v>06.361.65.09</v>
      </c>
      <c r="F10" t="str">
        <f>TRIM(MID(Table151820[[#This Row],[CONCERN.UNIQUEPATH]], IF( ISNUMBER( SEARCH("/",Table151820[[#This Row],[CONCERN.UNIQUEPATH]])),SEARCH("/",Table151820[[#This Row],[CONCERN.UNIQUEPATH]])+1,1),255))</f>
        <v>Discovery: Business Service: Query Consumer SMEs</v>
      </c>
      <c r="G10" t="s">
        <v>3216</v>
      </c>
      <c r="J10" t="s">
        <v>2066</v>
      </c>
      <c r="K10" s="9" t="s">
        <v>2032</v>
      </c>
    </row>
    <row r="11" spans="1:12">
      <c r="A11" t="s">
        <v>1961</v>
      </c>
      <c r="B11" t="s">
        <v>2154</v>
      </c>
      <c r="C11" t="s">
        <v>3217</v>
      </c>
      <c r="D11" t="s">
        <v>3218</v>
      </c>
      <c r="E11" t="str">
        <f xml:space="preserve"> CONCATENATE( MID(Table151820[[#This Row],[PHASE]],2,3), MID(Table151820[[#This Row],[DELIVERABLE]],2,4), TRIM(SUBSTITUTE(MID(Table151820[[#This Row],[CONCERN.ID]],2,20),"X","") )  )</f>
        <v>06.361.65.10</v>
      </c>
      <c r="F11" t="str">
        <f>TRIM(MID(Table151820[[#This Row],[CONCERN.UNIQUEPATH]], IF( ISNUMBER( SEARCH("/",Table151820[[#This Row],[CONCERN.UNIQUEPATH]])),SEARCH("/",Table151820[[#This Row],[CONCERN.UNIQUEPATH]])+1,1),255))</f>
        <v>Discovery: Customer Support Services: Query SMEs</v>
      </c>
      <c r="G11" t="s">
        <v>3219</v>
      </c>
      <c r="J11" t="s">
        <v>2066</v>
      </c>
      <c r="K11" s="9" t="s">
        <v>2036</v>
      </c>
    </row>
    <row r="12" spans="1:12">
      <c r="A12" t="s">
        <v>1961</v>
      </c>
      <c r="B12" t="s">
        <v>2154</v>
      </c>
      <c r="C12" t="s">
        <v>3220</v>
      </c>
      <c r="D12" t="s">
        <v>3221</v>
      </c>
      <c r="E12" t="str">
        <f xml:space="preserve"> CONCATENATE( MID(Table151820[[#This Row],[PHASE]],2,3), MID(Table151820[[#This Row],[DELIVERABLE]],2,4), TRIM(SUBSTITUTE(MID(Table151820[[#This Row],[CONCERN.ID]],2,20),"X","") )  )</f>
        <v>06.361.65.11</v>
      </c>
      <c r="F12" t="str">
        <f>TRIM(MID(Table151820[[#This Row],[CONCERN.UNIQUEPATH]], IF( ISNUMBER( SEARCH("/",Table151820[[#This Row],[CONCERN.UNIQUEPATH]])),SEARCH("/",Table151820[[#This Row],[CONCERN.UNIQUEPATH]])+1,1),255))</f>
        <v>Discovery: Training Services: Query SMEs</v>
      </c>
      <c r="G12" t="s">
        <v>3222</v>
      </c>
      <c r="J12" t="s">
        <v>2066</v>
      </c>
      <c r="K12" s="9" t="s">
        <v>2034</v>
      </c>
    </row>
    <row r="13" spans="1:12">
      <c r="A13" t="s">
        <v>1961</v>
      </c>
      <c r="B13" t="s">
        <v>2154</v>
      </c>
      <c r="C13" t="s">
        <v>3223</v>
      </c>
      <c r="D13" t="s">
        <v>3224</v>
      </c>
      <c r="E13" t="str">
        <f xml:space="preserve"> CONCATENATE( MID(Table151820[[#This Row],[PHASE]],2,3), MID(Table151820[[#This Row],[DELIVERABLE]],2,4), TRIM(SUBSTITUTE(MID(Table151820[[#This Row],[CONCERN.ID]],2,20),"X","") )  )</f>
        <v>06.361.65.12</v>
      </c>
      <c r="F13" t="str">
        <f>TRIM(MID(Table151820[[#This Row],[CONCERN.UNIQUEPATH]], IF( ISNUMBER( SEARCH("/",Table151820[[#This Row],[CONCERN.UNIQUEPATH]])),SEARCH("/",Table151820[[#This Row],[CONCERN.UNIQUEPATH]])+1,1),255))</f>
        <v>Discovery: Operations Services: Query SMEs</v>
      </c>
      <c r="G13" t="s">
        <v>3225</v>
      </c>
      <c r="J13" t="s">
        <v>2066</v>
      </c>
      <c r="K13" s="9" t="s">
        <v>2040</v>
      </c>
    </row>
    <row r="14" spans="1:12">
      <c r="A14" t="s">
        <v>1961</v>
      </c>
      <c r="B14" t="s">
        <v>2154</v>
      </c>
      <c r="C14" t="s">
        <v>3226</v>
      </c>
      <c r="D14" t="s">
        <v>3227</v>
      </c>
      <c r="E14" t="str">
        <f xml:space="preserve"> CONCATENATE( MID(Table151820[[#This Row],[PHASE]],2,3), MID(Table151820[[#This Row],[DELIVERABLE]],2,4), TRIM(SUBSTITUTE(MID(Table151820[[#This Row],[CONCERN.ID]],2,20),"X","") )  )</f>
        <v>06.361.65.13</v>
      </c>
      <c r="F14" t="str">
        <f>TRIM(MID(Table151820[[#This Row],[CONCERN.UNIQUEPATH]], IF( ISNUMBER( SEARCH("/",Table151820[[#This Row],[CONCERN.UNIQUEPATH]])),SEARCH("/",Table151820[[#This Row],[CONCERN.UNIQUEPATH]])+1,1),255))</f>
        <v>Discovery: Data Service: Query SMEs</v>
      </c>
      <c r="G14" t="s">
        <v>3228</v>
      </c>
      <c r="J14" t="s">
        <v>2066</v>
      </c>
      <c r="K14" s="9" t="s">
        <v>2088</v>
      </c>
    </row>
    <row r="15" spans="1:12">
      <c r="A15" t="s">
        <v>1961</v>
      </c>
      <c r="B15" t="s">
        <v>2154</v>
      </c>
      <c r="C15" t="s">
        <v>3229</v>
      </c>
      <c r="D15" t="s">
        <v>3230</v>
      </c>
      <c r="E15" t="str">
        <f xml:space="preserve"> CONCATENATE( MID(Table151820[[#This Row],[PHASE]],2,3), MID(Table151820[[#This Row],[DELIVERABLE]],2,4), TRIM(SUBSTITUTE(MID(Table151820[[#This Row],[CONCERN.ID]],2,20),"X","") )  )</f>
        <v>06.361.65.14</v>
      </c>
      <c r="F15" t="str">
        <f>TRIM(MID(Table151820[[#This Row],[CONCERN.UNIQUEPATH]], IF( ISNUMBER( SEARCH("/",Table151820[[#This Row],[CONCERN.UNIQUEPATH]])),SEARCH("/",Table151820[[#This Row],[CONCERN.UNIQUEPATH]])+1,1),255))</f>
        <v>Discovery: Design Services: Query SMEs</v>
      </c>
      <c r="G15" t="s">
        <v>3231</v>
      </c>
      <c r="J15" t="s">
        <v>2066</v>
      </c>
      <c r="K15" s="9" t="s">
        <v>2068</v>
      </c>
    </row>
    <row r="16" spans="1:12">
      <c r="A16" t="s">
        <v>1961</v>
      </c>
      <c r="B16" t="s">
        <v>2154</v>
      </c>
      <c r="C16" t="s">
        <v>3229</v>
      </c>
      <c r="D16" t="s">
        <v>3232</v>
      </c>
      <c r="E16" t="str">
        <f xml:space="preserve"> CONCATENATE( MID(Table151820[[#This Row],[PHASE]],2,3), MID(Table151820[[#This Row],[DELIVERABLE]],2,4), TRIM(SUBSTITUTE(MID(Table151820[[#This Row],[CONCERN.ID]],2,20),"X","") )  )</f>
        <v>06.361.65.14</v>
      </c>
      <c r="F16" t="str">
        <f>TRIM(MID(Table151820[[#This Row],[CONCERN.UNIQUEPATH]], IF( ISNUMBER( SEARCH("/",Table151820[[#This Row],[CONCERN.UNIQUEPATH]])),SEARCH("/",Table151820[[#This Row],[CONCERN.UNIQUEPATH]])+1,1),255))</f>
        <v>Discovery: Maintenance Services: Query SMEs</v>
      </c>
      <c r="G16" t="s">
        <v>3233</v>
      </c>
      <c r="J16" t="s">
        <v>2066</v>
      </c>
      <c r="K16" s="9" t="s">
        <v>2098</v>
      </c>
    </row>
    <row r="17" spans="1:11">
      <c r="A17" t="s">
        <v>1961</v>
      </c>
      <c r="B17" t="s">
        <v>2154</v>
      </c>
      <c r="C17" t="s">
        <v>3234</v>
      </c>
      <c r="D17" t="s">
        <v>3227</v>
      </c>
      <c r="E17" t="str">
        <f xml:space="preserve"> CONCATENATE( MID(Table151820[[#This Row],[PHASE]],2,3), MID(Table151820[[#This Row],[DELIVERABLE]],2,4), TRIM(SUBSTITUTE(MID(Table151820[[#This Row],[CONCERN.ID]],2,20),"X","") )  )</f>
        <v>06.361.65.15</v>
      </c>
      <c r="F17" t="str">
        <f>TRIM(MID(Table151820[[#This Row],[CONCERN.UNIQUEPATH]], IF( ISNUMBER( SEARCH("/",Table151820[[#This Row],[CONCERN.UNIQUEPATH]])),SEARCH("/",Table151820[[#This Row],[CONCERN.UNIQUEPATH]])+1,1),255))</f>
        <v>Discovery: Data Service: Query SMEs</v>
      </c>
      <c r="G17" t="s">
        <v>3235</v>
      </c>
      <c r="J17" t="s">
        <v>2066</v>
      </c>
      <c r="K17" s="9" t="s">
        <v>2088</v>
      </c>
    </row>
    <row r="18" spans="1:11">
      <c r="A18" t="s">
        <v>1961</v>
      </c>
      <c r="B18" t="s">
        <v>2154</v>
      </c>
      <c r="C18" t="s">
        <v>3236</v>
      </c>
      <c r="D18" t="s">
        <v>3232</v>
      </c>
      <c r="E18" t="str">
        <f xml:space="preserve"> CONCATENATE( MID(Table151820[[#This Row],[PHASE]],2,3), MID(Table151820[[#This Row],[DELIVERABLE]],2,4), TRIM(SUBSTITUTE(MID(Table151820[[#This Row],[CONCERN.ID]],2,20),"X","") )  )</f>
        <v>06.361.65.16</v>
      </c>
      <c r="F18" t="str">
        <f>TRIM(MID(Table151820[[#This Row],[CONCERN.UNIQUEPATH]], IF( ISNUMBER( SEARCH("/",Table151820[[#This Row],[CONCERN.UNIQUEPATH]])),SEARCH("/",Table151820[[#This Row],[CONCERN.UNIQUEPATH]])+1,1),255))</f>
        <v>Discovery: Maintenance Services: Query SMEs</v>
      </c>
      <c r="G18" t="s">
        <v>3237</v>
      </c>
      <c r="J18" t="s">
        <v>2066</v>
      </c>
      <c r="K18" s="9" t="s">
        <v>2098</v>
      </c>
    </row>
    <row r="19" spans="1:11">
      <c r="A19" t="s">
        <v>1961</v>
      </c>
      <c r="B19" t="s">
        <v>2154</v>
      </c>
      <c r="C19" t="s">
        <v>3238</v>
      </c>
      <c r="D19" t="s">
        <v>3239</v>
      </c>
      <c r="E19" t="str">
        <f xml:space="preserve"> CONCATENATE( MID(Table151820[[#This Row],[PHASE]],2,3), MID(Table151820[[#This Row],[DELIVERABLE]],2,4), TRIM(SUBSTITUTE(MID(Table151820[[#This Row],[CONCERN.ID]],2,20),"X","") )  )</f>
        <v>06.361.65.17</v>
      </c>
      <c r="F19" t="str">
        <f>TRIM(MID(Table151820[[#This Row],[CONCERN.UNIQUEPATH]], IF( ISNUMBER( SEARCH("/",Table151820[[#This Row],[CONCERN.UNIQUEPATH]])),SEARCH("/",Table151820[[#This Row],[CONCERN.UNIQUEPATH]])+1,1),255))</f>
        <v>Discovery: Data Warehouse Services: Query SMEs</v>
      </c>
      <c r="G19" t="s">
        <v>3240</v>
      </c>
      <c r="J19" t="s">
        <v>2066</v>
      </c>
      <c r="K19" s="9" t="s">
        <v>2052</v>
      </c>
    </row>
    <row r="20" spans="1:11">
      <c r="A20" t="s">
        <v>1961</v>
      </c>
      <c r="B20" t="s">
        <v>2154</v>
      </c>
      <c r="C20" t="s">
        <v>3241</v>
      </c>
      <c r="D20" t="s">
        <v>3242</v>
      </c>
      <c r="E20" t="str">
        <f xml:space="preserve"> CONCATENATE( MID(Table151820[[#This Row],[PHASE]],2,3), MID(Table151820[[#This Row],[DELIVERABLE]],2,4), TRIM(SUBSTITUTE(MID(Table151820[[#This Row],[CONCERN.ID]],2,20),"X","") )  )</f>
        <v>06.361.65.18</v>
      </c>
      <c r="F20" t="str">
        <f>TRIM(MID(Table151820[[#This Row],[CONCERN.UNIQUEPATH]], IF( ISNUMBER( SEARCH("/",Table151820[[#This Row],[CONCERN.UNIQUEPATH]])),SEARCH("/",Table151820[[#This Row],[CONCERN.UNIQUEPATH]])+1,1),255))</f>
        <v>Discovery: Data Archiving Services: Query SMEs</v>
      </c>
      <c r="G20" t="s">
        <v>3243</v>
      </c>
      <c r="J20" t="s">
        <v>2066</v>
      </c>
      <c r="K20" s="9" t="s">
        <v>2054</v>
      </c>
    </row>
    <row r="21" spans="1:11">
      <c r="A21" t="s">
        <v>1961</v>
      </c>
      <c r="B21" t="s">
        <v>2154</v>
      </c>
      <c r="C21" t="s">
        <v>3244</v>
      </c>
      <c r="D21" t="s">
        <v>3245</v>
      </c>
      <c r="E21" t="str">
        <f xml:space="preserve"> CONCATENATE( MID(Table151820[[#This Row],[PHASE]],2,3), MID(Table151820[[#This Row],[DELIVERABLE]],2,4), TRIM(SUBSTITUTE(MID(Table151820[[#This Row],[CONCERN.ID]],2,20),"X","") )  )</f>
        <v>06.361.65.19</v>
      </c>
      <c r="F21" t="str">
        <f>TRIM(MID(Table151820[[#This Row],[CONCERN.UNIQUEPATH]], IF( ISNUMBER( SEARCH("/",Table151820[[#This Row],[CONCERN.UNIQUEPATH]])),SEARCH("/",Table151820[[#This Row],[CONCERN.UNIQUEPATH]])+1,1),255))</f>
        <v>Discovery: Server Development Services: Query SMEs</v>
      </c>
      <c r="G21" t="s">
        <v>3246</v>
      </c>
      <c r="J21" t="s">
        <v>2066</v>
      </c>
      <c r="K21" s="9" t="s">
        <v>2126</v>
      </c>
    </row>
    <row r="22" spans="1:11">
      <c r="A22" t="s">
        <v>1961</v>
      </c>
      <c r="B22" t="s">
        <v>2154</v>
      </c>
      <c r="C22" t="s">
        <v>3247</v>
      </c>
      <c r="D22" t="s">
        <v>3248</v>
      </c>
      <c r="E22" t="str">
        <f xml:space="preserve"> CONCATENATE( MID(Table151820[[#This Row],[PHASE]],2,3), MID(Table151820[[#This Row],[DELIVERABLE]],2,4), TRIM(SUBSTITUTE(MID(Table151820[[#This Row],[CONCERN.ID]],2,20),"X","") )  )</f>
        <v>06.361.65.20</v>
      </c>
      <c r="F22" t="str">
        <f>TRIM(MID(Table151820[[#This Row],[CONCERN.UNIQUEPATH]], IF( ISNUMBER( SEARCH("/",Table151820[[#This Row],[CONCERN.UNIQUEPATH]])),SEARCH("/",Table151820[[#This Row],[CONCERN.UNIQUEPATH]])+1,1),255))</f>
        <v>Discovery: Public Users: Query SMEs</v>
      </c>
      <c r="G22" t="s">
        <v>3249</v>
      </c>
      <c r="J22" t="s">
        <v>2066</v>
      </c>
      <c r="K22" s="9" t="s">
        <v>2024</v>
      </c>
    </row>
    <row r="23" spans="1:11">
      <c r="A23" t="s">
        <v>1961</v>
      </c>
      <c r="B23" t="s">
        <v>2154</v>
      </c>
      <c r="C23" t="s">
        <v>3250</v>
      </c>
      <c r="D23" t="s">
        <v>3251</v>
      </c>
      <c r="E23" t="str">
        <f xml:space="preserve"> CONCATENATE( MID(Table151820[[#This Row],[PHASE]],2,3), MID(Table151820[[#This Row],[DELIVERABLE]],2,4), TRIM(SUBSTITUTE(MID(Table151820[[#This Row],[CONCERN.ID]],2,20),"X","") )  )</f>
        <v>06.361.65.21</v>
      </c>
      <c r="F23" t="str">
        <f>TRIM(MID(Table151820[[#This Row],[CONCERN.UNIQUEPATH]], IF( ISNUMBER( SEARCH("/",Table151820[[#This Row],[CONCERN.UNIQUEPATH]])),SEARCH("/",Table151820[[#This Row],[CONCERN.UNIQUEPATH]])+1,1),255))</f>
        <v>Discovery: Business Service: Query SMEs</v>
      </c>
      <c r="G23" t="s">
        <v>3252</v>
      </c>
      <c r="J23" t="s">
        <v>2066</v>
      </c>
      <c r="K23" s="9" t="s">
        <v>2032</v>
      </c>
    </row>
    <row r="24" spans="1:11">
      <c r="A24" t="s">
        <v>1961</v>
      </c>
      <c r="B24" t="s">
        <v>2154</v>
      </c>
      <c r="C24" t="s">
        <v>3253</v>
      </c>
      <c r="D24" t="s">
        <v>3254</v>
      </c>
      <c r="E24" t="str">
        <f xml:space="preserve"> CONCATENATE( MID(Table151820[[#This Row],[PHASE]],2,3), MID(Table151820[[#This Row],[DELIVERABLE]],2,4), TRIM(SUBSTITUTE(MID(Table151820[[#This Row],[CONCERN.ID]],2,20),"X","") )  )</f>
        <v>06.361.65.22</v>
      </c>
      <c r="F24" t="str">
        <f>TRIM(MID(Table151820[[#This Row],[CONCERN.UNIQUEPATH]], IF( ISNUMBER( SEARCH("/",Table151820[[#This Row],[CONCERN.UNIQUEPATH]])),SEARCH("/",Table151820[[#This Row],[CONCERN.UNIQUEPATH]])+1,1),255))</f>
        <v>Stakeholder Analyst Services: All Stakeholders, Full Lifecycle</v>
      </c>
      <c r="G24" t="s">
        <v>3255</v>
      </c>
      <c r="J24" t="s">
        <v>2066</v>
      </c>
      <c r="K24" s="9"/>
    </row>
    <row r="25" spans="1:11">
      <c r="A25" t="s">
        <v>1961</v>
      </c>
      <c r="B25" t="s">
        <v>2154</v>
      </c>
      <c r="C25" t="s">
        <v>3256</v>
      </c>
      <c r="D25" t="s">
        <v>3257</v>
      </c>
      <c r="E25" t="str">
        <f xml:space="preserve"> CONCATENATE( MID(Table151820[[#This Row],[PHASE]],2,3), MID(Table151820[[#This Row],[DELIVERABLE]],2,4), TRIM(SUBSTITUTE(MID(Table151820[[#This Row],[CONCERN.ID]],2,20),"X","") )  )</f>
        <v>06.361.65.23</v>
      </c>
      <c r="F25" t="str">
        <f>TRIM(MID(Table151820[[#This Row],[CONCERN.UNIQUEPATH]], IF( ISNUMBER( SEARCH("/",Table151820[[#This Row],[CONCERN.UNIQUEPATH]])),SEARCH("/",Table151820[[#This Row],[CONCERN.UNIQUEPATH]])+1,1),255))</f>
        <v>Stakeholder Analyst Services: All Stakeholders</v>
      </c>
      <c r="G25" t="s">
        <v>3258</v>
      </c>
      <c r="J25" t="s">
        <v>2066</v>
      </c>
      <c r="K25" s="9"/>
    </row>
    <row r="26" spans="1:11">
      <c r="A26" t="s">
        <v>1961</v>
      </c>
      <c r="B26" t="s">
        <v>2154</v>
      </c>
      <c r="C26" t="s">
        <v>3259</v>
      </c>
      <c r="D26" t="s">
        <v>3260</v>
      </c>
      <c r="E26" t="str">
        <f xml:space="preserve"> CONCATENATE( MID(Table151820[[#This Row],[PHASE]],2,3), MID(Table151820[[#This Row],[DELIVERABLE]],2,4), TRIM(SUBSTITUTE(MID(Table151820[[#This Row],[CONCERN.ID]],2,20),"X","") )  )</f>
        <v>06.361.65.24</v>
      </c>
      <c r="F26" t="str">
        <f>TRIM(MID(Table151820[[#This Row],[CONCERN.UNIQUEPATH]], IF( ISNUMBER( SEARCH("/",Table151820[[#This Row],[CONCERN.UNIQUEPATH]])),SEARCH("/",Table151820[[#This Row],[CONCERN.UNIQUEPATH]])+1,1),255))</f>
        <v>Stakeholder Analyst Services: Constraints: ISO-29148</v>
      </c>
      <c r="G26" t="s">
        <v>3261</v>
      </c>
      <c r="J26" t="s">
        <v>2066</v>
      </c>
      <c r="K26" s="9"/>
    </row>
  </sheetData>
  <dataValidations count="4">
    <dataValidation type="list" allowBlank="1" showInputMessage="1" showErrorMessage="1" sqref="L2:L26" xr:uid="{52D3B63F-2114-49BB-A414-1FC47AD14A23}">
      <formula1>TBL_Type</formula1>
    </dataValidation>
    <dataValidation type="list" allowBlank="1" showInputMessage="1" showErrorMessage="1" sqref="J2:K26" xr:uid="{C8704AC0-9CB3-4836-AE15-09BEC8D9DDF8}">
      <formula1>TBL_Stakeholders</formula1>
    </dataValidation>
    <dataValidation type="list" allowBlank="1" showInputMessage="1" showErrorMessage="1" sqref="A2:A26" xr:uid="{19D70B81-44FF-464A-843D-1072284DD771}">
      <formula1>TBL_Phase</formula1>
    </dataValidation>
    <dataValidation type="list" allowBlank="1" showInputMessage="1" showErrorMessage="1" sqref="B2:B26" xr:uid="{33BC1E74-D17B-4E92-B8A9-B5C938994778}">
      <formula1>TBL_Deliverables</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6F20-B117-418F-8FA9-D7AB25D405AB}">
  <sheetPr codeName="Sheet19">
    <tabColor theme="8" tint="0.39997558519241921"/>
  </sheetPr>
  <dimension ref="A1:L35"/>
  <sheetViews>
    <sheetView topLeftCell="B1" workbookViewId="0">
      <selection activeCell="G33" sqref="G33"/>
    </sheetView>
  </sheetViews>
  <sheetFormatPr defaultRowHeight="14.5"/>
  <cols>
    <col min="1" max="1" width="30.54296875" bestFit="1" customWidth="1"/>
    <col min="2" max="2" width="29.1796875" bestFit="1" customWidth="1"/>
    <col min="3" max="3" width="13.81640625" bestFit="1" customWidth="1"/>
    <col min="4" max="4" width="57.81640625" bestFit="1" customWidth="1"/>
    <col min="5" max="5" width="14.81640625" bestFit="1" customWidth="1"/>
    <col min="6" max="6" width="46.1796875" bestFit="1" customWidth="1"/>
    <col min="7" max="7" width="76.1796875" bestFit="1" customWidth="1"/>
    <col min="8" max="8" width="14.1796875" customWidth="1"/>
    <col min="9" max="9" width="13.453125" bestFit="1" customWidth="1"/>
  </cols>
  <sheetData>
    <row r="1" spans="1:12">
      <c r="A1" t="s">
        <v>3091</v>
      </c>
      <c r="B1" t="s">
        <v>3092</v>
      </c>
      <c r="C1" t="s">
        <v>3093</v>
      </c>
      <c r="D1" t="s">
        <v>3095</v>
      </c>
      <c r="E1" t="s">
        <v>3094</v>
      </c>
      <c r="F1" t="s">
        <v>3096</v>
      </c>
      <c r="G1" t="s">
        <v>2286</v>
      </c>
      <c r="H1" t="s">
        <v>3097</v>
      </c>
      <c r="I1" t="s">
        <v>3098</v>
      </c>
      <c r="J1" t="s">
        <v>3099</v>
      </c>
      <c r="K1" t="s">
        <v>3100</v>
      </c>
      <c r="L1" t="s">
        <v>1922</v>
      </c>
    </row>
    <row r="2" spans="1:12">
      <c r="A2" t="s">
        <v>1931</v>
      </c>
      <c r="B2" t="s">
        <v>2047</v>
      </c>
      <c r="C2" t="s">
        <v>3262</v>
      </c>
      <c r="D2" t="s">
        <v>3263</v>
      </c>
      <c r="E2" t="str">
        <f xml:space="preserve"> CONCATENATE( MID(Table151829[[#This Row],[PHASE]],2,3), MID(Table151829[[#This Row],[DELIVERABLE]],2,4), TRIM(SUBSTITUTE(MID(Table151829[[#This Row],[CONCERN.ID]],2,20),"X","") )  )</f>
        <v>01.102.67..31</v>
      </c>
      <c r="F2" s="51" t="str">
        <f>TRIM(MID(Table151829[[#This Row],[CONCERN.UNIQUEPATH]], IF( ISNUMBER( SEARCH("/",Table151829[[#This Row],[CONCERN.UNIQUEPATH]])),SEARCH("/",Table151829[[#This Row],[CONCERN.UNIQUEPATH]])+1,1),255))</f>
        <v>Deliverables: Reporting: Risks</v>
      </c>
      <c r="G2" t="s">
        <v>3264</v>
      </c>
    </row>
    <row r="3" spans="1:12">
      <c r="A3" t="s">
        <v>1931</v>
      </c>
      <c r="B3" t="s">
        <v>2049</v>
      </c>
      <c r="C3" t="s">
        <v>3265</v>
      </c>
      <c r="D3" t="s">
        <v>3266</v>
      </c>
      <c r="E3" t="str">
        <f xml:space="preserve"> CONCATENATE( MID(Table151829[[#This Row],[PHASE]],2,3), MID(Table151829[[#This Row],[DELIVERABLE]],2,4), TRIM(SUBSTITUTE(MID(Table151829[[#This Row],[CONCERN.ID]],2,20),"X","") )  )</f>
        <v>01.103.67..32</v>
      </c>
      <c r="F3" s="51" t="str">
        <f>TRIM(MID(Table151829[[#This Row],[CONCERN.UNIQUEPATH]], IF( ISNUMBER( SEARCH("/",Table151829[[#This Row],[CONCERN.UNIQUEPATH]])),SEARCH("/",Table151829[[#This Row],[CONCERN.UNIQUEPATH]])+1,1),255))</f>
        <v>Deliverables: Reporting: Issues</v>
      </c>
      <c r="G3" t="s">
        <v>3267</v>
      </c>
    </row>
    <row r="4" spans="1:12">
      <c r="A4" t="s">
        <v>1931</v>
      </c>
      <c r="B4" t="s">
        <v>2051</v>
      </c>
      <c r="C4" t="s">
        <v>3268</v>
      </c>
      <c r="D4" t="s">
        <v>3269</v>
      </c>
      <c r="E4" t="str">
        <f xml:space="preserve"> CONCATENATE( MID(Table151829[[#This Row],[PHASE]],2,3), MID(Table151829[[#This Row],[DELIVERABLE]],2,4), TRIM(SUBSTITUTE(MID(Table151829[[#This Row],[CONCERN.ID]],2,20),"X","") )  )</f>
        <v>01.104.67..33</v>
      </c>
      <c r="F4" s="51" t="str">
        <f>TRIM(MID(Table151829[[#This Row],[CONCERN.UNIQUEPATH]], IF( ISNUMBER( SEARCH("/",Table151829[[#This Row],[CONCERN.UNIQUEPATH]])),SEARCH("/",Table151829[[#This Row],[CONCERN.UNIQUEPATH]])+1,1),255))</f>
        <v>Deliverables: Reporting: Technical Debt</v>
      </c>
      <c r="G4" t="s">
        <v>3270</v>
      </c>
    </row>
    <row r="5" spans="1:12">
      <c r="A5" t="s">
        <v>1931</v>
      </c>
      <c r="B5" t="s">
        <v>2053</v>
      </c>
      <c r="C5" t="s">
        <v>3271</v>
      </c>
      <c r="D5" t="s">
        <v>3272</v>
      </c>
      <c r="E5" t="str">
        <f xml:space="preserve"> CONCATENATE( MID(Table151829[[#This Row],[PHASE]],2,3), MID(Table151829[[#This Row],[DELIVERABLE]],2,4), TRIM(SUBSTITUTE(MID(Table151829[[#This Row],[CONCERN.ID]],2,20),"X","") )  )</f>
        <v>01.105.67..37</v>
      </c>
      <c r="F5" s="51" t="str">
        <f>TRIM(MID(Table151829[[#This Row],[CONCERN.UNIQUEPATH]], IF( ISNUMBER( SEARCH("/",Table151829[[#This Row],[CONCERN.UNIQUEPATH]])),SEARCH("/",Table151829[[#This Row],[CONCERN.UNIQUEPATH]])+1,1),255))</f>
        <v>Deliverables: Reporting: Resources</v>
      </c>
      <c r="G5" t="s">
        <v>3273</v>
      </c>
    </row>
    <row r="6" spans="1:12">
      <c r="A6" t="s">
        <v>1931</v>
      </c>
      <c r="B6" t="s">
        <v>2055</v>
      </c>
      <c r="C6" t="s">
        <v>3274</v>
      </c>
      <c r="D6" t="s">
        <v>3275</v>
      </c>
      <c r="E6" t="str">
        <f xml:space="preserve"> CONCATENATE( MID(Table151829[[#This Row],[PHASE]],2,3), MID(Table151829[[#This Row],[DELIVERABLE]],2,4), TRIM(SUBSTITUTE(MID(Table151829[[#This Row],[CONCERN.ID]],2,20),"X","") )  )</f>
        <v>01.106.67..34</v>
      </c>
      <c r="F6" s="51" t="str">
        <f>TRIM(MID(Table151829[[#This Row],[CONCERN.UNIQUEPATH]], IF( ISNUMBER( SEARCH("/",Table151829[[#This Row],[CONCERN.UNIQUEPATH]])),SEARCH("/",Table151829[[#This Row],[CONCERN.UNIQUEPATH]])+1,1),255))</f>
        <v>Deliverables: Reporting: Effort</v>
      </c>
      <c r="G6" t="s">
        <v>3276</v>
      </c>
    </row>
    <row r="7" spans="1:12">
      <c r="A7" t="s">
        <v>1931</v>
      </c>
      <c r="B7" t="s">
        <v>2057</v>
      </c>
      <c r="C7" t="s">
        <v>3277</v>
      </c>
      <c r="D7" t="s">
        <v>3278</v>
      </c>
      <c r="E7" t="str">
        <f xml:space="preserve"> CONCATENATE( MID(Table151829[[#This Row],[PHASE]],2,3), MID(Table151829[[#This Row],[DELIVERABLE]],2,4), TRIM(SUBSTITUTE(MID(Table151829[[#This Row],[CONCERN.ID]],2,20),"X","") )  )</f>
        <v>01.107.67..36</v>
      </c>
      <c r="F7" s="51" t="str">
        <f>TRIM(MID(Table151829[[#This Row],[CONCERN.UNIQUEPATH]], IF( ISNUMBER( SEARCH("/",Table151829[[#This Row],[CONCERN.UNIQUEPATH]])),SEARCH("/",Table151829[[#This Row],[CONCERN.UNIQUEPATH]])+1,1),255))</f>
        <v>Deliverables: Reporting: Functionality</v>
      </c>
      <c r="G7" t="s">
        <v>3279</v>
      </c>
    </row>
    <row r="8" spans="1:12">
      <c r="A8" t="s">
        <v>1931</v>
      </c>
      <c r="B8" t="s">
        <v>2059</v>
      </c>
      <c r="C8" t="s">
        <v>3280</v>
      </c>
      <c r="D8" t="s">
        <v>3281</v>
      </c>
      <c r="E8" t="str">
        <f xml:space="preserve"> CONCATENATE( MID(Table151829[[#This Row],[PHASE]],2,3), MID(Table151829[[#This Row],[DELIVERABLE]],2,4), TRIM(SUBSTITUTE(MID(Table151829[[#This Row],[CONCERN.ID]],2,20),"X","") )  )</f>
        <v>01.108.67..35</v>
      </c>
      <c r="F8" s="51" t="str">
        <f>TRIM(MID(Table151829[[#This Row],[CONCERN.UNIQUEPATH]], IF( ISNUMBER( SEARCH("/",Table151829[[#This Row],[CONCERN.UNIQUEPATH]])),SEARCH("/",Table151829[[#This Row],[CONCERN.UNIQUEPATH]])+1,1),255))</f>
        <v>Deliverables: Reporting: Quality</v>
      </c>
      <c r="G8" t="s">
        <v>3282</v>
      </c>
    </row>
    <row r="9" spans="1:12">
      <c r="A9" t="s">
        <v>1931</v>
      </c>
      <c r="B9" t="s">
        <v>2169</v>
      </c>
      <c r="C9" t="s">
        <v>3283</v>
      </c>
      <c r="D9" t="s">
        <v>3284</v>
      </c>
      <c r="E9" t="str">
        <f xml:space="preserve"> CONCATENATE( MID(Table151829[[#This Row],[PHASE]],2,3), MID(Table151829[[#This Row],[DELIVERABLE]],2,4), TRIM(SUBSTITUTE(MID(Table151829[[#This Row],[CONCERN.ID]],2,20),"X","") )  )</f>
        <v>01.381.67..11.1</v>
      </c>
      <c r="F9" s="51" t="str">
        <f>TRIM(MID(Table151829[[#This Row],[CONCERN.UNIQUEPATH]], IF( ISNUMBER( SEARCH("/",Table151829[[#This Row],[CONCERN.UNIQUEPATH]])),SEARCH("/",Table151829[[#This Row],[CONCERN.UNIQUEPATH]])+1,1),255))</f>
        <v>Deliverables: Documentation: Development: Design Guide</v>
      </c>
      <c r="G9" t="s">
        <v>3285</v>
      </c>
    </row>
    <row r="10" spans="1:12">
      <c r="A10" t="s">
        <v>1931</v>
      </c>
      <c r="B10" t="s">
        <v>2169</v>
      </c>
      <c r="C10" t="s">
        <v>3286</v>
      </c>
      <c r="D10" t="s">
        <v>3287</v>
      </c>
      <c r="E10" t="str">
        <f xml:space="preserve"> CONCATENATE( MID(Table151829[[#This Row],[PHASE]],2,3), MID(Table151829[[#This Row],[DELIVERABLE]],2,4), TRIM(SUBSTITUTE(MID(Table151829[[#This Row],[CONCERN.ID]],2,20),"X","") )  )</f>
        <v>01.381.67..11.2</v>
      </c>
      <c r="F10" s="51" t="str">
        <f>TRIM(MID(Table151829[[#This Row],[CONCERN.UNIQUEPATH]], IF( ISNUMBER( SEARCH("/",Table151829[[#This Row],[CONCERN.UNIQUEPATH]])),SEARCH("/",Table151829[[#This Row],[CONCERN.UNIQUEPATH]])+1,1),255))</f>
        <v>Deliverables: Documentation: Development: Development Guide</v>
      </c>
      <c r="G10" t="s">
        <v>3288</v>
      </c>
    </row>
    <row r="11" spans="1:12">
      <c r="A11" t="s">
        <v>1931</v>
      </c>
      <c r="B11" t="s">
        <v>2169</v>
      </c>
      <c r="C11" t="s">
        <v>3289</v>
      </c>
      <c r="D11" t="s">
        <v>3290</v>
      </c>
      <c r="E11" t="str">
        <f xml:space="preserve"> CONCATENATE( MID(Table151829[[#This Row],[PHASE]],2,3), MID(Table151829[[#This Row],[DELIVERABLE]],2,4), TRIM(SUBSTITUTE(MID(Table151829[[#This Row],[CONCERN.ID]],2,20),"X","") )  )</f>
        <v>01.381.67..12.1</v>
      </c>
      <c r="F11" s="51" t="str">
        <f>TRIM(MID(Table151829[[#This Row],[CONCERN.UNIQUEPATH]], IF( ISNUMBER( SEARCH("/",Table151829[[#This Row],[CONCERN.UNIQUEPATH]])),SEARCH("/",Table151829[[#This Row],[CONCERN.UNIQUEPATH]])+1,1),255))</f>
        <v>Deliverables: Documentation: Maintenance: Infrastructure</v>
      </c>
      <c r="G11" t="s">
        <v>3291</v>
      </c>
    </row>
    <row r="12" spans="1:12">
      <c r="A12" t="s">
        <v>1931</v>
      </c>
      <c r="B12" t="s">
        <v>2169</v>
      </c>
      <c r="C12" t="s">
        <v>3292</v>
      </c>
      <c r="D12" t="s">
        <v>3293</v>
      </c>
      <c r="E12" t="str">
        <f xml:space="preserve"> CONCATENATE( MID(Table151829[[#This Row],[PHASE]],2,3), MID(Table151829[[#This Row],[DELIVERABLE]],2,4), TRIM(SUBSTITUTE(MID(Table151829[[#This Row],[CONCERN.ID]],2,20),"X","") )  )</f>
        <v>01.381.67..12.2</v>
      </c>
      <c r="F12" s="51" t="str">
        <f>TRIM(MID(Table151829[[#This Row],[CONCERN.UNIQUEPATH]], IF( ISNUMBER( SEARCH("/",Table151829[[#This Row],[CONCERN.UNIQUEPATH]])),SEARCH("/",Table151829[[#This Row],[CONCERN.UNIQUEPATH]])+1,1),255))</f>
        <v>Deliverables: Documentation: Maintenance: Integration</v>
      </c>
      <c r="G12" t="s">
        <v>3294</v>
      </c>
    </row>
    <row r="13" spans="1:12">
      <c r="A13" t="s">
        <v>1931</v>
      </c>
      <c r="B13" t="s">
        <v>2169</v>
      </c>
      <c r="C13" t="s">
        <v>3295</v>
      </c>
      <c r="D13" t="s">
        <v>3296</v>
      </c>
      <c r="E13" t="str">
        <f xml:space="preserve"> CONCATENATE( MID(Table151829[[#This Row],[PHASE]],2,3), MID(Table151829[[#This Row],[DELIVERABLE]],2,4), TRIM(SUBSTITUTE(MID(Table151829[[#This Row],[CONCERN.ID]],2,20),"X","") )  )</f>
        <v>01.381.67..12.3</v>
      </c>
      <c r="F13" s="51" t="str">
        <f>TRIM(MID(Table151829[[#This Row],[CONCERN.UNIQUEPATH]], IF( ISNUMBER( SEARCH("/",Table151829[[#This Row],[CONCERN.UNIQUEPATH]])),SEARCH("/",Table151829[[#This Row],[CONCERN.UNIQUEPATH]])+1,1),255))</f>
        <v>Deliverables: Documentation: Maintenance: Deployment</v>
      </c>
      <c r="G13" t="s">
        <v>3297</v>
      </c>
    </row>
    <row r="14" spans="1:12">
      <c r="A14" t="s">
        <v>1931</v>
      </c>
      <c r="B14" t="s">
        <v>2169</v>
      </c>
      <c r="C14" t="s">
        <v>3298</v>
      </c>
      <c r="D14" t="s">
        <v>3299</v>
      </c>
      <c r="E14" t="str">
        <f xml:space="preserve"> CONCATENATE( MID(Table151829[[#This Row],[PHASE]],2,3), MID(Table151829[[#This Row],[DELIVERABLE]],2,4), TRIM(SUBSTITUTE(MID(Table151829[[#This Row],[CONCERN.ID]],2,20),"X","") )  )</f>
        <v>01.381.67..12.4</v>
      </c>
      <c r="F14" s="51" t="str">
        <f>TRIM(MID(Table151829[[#This Row],[CONCERN.UNIQUEPATH]], IF( ISNUMBER( SEARCH("/",Table151829[[#This Row],[CONCERN.UNIQUEPATH]])),SEARCH("/",Table151829[[#This Row],[CONCERN.UNIQUEPATH]])+1,1),255))</f>
        <v>Deliverables: Documentation: Maintenance: Configuration</v>
      </c>
      <c r="G14" t="s">
        <v>3300</v>
      </c>
    </row>
    <row r="15" spans="1:12">
      <c r="A15" t="s">
        <v>1931</v>
      </c>
      <c r="B15" t="s">
        <v>2169</v>
      </c>
      <c r="C15" t="s">
        <v>3301</v>
      </c>
      <c r="D15" t="s">
        <v>3302</v>
      </c>
      <c r="E15" t="str">
        <f xml:space="preserve"> CONCATENATE( MID(Table151829[[#This Row],[PHASE]],2,3), MID(Table151829[[#This Row],[DELIVERABLE]],2,4), TRIM(SUBSTITUTE(MID(Table151829[[#This Row],[CONCERN.ID]],2,20),"X","") )  )</f>
        <v>01.381.67..12.5</v>
      </c>
      <c r="F15" s="51" t="str">
        <f>TRIM(MID(Table151829[[#This Row],[CONCERN.UNIQUEPATH]], IF( ISNUMBER( SEARCH("/",Table151829[[#This Row],[CONCERN.UNIQUEPATH]])),SEARCH("/",Table151829[[#This Row],[CONCERN.UNIQUEPATH]])+1,1),255))</f>
        <v>Deliverables: Documentation: Maintenance: Backup &amp; Restoration</v>
      </c>
      <c r="G15" t="s">
        <v>3303</v>
      </c>
    </row>
    <row r="16" spans="1:12">
      <c r="A16" t="s">
        <v>1931</v>
      </c>
      <c r="B16" t="s">
        <v>2169</v>
      </c>
      <c r="C16" t="s">
        <v>3304</v>
      </c>
      <c r="D16" t="s">
        <v>3305</v>
      </c>
      <c r="E16" t="str">
        <f xml:space="preserve"> CONCATENATE( MID(Table151829[[#This Row],[PHASE]],2,3), MID(Table151829[[#This Row],[DELIVERABLE]],2,4), TRIM(SUBSTITUTE(MID(Table151829[[#This Row],[CONCERN.ID]],2,20),"X","") )  )</f>
        <v>01.381.67..12.6</v>
      </c>
      <c r="F16" s="51" t="str">
        <f>TRIM(MID(Table151829[[#This Row],[CONCERN.UNIQUEPATH]], IF( ISNUMBER( SEARCH("/",Table151829[[#This Row],[CONCERN.UNIQUEPATH]])),SEARCH("/",Table151829[[#This Row],[CONCERN.UNIQUEPATH]])+1,1),255))</f>
        <v>Deliverables: Documentation: Maintenance: DR</v>
      </c>
      <c r="G16" t="s">
        <v>3306</v>
      </c>
    </row>
    <row r="17" spans="1:7">
      <c r="A17" t="s">
        <v>1931</v>
      </c>
      <c r="B17" t="s">
        <v>2169</v>
      </c>
      <c r="C17" t="s">
        <v>3307</v>
      </c>
      <c r="D17" t="s">
        <v>3308</v>
      </c>
      <c r="E17" t="str">
        <f xml:space="preserve"> CONCATENATE( MID(Table151829[[#This Row],[PHASE]],2,3), MID(Table151829[[#This Row],[DELIVERABLE]],2,4), TRIM(SUBSTITUTE(MID(Table151829[[#This Row],[CONCERN.ID]],2,20),"X","") )  )</f>
        <v>01.381.67..13.1</v>
      </c>
      <c r="F17" s="51" t="str">
        <f>TRIM(MID(Table151829[[#This Row],[CONCERN.UNIQUEPATH]], IF( ISNUMBER( SEARCH("/",Table151829[[#This Row],[CONCERN.UNIQUEPATH]])),SEARCH("/",Table151829[[#This Row],[CONCERN.UNIQUEPATH]])+1,1),255))</f>
        <v>Deliverables: Documentation: Operations: Monitoring</v>
      </c>
      <c r="G17" t="s">
        <v>3309</v>
      </c>
    </row>
    <row r="18" spans="1:7">
      <c r="A18" t="s">
        <v>1931</v>
      </c>
      <c r="B18" t="s">
        <v>2169</v>
      </c>
      <c r="C18" t="s">
        <v>3310</v>
      </c>
      <c r="D18" t="s">
        <v>3311</v>
      </c>
      <c r="E18" t="str">
        <f xml:space="preserve"> CONCATENATE( MID(Table151829[[#This Row],[PHASE]],2,3), MID(Table151829[[#This Row],[DELIVERABLE]],2,4), TRIM(SUBSTITUTE(MID(Table151829[[#This Row],[CONCERN.ID]],2,20),"X","") )  )</f>
        <v>01.381.67..13.2</v>
      </c>
      <c r="F18" s="51" t="str">
        <f>TRIM(MID(Table151829[[#This Row],[CONCERN.UNIQUEPATH]], IF( ISNUMBER( SEARCH("/",Table151829[[#This Row],[CONCERN.UNIQUEPATH]])),SEARCH("/",Table151829[[#This Row],[CONCERN.UNIQUEPATH]])+1,1),255))</f>
        <v>Deliverables: Documentation: Operations: Onboarding</v>
      </c>
      <c r="G18" t="s">
        <v>3312</v>
      </c>
    </row>
    <row r="19" spans="1:7">
      <c r="A19" t="s">
        <v>1931</v>
      </c>
      <c r="B19" t="s">
        <v>2169</v>
      </c>
      <c r="C19" t="s">
        <v>3313</v>
      </c>
      <c r="D19" t="s">
        <v>3314</v>
      </c>
      <c r="E19" t="str">
        <f xml:space="preserve"> CONCATENATE( MID(Table151829[[#This Row],[PHASE]],2,3), MID(Table151829[[#This Row],[DELIVERABLE]],2,4), TRIM(SUBSTITUTE(MID(Table151829[[#This Row],[CONCERN.ID]],2,20),"X","") )  )</f>
        <v>01.381.67..13.3</v>
      </c>
      <c r="F19" s="51" t="str">
        <f>TRIM(MID(Table151829[[#This Row],[CONCERN.UNIQUEPATH]], IF( ISNUMBER( SEARCH("/",Table151829[[#This Row],[CONCERN.UNIQUEPATH]])),SEARCH("/",Table151829[[#This Row],[CONCERN.UNIQUEPATH]])+1,1),255))</f>
        <v>Deliverables: Documentation: Operations: Authorisation</v>
      </c>
      <c r="G19" t="s">
        <v>3315</v>
      </c>
    </row>
    <row r="20" spans="1:7">
      <c r="A20" t="s">
        <v>1931</v>
      </c>
      <c r="B20" t="s">
        <v>2169</v>
      </c>
      <c r="C20" t="s">
        <v>3316</v>
      </c>
      <c r="D20" t="s">
        <v>3317</v>
      </c>
      <c r="E20" t="str">
        <f xml:space="preserve"> CONCATENATE( MID(Table151829[[#This Row],[PHASE]],2,3), MID(Table151829[[#This Row],[DELIVERABLE]],2,4), TRIM(SUBSTITUTE(MID(Table151829[[#This Row],[CONCERN.ID]],2,20),"X","") )  )</f>
        <v>01.381.67..13.4</v>
      </c>
      <c r="F20" s="51" t="str">
        <f>TRIM(MID(Table151829[[#This Row],[CONCERN.UNIQUEPATH]], IF( ISNUMBER( SEARCH("/",Table151829[[#This Row],[CONCERN.UNIQUEPATH]])),SEARCH("/",Table151829[[#This Row],[CONCERN.UNIQUEPATH]])+1,1),255))</f>
        <v>Deliverables: Documentation: Operations: Assistance</v>
      </c>
      <c r="G20" t="s">
        <v>3318</v>
      </c>
    </row>
    <row r="21" spans="1:7">
      <c r="A21" t="s">
        <v>1931</v>
      </c>
      <c r="B21" t="s">
        <v>2169</v>
      </c>
      <c r="C21" t="s">
        <v>3319</v>
      </c>
      <c r="D21" t="s">
        <v>3320</v>
      </c>
      <c r="E21" t="str">
        <f xml:space="preserve"> CONCATENATE( MID(Table151829[[#This Row],[PHASE]],2,3), MID(Table151829[[#This Row],[DELIVERABLE]],2,4), TRIM(SUBSTITUTE(MID(Table151829[[#This Row],[CONCERN.ID]],2,20),"X","") )  )</f>
        <v>01.381.67..18</v>
      </c>
      <c r="F21" s="51" t="str">
        <f>TRIM(MID(Table151829[[#This Row],[CONCERN.UNIQUEPATH]], IF( ISNUMBER( SEARCH("/",Table151829[[#This Row],[CONCERN.UNIQUEPATH]])),SEARCH("/",Table151829[[#This Row],[CONCERN.UNIQUEPATH]])+1,1),255))</f>
        <v>Deliverables: Documentation: Maintenance: OOP</v>
      </c>
      <c r="G21" t="s">
        <v>3321</v>
      </c>
    </row>
    <row r="22" spans="1:7">
      <c r="A22" t="s">
        <v>1931</v>
      </c>
      <c r="B22" t="s">
        <v>2169</v>
      </c>
      <c r="C22" t="s">
        <v>3322</v>
      </c>
      <c r="D22" t="s">
        <v>3323</v>
      </c>
      <c r="E22" t="str">
        <f xml:space="preserve"> CONCATENATE( MID(Table151829[[#This Row],[PHASE]],2,3), MID(Table151829[[#This Row],[DELIVERABLE]],2,4), TRIM(SUBSTITUTE(MID(Table151829[[#This Row],[CONCERN.ID]],2,20),"X","") )  )</f>
        <v>01.381.67..19</v>
      </c>
      <c r="F22" s="51" t="str">
        <f>TRIM(MID(Table151829[[#This Row],[CONCERN.UNIQUEPATH]], IF( ISNUMBER( SEARCH("/",Table151829[[#This Row],[CONCERN.UNIQUEPATH]])),SEARCH("/",Table151829[[#This Row],[CONCERN.UNIQUEPATH]])+1,1),255))</f>
        <v>Deliverables: Documentation: Supporting: SSP</v>
      </c>
      <c r="G22" t="s">
        <v>3324</v>
      </c>
    </row>
    <row r="23" spans="1:7">
      <c r="A23" t="s">
        <v>1931</v>
      </c>
      <c r="B23" t="s">
        <v>2177</v>
      </c>
      <c r="C23" t="s">
        <v>3325</v>
      </c>
      <c r="D23" t="s">
        <v>3326</v>
      </c>
      <c r="E23" t="str">
        <f xml:space="preserve"> CONCATENATE( MID(Table151829[[#This Row],[PHASE]],2,3), MID(Table151829[[#This Row],[DELIVERABLE]],2,4), TRIM(SUBSTITUTE(MID(Table151829[[#This Row],[CONCERN.ID]],2,20),"X","") )  )</f>
        <v>01.389.67..11.3</v>
      </c>
      <c r="F23" s="51" t="str">
        <f>TRIM(MID(Table151829[[#This Row],[CONCERN.UNIQUEPATH]], IF( ISNUMBER( SEARCH("/",Table151829[[#This Row],[CONCERN.UNIQUEPATH]])),SEARCH("/",Table151829[[#This Row],[CONCERN.UNIQUEPATH]])+1,1),255))</f>
        <v>Deliverables: Documentation: Development: Data Migration Guide</v>
      </c>
      <c r="G23" t="s">
        <v>3327</v>
      </c>
    </row>
    <row r="24" spans="1:7">
      <c r="A24" t="s">
        <v>1931</v>
      </c>
      <c r="B24" t="s">
        <v>2184</v>
      </c>
      <c r="C24" t="s">
        <v>3328</v>
      </c>
      <c r="D24" t="s">
        <v>3329</v>
      </c>
      <c r="E24" t="str">
        <f xml:space="preserve"> CONCATENATE( MID(Table151829[[#This Row],[PHASE]],2,3), MID(Table151829[[#This Row],[DELIVERABLE]],2,4), TRIM(SUBSTITUTE(MID(Table151829[[#This Row],[CONCERN.ID]],2,20),"X","") )  )</f>
        <v>01.396.67..13.5</v>
      </c>
      <c r="F24" s="51" t="str">
        <f>TRIM(MID(Table151829[[#This Row],[CONCERN.UNIQUEPATH]], IF( ISNUMBER( SEARCH("/",Table151829[[#This Row],[CONCERN.UNIQUEPATH]])),SEARCH("/",Table151829[[#This Row],[CONCERN.UNIQUEPATH]])+1,1),255))</f>
        <v>Deliverables: Documentation: Operations: Training Guide</v>
      </c>
      <c r="G24" t="s">
        <v>3330</v>
      </c>
    </row>
    <row r="25" spans="1:7">
      <c r="A25" t="s">
        <v>1931</v>
      </c>
      <c r="B25" t="s">
        <v>2185</v>
      </c>
      <c r="C25" t="s">
        <v>3331</v>
      </c>
      <c r="D25" t="s">
        <v>3332</v>
      </c>
      <c r="E25" t="str">
        <f xml:space="preserve"> CONCATENATE( MID(Table151829[[#This Row],[PHASE]],2,3), MID(Table151829[[#This Row],[DELIVERABLE]],2,4), TRIM(SUBSTITUTE(MID(Table151829[[#This Row],[CONCERN.ID]],2,20),"X","") )  )</f>
        <v>01.397.67..14.2</v>
      </c>
      <c r="F25" s="51" t="str">
        <f>TRIM(MID(Table151829[[#This Row],[CONCERN.UNIQUEPATH]], IF( ISNUMBER( SEARCH("/",Table151829[[#This Row],[CONCERN.UNIQUEPATH]])),SEARCH("/",Table151829[[#This Row],[CONCERN.UNIQUEPATH]])+1,1),255))</f>
        <v>Deliverables: Documentation: Business: Continuity Plan</v>
      </c>
      <c r="G25" t="s">
        <v>3333</v>
      </c>
    </row>
    <row r="26" spans="1:7">
      <c r="A26" t="s">
        <v>1931</v>
      </c>
      <c r="B26" t="s">
        <v>2186</v>
      </c>
      <c r="C26" t="s">
        <v>3334</v>
      </c>
      <c r="D26" t="s">
        <v>3335</v>
      </c>
      <c r="E26" t="str">
        <f xml:space="preserve"> CONCATENATE( MID(Table151829[[#This Row],[PHASE]],2,3), MID(Table151829[[#This Row],[DELIVERABLE]],2,4), TRIM(SUBSTITUTE(MID(Table151829[[#This Row],[CONCERN.ID]],2,20),"X","") )  )</f>
        <v>01.398.67..14.1</v>
      </c>
      <c r="F26" s="51" t="str">
        <f>TRIM(MID(Table151829[[#This Row],[CONCERN.UNIQUEPATH]], IF( ISNUMBER( SEARCH("/",Table151829[[#This Row],[CONCERN.UNIQUEPATH]])),SEARCH("/",Table151829[[#This Row],[CONCERN.UNIQUEPATH]])+1,1),255))</f>
        <v>Deliverables: Documentation: Business: Change Management</v>
      </c>
      <c r="G26" t="s">
        <v>3336</v>
      </c>
    </row>
    <row r="27" spans="1:7">
      <c r="A27" t="s">
        <v>1931</v>
      </c>
      <c r="B27" t="s">
        <v>2206</v>
      </c>
      <c r="C27" t="s">
        <v>3337</v>
      </c>
      <c r="D27" t="s">
        <v>3338</v>
      </c>
      <c r="E27" t="str">
        <f xml:space="preserve"> CONCATENATE( MID(Table151829[[#This Row],[PHASE]],2,3), MID(Table151829[[#This Row],[DELIVERABLE]],2,4), TRIM(SUBSTITUTE(MID(Table151829[[#This Row],[CONCERN.ID]],2,20),"X","") )  )</f>
        <v>01.403.67..22</v>
      </c>
      <c r="F27" s="51" t="str">
        <f>TRIM(MID(Table151829[[#This Row],[CONCERN.UNIQUEPATH]], IF( ISNUMBER( SEARCH("/",Table151829[[#This Row],[CONCERN.UNIQUEPATH]])),SEARCH("/",Table151829[[#This Row],[CONCERN.UNIQUEPATH]])+1,1),255))</f>
        <v>Deliverables: Environments: Integration</v>
      </c>
      <c r="G27" t="s">
        <v>3339</v>
      </c>
    </row>
    <row r="28" spans="1:7">
      <c r="A28" t="s">
        <v>1931</v>
      </c>
      <c r="B28" t="s">
        <v>2207</v>
      </c>
      <c r="C28" t="s">
        <v>3340</v>
      </c>
      <c r="D28" t="s">
        <v>3341</v>
      </c>
      <c r="E28" t="str">
        <f xml:space="preserve"> CONCATENATE( MID(Table151829[[#This Row],[PHASE]],2,3), MID(Table151829[[#This Row],[DELIVERABLE]],2,4), TRIM(SUBSTITUTE(MID(Table151829[[#This Row],[CONCERN.ID]],2,20),"X","") )  )</f>
        <v>01.404.67..21</v>
      </c>
      <c r="F28" s="51" t="str">
        <f>TRIM(MID(Table151829[[#This Row],[CONCERN.UNIQUEPATH]], IF( ISNUMBER( SEARCH("/",Table151829[[#This Row],[CONCERN.UNIQUEPATH]])),SEARCH("/",Table151829[[#This Row],[CONCERN.UNIQUEPATH]])+1,1),255))</f>
        <v>Deliverables: Environments: Secure Data</v>
      </c>
      <c r="G28" t="s">
        <v>3342</v>
      </c>
    </row>
    <row r="29" spans="1:7">
      <c r="A29" t="s">
        <v>1931</v>
      </c>
      <c r="B29" t="s">
        <v>2208</v>
      </c>
      <c r="C29" t="s">
        <v>3343</v>
      </c>
      <c r="D29" t="s">
        <v>3344</v>
      </c>
      <c r="E29" t="str">
        <f xml:space="preserve"> CONCATENATE( MID(Table151829[[#This Row],[PHASE]],2,3), MID(Table151829[[#This Row],[DELIVERABLE]],2,4), TRIM(SUBSTITUTE(MID(Table151829[[#This Row],[CONCERN.ID]],2,20),"X","") )  )</f>
        <v>01.405.67..23</v>
      </c>
      <c r="F29" s="51" t="str">
        <f>TRIM(MID(Table151829[[#This Row],[CONCERN.UNIQUEPATH]], IF( ISNUMBER( SEARCH("/",Table151829[[#This Row],[CONCERN.UNIQUEPATH]])),SEARCH("/",Table151829[[#This Row],[CONCERN.UNIQUEPATH]])+1,1),255))</f>
        <v>Deliverables: Environments: BT</v>
      </c>
      <c r="G29" t="s">
        <v>3345</v>
      </c>
    </row>
    <row r="30" spans="1:7">
      <c r="A30" t="s">
        <v>1931</v>
      </c>
      <c r="B30" t="s">
        <v>2210</v>
      </c>
      <c r="C30" t="s">
        <v>3346</v>
      </c>
      <c r="D30" t="s">
        <v>3347</v>
      </c>
      <c r="E30" t="str">
        <f xml:space="preserve"> CONCATENATE( MID(Table151829[[#This Row],[PHASE]],2,3), MID(Table151829[[#This Row],[DELIVERABLE]],2,4), TRIM(SUBSTITUTE(MID(Table151829[[#This Row],[CONCERN.ID]],2,20),"X","") )  )</f>
        <v>01.407.67..24</v>
      </c>
      <c r="F30" s="51" t="str">
        <f>TRIM(MID(Table151829[[#This Row],[CONCERN.UNIQUEPATH]], IF( ISNUMBER( SEARCH("/",Table151829[[#This Row],[CONCERN.UNIQUEPATH]])),SEARCH("/",Table151829[[#This Row],[CONCERN.UNIQUEPATH]])+1,1),255))</f>
        <v>Deliverables: Environments: ST</v>
      </c>
      <c r="G30" t="s">
        <v>3348</v>
      </c>
    </row>
    <row r="31" spans="1:7">
      <c r="A31" t="s">
        <v>1931</v>
      </c>
      <c r="B31" t="s">
        <v>2211</v>
      </c>
      <c r="C31" t="s">
        <v>3349</v>
      </c>
      <c r="D31" t="s">
        <v>3350</v>
      </c>
      <c r="E31" t="str">
        <f xml:space="preserve"> CONCATENATE( MID(Table151829[[#This Row],[PHASE]],2,3), MID(Table151829[[#This Row],[DELIVERABLE]],2,4), TRIM(SUBSTITUTE(MID(Table151829[[#This Row],[CONCERN.ID]],2,20),"X","") )  )</f>
        <v>01.408.67..25</v>
      </c>
      <c r="F31" s="51" t="str">
        <f>TRIM(MID(Table151829[[#This Row],[CONCERN.UNIQUEPATH]], IF( ISNUMBER( SEARCH("/",Table151829[[#This Row],[CONCERN.UNIQUEPATH]])),SEARCH("/",Table151829[[#This Row],[CONCERN.UNIQUEPATH]])+1,1),255))</f>
        <v>Deliverables: Environments: UT</v>
      </c>
      <c r="G31" t="s">
        <v>3351</v>
      </c>
    </row>
    <row r="32" spans="1:7">
      <c r="A32" t="s">
        <v>1931</v>
      </c>
      <c r="B32" t="s">
        <v>2212</v>
      </c>
      <c r="C32" t="s">
        <v>3352</v>
      </c>
      <c r="D32" t="s">
        <v>3353</v>
      </c>
      <c r="E32" t="str">
        <f xml:space="preserve"> CONCATENATE( MID(Table151829[[#This Row],[PHASE]],2,3), MID(Table151829[[#This Row],[DELIVERABLE]],2,4), TRIM(SUBSTITUTE(MID(Table151829[[#This Row],[CONCERN.ID]],2,20),"X","") )  )</f>
        <v>01.409.67..26</v>
      </c>
      <c r="F32" s="51" t="str">
        <f>TRIM(MID(Table151829[[#This Row],[CONCERN.UNIQUEPATH]], IF( ISNUMBER( SEARCH("/",Table151829[[#This Row],[CONCERN.UNIQUEPATH]])),SEARCH("/",Table151829[[#This Row],[CONCERN.UNIQUEPATH]])+1,1),255))</f>
        <v>Deliverables: Environments: IT</v>
      </c>
      <c r="G32" t="s">
        <v>3354</v>
      </c>
    </row>
    <row r="33" spans="1:7">
      <c r="A33" t="s">
        <v>1931</v>
      </c>
      <c r="B33" t="s">
        <v>2213</v>
      </c>
      <c r="C33" t="s">
        <v>3355</v>
      </c>
      <c r="D33" t="s">
        <v>3356</v>
      </c>
      <c r="E33" t="str">
        <f xml:space="preserve"> CONCATENATE( MID(Table151829[[#This Row],[PHASE]],2,3), MID(Table151829[[#This Row],[DELIVERABLE]],2,4), TRIM(SUBSTITUTE(MID(Table151829[[#This Row],[CONCERN.ID]],2,20),"X","") )  )</f>
        <v>01.410.67..27</v>
      </c>
      <c r="F33" s="51" t="str">
        <f>TRIM(MID(Table151829[[#This Row],[CONCERN.UNIQUEPATH]], IF( ISNUMBER( SEARCH("/",Table151829[[#This Row],[CONCERN.UNIQUEPATH]])),SEARCH("/",Table151829[[#This Row],[CONCERN.UNIQUEPATH]])+1,1),255))</f>
        <v>Deliverables: Environments: TT</v>
      </c>
      <c r="G33" t="s">
        <v>3357</v>
      </c>
    </row>
    <row r="34" spans="1:7">
      <c r="A34" t="s">
        <v>1931</v>
      </c>
      <c r="B34" t="s">
        <v>2214</v>
      </c>
      <c r="C34" t="s">
        <v>3358</v>
      </c>
      <c r="D34" t="s">
        <v>3359</v>
      </c>
      <c r="E34" t="str">
        <f xml:space="preserve"> CONCATENATE( MID(Table151829[[#This Row],[PHASE]],2,3), MID(Table151829[[#This Row],[DELIVERABLE]],2,4), TRIM(SUBSTITUTE(MID(Table151829[[#This Row],[CONCERN.ID]],2,20),"X","") )  )</f>
        <v>01.411.67..28</v>
      </c>
      <c r="F34" s="51" t="str">
        <f>TRIM(MID(Table151829[[#This Row],[CONCERN.UNIQUEPATH]], IF( ISNUMBER( SEARCH("/",Table151829[[#This Row],[CONCERN.UNIQUEPATH]])),SEARCH("/",Table151829[[#This Row],[CONCERN.UNIQUEPATH]])+1,1),255))</f>
        <v>Deliverables: Environments: PP</v>
      </c>
      <c r="G34" t="s">
        <v>3360</v>
      </c>
    </row>
    <row r="35" spans="1:7">
      <c r="A35" t="s">
        <v>1931</v>
      </c>
      <c r="B35" t="s">
        <v>2215</v>
      </c>
      <c r="C35" t="s">
        <v>3361</v>
      </c>
      <c r="D35" t="s">
        <v>3362</v>
      </c>
      <c r="E35" t="str">
        <f xml:space="preserve"> CONCATENATE( MID(Table151829[[#This Row],[PHASE]],2,3), MID(Table151829[[#This Row],[DELIVERABLE]],2,4), TRIM(SUBSTITUTE(MID(Table151829[[#This Row],[CONCERN.ID]],2,20),"X","") )  )</f>
        <v>01.412.67..29</v>
      </c>
      <c r="F35" s="51" t="str">
        <f>TRIM(MID(Table151829[[#This Row],[CONCERN.UNIQUEPATH]], IF( ISNUMBER( SEARCH("/",Table151829[[#This Row],[CONCERN.UNIQUEPATH]])),SEARCH("/",Table151829[[#This Row],[CONCERN.UNIQUEPATH]])+1,1),255))</f>
        <v>Deliverables: Environments: PR</v>
      </c>
      <c r="G35" t="s">
        <v>3363</v>
      </c>
    </row>
  </sheetData>
  <dataValidations count="4">
    <dataValidation type="list" allowBlank="1" showInputMessage="1" showErrorMessage="1" sqref="L2:L35" xr:uid="{1B297B92-076E-4642-A889-C7CA017D5F22}">
      <formula1>TBL_Type</formula1>
    </dataValidation>
    <dataValidation type="list" allowBlank="1" showInputMessage="1" showErrorMessage="1" sqref="J2:K35" xr:uid="{A4CFAA24-F717-480D-ADD3-11EDF3301C39}">
      <formula1>TBL_Stakeholders</formula1>
    </dataValidation>
    <dataValidation type="list" allowBlank="1" showInputMessage="1" showErrorMessage="1" sqref="B2:B35" xr:uid="{C05DE59A-6D5D-4494-8C28-4D6FF5EF59CA}">
      <formula1>TBL_Deliverables</formula1>
    </dataValidation>
    <dataValidation type="list" allowBlank="1" showInputMessage="1" showErrorMessage="1" sqref="A2:A35" xr:uid="{6DBEAB0F-3428-4ACC-B4DE-6D10139B808F}">
      <formula1>TBL_Phase</formula1>
    </dataValidation>
  </dataValidation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5C40F-F4DD-495E-92F7-9A139C233AC5}">
  <sheetPr codeName="Sheet20">
    <tabColor theme="8" tint="0.39997558519241921"/>
  </sheetPr>
  <dimension ref="A1:L13"/>
  <sheetViews>
    <sheetView topLeftCell="D1" zoomScale="90" zoomScaleNormal="90" workbookViewId="0">
      <selection activeCell="G5" sqref="G5"/>
    </sheetView>
  </sheetViews>
  <sheetFormatPr defaultRowHeight="14.5"/>
  <cols>
    <col min="1" max="1" width="8.453125" customWidth="1"/>
    <col min="2" max="2" width="36.7265625" bestFit="1" customWidth="1"/>
    <col min="3" max="3" width="13.81640625" bestFit="1" customWidth="1"/>
    <col min="4" max="4" width="50" bestFit="1" customWidth="1"/>
    <col min="5" max="5" width="13.81640625" customWidth="1"/>
    <col min="6" max="6" width="36.7265625" bestFit="1" customWidth="1"/>
    <col min="7" max="7" width="179.1796875" bestFit="1" customWidth="1"/>
    <col min="8" max="9" width="14.1796875" customWidth="1"/>
    <col min="10" max="10" width="13.453125" bestFit="1" customWidth="1"/>
  </cols>
  <sheetData>
    <row r="1" spans="1:12">
      <c r="A1" t="s">
        <v>3364</v>
      </c>
      <c r="B1">
        <v>69</v>
      </c>
    </row>
    <row r="2" spans="1:12">
      <c r="A2" t="s">
        <v>3091</v>
      </c>
      <c r="B2" t="s">
        <v>3092</v>
      </c>
      <c r="C2" t="s">
        <v>3093</v>
      </c>
      <c r="D2" t="s">
        <v>3095</v>
      </c>
      <c r="E2" t="s">
        <v>3094</v>
      </c>
      <c r="F2" t="s">
        <v>3096</v>
      </c>
      <c r="G2" t="s">
        <v>2286</v>
      </c>
      <c r="H2" t="s">
        <v>3097</v>
      </c>
      <c r="I2" t="s">
        <v>3098</v>
      </c>
      <c r="J2" t="s">
        <v>3099</v>
      </c>
      <c r="K2" t="s">
        <v>3100</v>
      </c>
      <c r="L2" t="s">
        <v>1922</v>
      </c>
    </row>
    <row r="3" spans="1:12">
      <c r="B3" t="s">
        <v>1938</v>
      </c>
      <c r="C3" t="s">
        <v>3105</v>
      </c>
      <c r="D3" t="s">
        <v>3365</v>
      </c>
      <c r="E3" t="str">
        <f xml:space="preserve"> CONCATENATE( MID(Table151831[[#This Row],[PHASE]],2,3), MID(Table151831[[#This Row],[DELIVERABLE]],2,4), TRIM(SUBSTITUTE(MID(Table151831[[#This Row],[CONCERN.ID]],2,20),"X","") )  )</f>
        <v>002.02</v>
      </c>
      <c r="F3" t="str">
        <f>TRIM(MID(Table151831[[#This Row],[CONCERN.UNIQUEPATH]], IF( ISNUMBER( SEARCH("/",Table151831[[#This Row],[CONCERN.UNIQUEPATH]])),SEARCH("/",Table151831[[#This Row],[CONCERN.UNIQUEPATH]])+1,1),255))</f>
        <v>Prerequisites: SOW: Delivery Management Services</v>
      </c>
    </row>
    <row r="4" spans="1:12">
      <c r="B4" t="s">
        <v>1945</v>
      </c>
      <c r="C4" t="s">
        <v>3366</v>
      </c>
      <c r="D4" t="s">
        <v>3367</v>
      </c>
      <c r="E4" t="str">
        <f xml:space="preserve"> CONCATENATE( MID(Table151831[[#This Row],[PHASE]],2,3), MID(Table151831[[#This Row],[DELIVERABLE]],2,4), TRIM(SUBSTITUTE(MID(Table151831[[#This Row],[CONCERN.ID]],2,20),"X","") )  )</f>
        <v>003.01</v>
      </c>
      <c r="F4" t="str">
        <f>TRIM(MID(Table151831[[#This Row],[CONCERN.UNIQUEPATH]], IF( ISNUMBER( SEARCH("/",Table151831[[#This Row],[CONCERN.UNIQUEPATH]])),SEARCH("/",Table151831[[#This Row],[CONCERN.UNIQUEPATH]])+1,1),255))</f>
        <v>Prequiresites: SOW: Stakeholder Analysis Services</v>
      </c>
    </row>
    <row r="5" spans="1:12">
      <c r="C5" t="s">
        <v>3368</v>
      </c>
      <c r="D5" t="s">
        <v>3369</v>
      </c>
      <c r="E5" t="str">
        <f xml:space="preserve"> CONCATENATE( MID(Table151831[[#This Row],[PHASE]],2,3), MID(Table151831[[#This Row],[DELIVERABLE]],2,4), TRIM(SUBSTITUTE(MID(Table151831[[#This Row],[CONCERN.ID]],2,20),"X","") )  )</f>
        <v>36</v>
      </c>
      <c r="F5" t="str">
        <f>TRIM(MID(Table151831[[#This Row],[CONCERN.UNIQUEPATH]], IF( ISNUMBER( SEARCH("/",Table151831[[#This Row],[CONCERN.UNIQUEPATH]])),SEARCH("/",Table151831[[#This Row],[CONCERN.UNIQUEPATH]])+1,1),255))</f>
        <v>Prerequisites: Endorsements: CAB: Support Services</v>
      </c>
      <c r="G5" t="s">
        <v>3370</v>
      </c>
    </row>
    <row r="6" spans="1:12">
      <c r="C6" t="s">
        <v>3371</v>
      </c>
      <c r="D6" t="s">
        <v>3372</v>
      </c>
      <c r="E6" t="str">
        <f xml:space="preserve"> CONCATENATE( MID(Table151831[[#This Row],[PHASE]],2,3), MID(Table151831[[#This Row],[DELIVERABLE]],2,4), TRIM(SUBSTITUTE(MID(Table151831[[#This Row],[CONCERN.ID]],2,20),"X","") )  )</f>
        <v>01</v>
      </c>
      <c r="F6" t="str">
        <f>TRIM(MID(Table151831[[#This Row],[CONCERN.UNIQUEPATH]], IF( ISNUMBER( SEARCH("/",Table151831[[#This Row],[CONCERN.UNIQUEPATH]])),SEARCH("/",Table151831[[#This Row],[CONCERN.UNIQUEPATH]])+1,1),255))</f>
        <v>Prerequisites: Prerequisites: Support Services: SSP</v>
      </c>
      <c r="G6" t="s">
        <v>3373</v>
      </c>
    </row>
    <row r="7" spans="1:12">
      <c r="B7" t="s">
        <v>2101</v>
      </c>
      <c r="C7" t="s">
        <v>3374</v>
      </c>
      <c r="D7" t="s">
        <v>3375</v>
      </c>
      <c r="E7" t="str">
        <f xml:space="preserve"> CONCATENATE( MID(Table151831[[#This Row],[PHASE]],2,3), MID(Table151831[[#This Row],[DELIVERABLE]],2,4), TRIM(SUBSTITUTE(MID(Table151831[[#This Row],[CONCERN.ID]],2,20),"X","") )  )</f>
        <v>275.33</v>
      </c>
      <c r="F7" t="str">
        <f>TRIM(MID(Table151831[[#This Row],[CONCERN.UNIQUEPATH]], IF( ISNUMBER( SEARCH("/",Table151831[[#This Row],[CONCERN.UNIQUEPATH]])),SEARCH("/",Table151831[[#This Row],[CONCERN.UNIQUEPATH]])+1,1),255))</f>
        <v>Prerequisites: Endorsements: CAB: C&amp;A</v>
      </c>
      <c r="G7" t="s">
        <v>3376</v>
      </c>
    </row>
    <row r="8" spans="1:12">
      <c r="B8" t="s">
        <v>2103</v>
      </c>
      <c r="C8" t="s">
        <v>3377</v>
      </c>
      <c r="D8" t="s">
        <v>3378</v>
      </c>
      <c r="E8" t="str">
        <f xml:space="preserve"> CONCATENATE( MID(Table151831[[#This Row],[PHASE]],2,3), MID(Table151831[[#This Row],[DELIVERABLE]],2,4), TRIM(SUBSTITUTE(MID(Table151831[[#This Row],[CONCERN.ID]],2,20),"X","") )  )</f>
        <v>276.31</v>
      </c>
      <c r="F8" t="str">
        <f>TRIM(MID(Table151831[[#This Row],[CONCERN.UNIQUEPATH]], IF( ISNUMBER( SEARCH("/",Table151831[[#This Row],[CONCERN.UNIQUEPATH]])),SEARCH("/",Table151831[[#This Row],[CONCERN.UNIQUEPATH]])+1,1),255))</f>
        <v>Prerequisites: ATO</v>
      </c>
      <c r="G8" t="s">
        <v>3379</v>
      </c>
    </row>
    <row r="9" spans="1:12">
      <c r="B9" t="s">
        <v>3380</v>
      </c>
      <c r="C9" t="s">
        <v>3108</v>
      </c>
      <c r="D9" t="s">
        <v>3381</v>
      </c>
      <c r="E9" t="str">
        <f xml:space="preserve"> CONCATENATE( MID(Table151831[[#This Row],[PHASE]],2,3), MID(Table151831[[#This Row],[DELIVERABLE]],2,4), TRIM(SUBSTITUTE(MID(Table151831[[#This Row],[CONCERN.ID]],2,20),"X","") )  )</f>
        <v>083.04</v>
      </c>
      <c r="F9" t="str">
        <f>TRIM(MID(Table151831[[#This Row],[CONCERN.UNIQUEPATH]], IF( ISNUMBER( SEARCH("/",Table151831[[#This Row],[CONCERN.UNIQUEPATH]])),SEARCH("/",Table151831[[#This Row],[CONCERN.UNIQUEPATH]])+1,1),255))</f>
        <v>Prerequisites: Endorsements: CAB: Monitoring Services</v>
      </c>
      <c r="G9" t="s">
        <v>3382</v>
      </c>
    </row>
    <row r="10" spans="1:12">
      <c r="B10" t="s">
        <v>3380</v>
      </c>
      <c r="C10" t="s">
        <v>3383</v>
      </c>
      <c r="D10" t="s">
        <v>3384</v>
      </c>
      <c r="E10" t="str">
        <f xml:space="preserve"> CONCATENATE( MID(Table151831[[#This Row],[PHASE]],2,3), MID(Table151831[[#This Row],[DELIVERABLE]],2,4), TRIM(SUBSTITUTE(MID(Table151831[[#This Row],[CONCERN.ID]],2,20),"X","") )  )</f>
        <v>083.35</v>
      </c>
      <c r="F10" t="str">
        <f>TRIM(MID(Table151831[[#This Row],[CONCERN.UNIQUEPATH]], IF( ISNUMBER( SEARCH("/",Table151831[[#This Row],[CONCERN.UNIQUEPATH]])),SEARCH("/",Table151831[[#This Row],[CONCERN.UNIQUEPATH]])+1,1),255))</f>
        <v>Prerequisites: Endorsements: CAB: Maintenance Services</v>
      </c>
      <c r="G10" t="s">
        <v>3385</v>
      </c>
    </row>
    <row r="11" spans="1:12">
      <c r="A11" t="s">
        <v>1992</v>
      </c>
      <c r="B11" t="s">
        <v>2103</v>
      </c>
      <c r="C11" t="s">
        <v>3386</v>
      </c>
      <c r="D11" t="s">
        <v>3387</v>
      </c>
      <c r="E11" t="str">
        <f xml:space="preserve"> CONCATENATE( MID(Table151831[[#This Row],[PHASE]],2,3), MID(Table151831[[#This Row],[DELIVERABLE]],2,4), TRIM(SUBSTITUTE(MID(Table151831[[#This Row],[CONCERN.ID]],2,20),"X","") )  )</f>
        <v>15.276.32</v>
      </c>
      <c r="F11" t="str">
        <f>TRIM(MID(Table151831[[#This Row],[CONCERN.UNIQUEPATH]], IF( ISNUMBER( SEARCH("/",Table151831[[#This Row],[CONCERN.UNIQUEPATH]])),SEARCH("/",Table151831[[#This Row],[CONCERN.UNIQUEPATH]])+1,1),255))</f>
        <v>Prerequisites: Endorsements: CAB</v>
      </c>
      <c r="G11" t="s">
        <v>3388</v>
      </c>
    </row>
    <row r="12" spans="1:12">
      <c r="B12" t="s">
        <v>2172</v>
      </c>
      <c r="C12" t="s">
        <v>3389</v>
      </c>
      <c r="D12" t="s">
        <v>3390</v>
      </c>
      <c r="E12" t="str">
        <f xml:space="preserve"> CONCATENATE( MID(Table151831[[#This Row],[PHASE]],2,3), MID(Table151831[[#This Row],[DELIVERABLE]],2,4), TRIM(SUBSTITUTE(MID(Table151831[[#This Row],[CONCERN.ID]],2,20),"X","") )  )</f>
        <v>384.35.1</v>
      </c>
      <c r="F12" t="str">
        <f>TRIM(MID(Table151831[[#This Row],[CONCERN.UNIQUEPATH]], IF( ISNUMBER( SEARCH("/",Table151831[[#This Row],[CONCERN.UNIQUEPATH]])),SEARCH("/",Table151831[[#This Row],[CONCERN.UNIQUEPATH]])+1,1),255))</f>
        <v>Prerequisites: Endorsements: Maintenance Services: SOP</v>
      </c>
      <c r="G12" t="s">
        <v>3391</v>
      </c>
    </row>
    <row r="13" spans="1:12">
      <c r="B13" t="s">
        <v>2179</v>
      </c>
      <c r="C13" t="s">
        <v>3392</v>
      </c>
      <c r="D13" t="s">
        <v>3393</v>
      </c>
      <c r="E13" t="str">
        <f xml:space="preserve"> CONCATENATE( MID(Table151831[[#This Row],[PHASE]],2,3), MID(Table151831[[#This Row],[DELIVERABLE]],2,4), TRIM(SUBSTITUTE(MID(Table151831[[#This Row],[CONCERN.ID]],2,20),"X","") )  )</f>
        <v>391.34.1</v>
      </c>
      <c r="F13" t="str">
        <f>TRIM(MID(Table151831[[#This Row],[CONCERN.UNIQUEPATH]], IF( ISNUMBER( SEARCH("/",Table151831[[#This Row],[CONCERN.UNIQUEPATH]])),SEARCH("/",Table151831[[#This Row],[CONCERN.UNIQUEPATH]])+1,1),255))</f>
        <v>Prerequisites: Prerequisites: Monitoring Services: Manual</v>
      </c>
      <c r="G13" t="s">
        <v>3394</v>
      </c>
    </row>
  </sheetData>
  <dataValidations count="4">
    <dataValidation type="list" allowBlank="1" showInputMessage="1" showErrorMessage="1" sqref="L3:L13" xr:uid="{3402E45C-D10C-4DA4-82F4-8D6EE649D3F0}">
      <formula1>TBL_Type</formula1>
    </dataValidation>
    <dataValidation type="list" allowBlank="1" showInputMessage="1" showErrorMessage="1" sqref="J3:K13" xr:uid="{32BFA0A0-486D-4586-8EAC-B359A17451B3}">
      <formula1>TBL_Stakeholders</formula1>
    </dataValidation>
    <dataValidation type="list" allowBlank="1" showInputMessage="1" showErrorMessage="1" sqref="B3:B13" xr:uid="{18B5F754-C401-4488-B57B-01DC27C83BEE}">
      <formula1>TBL_Deliverables</formula1>
    </dataValidation>
    <dataValidation type="list" allowBlank="1" showInputMessage="1" showErrorMessage="1" sqref="A3:A13" xr:uid="{4FC92EB0-68D2-42DB-9A24-94F66B162D4C}">
      <formula1>TBL_Phase</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7FE2D-99FD-4F77-8B2D-75DCD08615DE}">
  <sheetPr codeName="Sheet9">
    <tabColor theme="8" tint="0.39997558519241921"/>
  </sheetPr>
  <dimension ref="A1:L12"/>
  <sheetViews>
    <sheetView workbookViewId="0">
      <selection activeCell="D24" sqref="D24"/>
    </sheetView>
  </sheetViews>
  <sheetFormatPr defaultRowHeight="14.5"/>
  <cols>
    <col min="1" max="1" width="20.453125" customWidth="1"/>
    <col min="2" max="2" width="17.54296875" bestFit="1" customWidth="1"/>
    <col min="3" max="3" width="13.81640625" bestFit="1" customWidth="1"/>
    <col min="4" max="4" width="58.1796875" bestFit="1" customWidth="1"/>
    <col min="5" max="5" width="30.54296875" customWidth="1"/>
    <col min="6" max="6" width="83.1796875" customWidth="1"/>
    <col min="7" max="7" width="14.1796875" customWidth="1"/>
    <col min="8" max="8" width="13.453125" bestFit="1" customWidth="1"/>
    <col min="9" max="9" width="13.453125" customWidth="1"/>
  </cols>
  <sheetData>
    <row r="1" spans="1:12">
      <c r="A1" t="s">
        <v>3364</v>
      </c>
      <c r="B1">
        <v>71</v>
      </c>
    </row>
    <row r="2" spans="1:12">
      <c r="A2" t="s">
        <v>3091</v>
      </c>
      <c r="B2" t="s">
        <v>3092</v>
      </c>
      <c r="C2" t="s">
        <v>3093</v>
      </c>
      <c r="D2" t="s">
        <v>3095</v>
      </c>
      <c r="E2" t="s">
        <v>3094</v>
      </c>
      <c r="F2" t="s">
        <v>3096</v>
      </c>
      <c r="G2" t="s">
        <v>2286</v>
      </c>
      <c r="H2" t="s">
        <v>3097</v>
      </c>
      <c r="I2" t="s">
        <v>3098</v>
      </c>
      <c r="J2" t="s">
        <v>3099</v>
      </c>
      <c r="K2" t="s">
        <v>3100</v>
      </c>
      <c r="L2" t="s">
        <v>1922</v>
      </c>
    </row>
    <row r="3" spans="1:12">
      <c r="A3" t="s">
        <v>1965</v>
      </c>
      <c r="B3" t="s">
        <v>2154</v>
      </c>
      <c r="C3" t="s">
        <v>3366</v>
      </c>
      <c r="D3" t="s">
        <v>3395</v>
      </c>
      <c r="E3" t="str">
        <f xml:space="preserve"> CONCATENATE( MID(Table151822[[#This Row],[PHASE]],2,3), MID(Table151822[[#This Row],[DELIVERABLE]],2,4), TRIM(SUBSTITUTE(MID(Table151822[[#This Row],[CONCERN.ID]],2,20),"X","") )  )</f>
        <v>07.361.01</v>
      </c>
      <c r="F3" t="str">
        <f>TRIM(MID(Table151822[[#This Row],[CONCERN.UNIQUEPATH]], IF( ISNUMBER( SEARCH("/",Table151822[[#This Row],[CONCERN.UNIQUEPATH]])),SEARCH("/",Table151822[[#This Row],[CONCERN.UNIQUEPATH]])+1,1),255))</f>
        <v>Constraints: SMART</v>
      </c>
      <c r="G3" t="s">
        <v>3396</v>
      </c>
      <c r="J3" t="s">
        <v>2066</v>
      </c>
      <c r="K3" s="9" t="s">
        <v>2082</v>
      </c>
    </row>
    <row r="4" spans="1:12">
      <c r="A4" t="s">
        <v>1965</v>
      </c>
      <c r="B4" t="s">
        <v>2154</v>
      </c>
      <c r="C4" t="s">
        <v>3105</v>
      </c>
      <c r="D4" t="s">
        <v>3397</v>
      </c>
      <c r="E4" t="str">
        <f xml:space="preserve"> CONCATENATE( MID(Table151822[[#This Row],[PHASE]],2,3), MID(Table151822[[#This Row],[DELIVERABLE]],2,4), TRIM(SUBSTITUTE(MID(Table151822[[#This Row],[CONCERN.ID]],2,20),"X","") )  )</f>
        <v>07.361.02</v>
      </c>
      <c r="F4" t="str">
        <f>TRIM(MID(Table151822[[#This Row],[CONCERN.UNIQUEPATH]], IF( ISNUMBER( SEARCH("/",Table151822[[#This Row],[CONCERN.UNIQUEPATH]])),SEARCH("/",Table151822[[#This Row],[CONCERN.UNIQUEPATH]])+1,1),255))</f>
        <v>Constraints: Qualified Use Story Desire Format</v>
      </c>
      <c r="G4" t="s">
        <v>3398</v>
      </c>
      <c r="J4" t="s">
        <v>2066</v>
      </c>
      <c r="K4" s="9" t="s">
        <v>2060</v>
      </c>
    </row>
    <row r="5" spans="1:12">
      <c r="A5" t="s">
        <v>1965</v>
      </c>
      <c r="B5" t="s">
        <v>2154</v>
      </c>
      <c r="C5" t="s">
        <v>3399</v>
      </c>
      <c r="D5" t="s">
        <v>3400</v>
      </c>
      <c r="E5" t="str">
        <f xml:space="preserve"> CONCATENATE( MID(Table151822[[#This Row],[PHASE]],2,3), MID(Table151822[[#This Row],[DELIVERABLE]],2,4), TRIM(SUBSTITUTE(MID(Table151822[[#This Row],[CONCERN.ID]],2,20),"X","") )  )</f>
        <v>07.361.03</v>
      </c>
      <c r="F5" t="str">
        <f>TRIM(MID(Table151822[[#This Row],[CONCERN.UNIQUEPATH]], IF( ISNUMBER( SEARCH("/",Table151822[[#This Row],[CONCERN.UNIQUEPATH]])),SEARCH("/",Table151822[[#This Row],[CONCERN.UNIQUEPATH]])+1,1),255))</f>
        <v>Constraints: ISO Qualified</v>
      </c>
      <c r="G5" t="s">
        <v>3401</v>
      </c>
      <c r="J5" t="s">
        <v>2066</v>
      </c>
      <c r="K5" s="9" t="s">
        <v>2060</v>
      </c>
    </row>
    <row r="6" spans="1:12">
      <c r="A6" t="s">
        <v>1965</v>
      </c>
      <c r="B6" t="s">
        <v>2154</v>
      </c>
      <c r="C6" t="s">
        <v>3108</v>
      </c>
      <c r="D6" t="s">
        <v>3402</v>
      </c>
      <c r="E6" t="str">
        <f xml:space="preserve"> CONCATENATE( MID(Table151822[[#This Row],[PHASE]],2,3), MID(Table151822[[#This Row],[DELIVERABLE]],2,4), TRIM(SUBSTITUTE(MID(Table151822[[#This Row],[CONCERN.ID]],2,20),"X","") )  )</f>
        <v>07.361.04</v>
      </c>
      <c r="F6" t="str">
        <f>TRIM(MID(Table151822[[#This Row],[CONCERN.UNIQUEPATH]], IF( ISNUMBER( SEARCH("/",Table151822[[#This Row],[CONCERN.UNIQUEPATH]])),SEARCH("/",Table151822[[#This Row],[CONCERN.UNIQUEPATH]])+1,1),255))</f>
        <v>Constraints: Conditions &amp; Constraints</v>
      </c>
      <c r="G6" t="s">
        <v>3403</v>
      </c>
      <c r="J6" t="s">
        <v>2066</v>
      </c>
      <c r="K6" s="9" t="s">
        <v>2060</v>
      </c>
    </row>
    <row r="7" spans="1:12">
      <c r="A7" t="s">
        <v>1965</v>
      </c>
      <c r="B7" t="s">
        <v>2154</v>
      </c>
      <c r="C7" t="s">
        <v>3111</v>
      </c>
      <c r="D7" t="s">
        <v>3404</v>
      </c>
      <c r="E7" t="str">
        <f xml:space="preserve"> CONCATENATE( MID(Table151822[[#This Row],[PHASE]],2,3), MID(Table151822[[#This Row],[DELIVERABLE]],2,4), TRIM(SUBSTITUTE(MID(Table151822[[#This Row],[CONCERN.ID]],2,20),"X","") )  )</f>
        <v>07.361.05</v>
      </c>
      <c r="F7" t="str">
        <f>TRIM(MID(Table151822[[#This Row],[CONCERN.UNIQUEPATH]], IF( ISNUMBER( SEARCH("/",Table151822[[#This Row],[CONCERN.UNIQUEPATH]])),SEARCH("/",Table151822[[#This Row],[CONCERN.UNIQUEPATH]])+1,1),255))</f>
        <v>Constraints: Avoid SHALL &amp; WILL</v>
      </c>
      <c r="G7" t="s">
        <v>3405</v>
      </c>
      <c r="J7" t="s">
        <v>2066</v>
      </c>
      <c r="K7" s="9" t="s">
        <v>2060</v>
      </c>
    </row>
    <row r="8" spans="1:12">
      <c r="A8" t="s">
        <v>1965</v>
      </c>
      <c r="B8" t="s">
        <v>2154</v>
      </c>
      <c r="C8" t="s">
        <v>3114</v>
      </c>
      <c r="D8" t="s">
        <v>3406</v>
      </c>
      <c r="E8" t="str">
        <f xml:space="preserve"> CONCATENATE( MID(Table151822[[#This Row],[PHASE]],2,3), MID(Table151822[[#This Row],[DELIVERABLE]],2,4), TRIM(SUBSTITUTE(MID(Table151822[[#This Row],[CONCERN.ID]],2,20),"X","") )  )</f>
        <v>07.361.06</v>
      </c>
      <c r="F8" t="str">
        <f>TRIM(MID(Table151822[[#This Row],[CONCERN.UNIQUEPATH]], IF( ISNUMBER( SEARCH("/",Table151822[[#This Row],[CONCERN.UNIQUEPATH]])),SEARCH("/",Table151822[[#This Row],[CONCERN.UNIQUEPATH]])+1,1),255))</f>
        <v>Constraints: Avoid ALL</v>
      </c>
      <c r="G8" t="s">
        <v>3407</v>
      </c>
      <c r="J8" t="s">
        <v>2066</v>
      </c>
      <c r="K8" s="9" t="s">
        <v>2060</v>
      </c>
    </row>
    <row r="9" spans="1:12">
      <c r="A9" t="s">
        <v>1965</v>
      </c>
      <c r="B9" t="s">
        <v>2154</v>
      </c>
      <c r="C9" t="s">
        <v>3408</v>
      </c>
      <c r="D9" t="s">
        <v>3409</v>
      </c>
      <c r="E9" t="str">
        <f xml:space="preserve"> CONCATENATE( MID(Table151822[[#This Row],[PHASE]],2,3), MID(Table151822[[#This Row],[DELIVERABLE]],2,4), TRIM(SUBSTITUTE(MID(Table151822[[#This Row],[CONCERN.ID]],2,20),"X","") )  )</f>
        <v>07.361.07</v>
      </c>
      <c r="F9" t="str">
        <f>TRIM(MID(Table151822[[#This Row],[CONCERN.UNIQUEPATH]], IF( ISNUMBER( SEARCH("/",Table151822[[#This Row],[CONCERN.UNIQUEPATH]])),SEARCH("/",Table151822[[#This Row],[CONCERN.UNIQUEPATH]])+1,1),255))</f>
        <v>Constraints: Primary User Tasks are Tests Definitions</v>
      </c>
      <c r="G9" t="s">
        <v>3410</v>
      </c>
      <c r="J9" t="s">
        <v>2084</v>
      </c>
      <c r="K9" s="9" t="s">
        <v>2082</v>
      </c>
    </row>
    <row r="10" spans="1:12">
      <c r="A10" t="s">
        <v>1965</v>
      </c>
      <c r="B10" t="s">
        <v>2154</v>
      </c>
      <c r="C10" t="s">
        <v>3411</v>
      </c>
      <c r="D10" t="s">
        <v>3412</v>
      </c>
      <c r="E10" t="str">
        <f xml:space="preserve"> CONCATENATE( MID(Table151822[[#This Row],[PHASE]],2,3), MID(Table151822[[#This Row],[DELIVERABLE]],2,4), TRIM(SUBSTITUTE(MID(Table151822[[#This Row],[CONCERN.ID]],2,20),"X","") )  )</f>
        <v>07.361.08</v>
      </c>
      <c r="F10" t="str">
        <f>TRIM(MID(Table151822[[#This Row],[CONCERN.UNIQUEPATH]], IF( ISNUMBER( SEARCH("/",Table151822[[#This Row],[CONCERN.UNIQUEPATH]])),SEARCH("/",Table151822[[#This Row],[CONCERN.UNIQUEPATH]])+1,1),255))</f>
        <v>Constraints: Secondary User Tasks are Development Tasks</v>
      </c>
      <c r="G10" t="s">
        <v>3413</v>
      </c>
      <c r="J10" t="s">
        <v>2126</v>
      </c>
      <c r="K10" s="9" t="s">
        <v>2082</v>
      </c>
    </row>
    <row r="11" spans="1:12">
      <c r="A11" t="s">
        <v>1965</v>
      </c>
      <c r="B11" t="s">
        <v>2154</v>
      </c>
      <c r="C11" t="s">
        <v>3414</v>
      </c>
      <c r="D11" t="s">
        <v>3415</v>
      </c>
      <c r="E11" t="str">
        <f xml:space="preserve"> CONCATENATE( MID(Table151822[[#This Row],[PHASE]],2,3), MID(Table151822[[#This Row],[DELIVERABLE]],2,4), TRIM(SUBSTITUTE(MID(Table151822[[#This Row],[CONCERN.ID]],2,20),"X","") )  )</f>
        <v>07.361.09</v>
      </c>
      <c r="F11" t="str">
        <f>TRIM(MID(Table151822[[#This Row],[CONCERN.UNIQUEPATH]], IF( ISNUMBER( SEARCH("/",Table151822[[#This Row],[CONCERN.UNIQUEPATH]])),SEARCH("/",Table151822[[#This Row],[CONCERN.UNIQUEPATH]])+1,1),255))</f>
        <v>Constraints: Size Tasks Before Development</v>
      </c>
      <c r="G11" t="s">
        <v>3416</v>
      </c>
      <c r="J11" t="s">
        <v>2126</v>
      </c>
      <c r="K11" s="9" t="s">
        <v>2082</v>
      </c>
    </row>
    <row r="12" spans="1:12">
      <c r="A12" t="s">
        <v>1965</v>
      </c>
      <c r="B12" t="s">
        <v>2154</v>
      </c>
      <c r="C12" t="s">
        <v>3417</v>
      </c>
      <c r="D12" t="s">
        <v>3418</v>
      </c>
      <c r="E12" t="str">
        <f xml:space="preserve"> CONCATENATE( MID(Table151822[[#This Row],[PHASE]],2,3), MID(Table151822[[#This Row],[DELIVERABLE]],2,4), TRIM(SUBSTITUTE(MID(Table151822[[#This Row],[CONCERN.ID]],2,20),"X","") )  )</f>
        <v>07.361.10</v>
      </c>
      <c r="F12" t="str">
        <f>TRIM(MID(Table151822[[#This Row],[CONCERN.UNIQUEPATH]], IF( ISNUMBER( SEARCH("/",Table151822[[#This Row],[CONCERN.UNIQUEPATH]])),SEARCH("/",Table151822[[#This Row],[CONCERN.UNIQUEPATH]])+1,1),255))</f>
        <v>Constraints: All Stakeholders, Full Lifecycle</v>
      </c>
      <c r="G12" t="s">
        <v>3419</v>
      </c>
      <c r="J12" t="s">
        <v>2066</v>
      </c>
      <c r="K12" s="9" t="s">
        <v>1933</v>
      </c>
    </row>
  </sheetData>
  <dataValidations count="4">
    <dataValidation type="list" allowBlank="1" showInputMessage="1" showErrorMessage="1" sqref="L3:L12" xr:uid="{1F02F12A-F98F-4C4C-80D8-6FE7E63A6941}">
      <formula1>TBL_Type</formula1>
    </dataValidation>
    <dataValidation type="list" allowBlank="1" showInputMessage="1" showErrorMessage="1" sqref="J3:K12" xr:uid="{409307AE-2B00-4670-8F74-719A0914DA36}">
      <formula1>TBL_Stakeholders</formula1>
    </dataValidation>
    <dataValidation type="list" allowBlank="1" showInputMessage="1" showErrorMessage="1" sqref="A3:A12" xr:uid="{A71BF59B-A72B-4C8B-92B8-4E5DD720C559}">
      <formula1>TBL_Phase</formula1>
    </dataValidation>
    <dataValidation type="list" allowBlank="1" showInputMessage="1" showErrorMessage="1" sqref="B3:B12" xr:uid="{A12C491B-008F-46D6-9CD1-B0CC2A4D0230}">
      <formula1>TBL_Deliverables</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3989-C12B-4A45-8CEB-858A8BD6F219}">
  <sheetPr codeName="Sheet13">
    <tabColor theme="8" tint="0.39997558519241921"/>
  </sheetPr>
  <dimension ref="A1:L11"/>
  <sheetViews>
    <sheetView workbookViewId="0">
      <selection activeCell="C12" sqref="C12"/>
    </sheetView>
  </sheetViews>
  <sheetFormatPr defaultRowHeight="14.5"/>
  <cols>
    <col min="1" max="1" width="12.1796875" bestFit="1" customWidth="1"/>
    <col min="2" max="2" width="42.453125" bestFit="1" customWidth="1"/>
    <col min="3" max="3" width="13.54296875" bestFit="1" customWidth="1"/>
    <col min="4" max="4" width="34.26953125" bestFit="1" customWidth="1"/>
    <col min="5" max="5" width="13.81640625" customWidth="1"/>
    <col min="6" max="6" width="11" bestFit="1" customWidth="1"/>
    <col min="7" max="7" width="170.26953125" bestFit="1" customWidth="1"/>
    <col min="8" max="8" width="14.1796875" customWidth="1"/>
    <col min="9" max="9" width="13.453125" bestFit="1" customWidth="1"/>
  </cols>
  <sheetData>
    <row r="1" spans="1:12">
      <c r="A1" t="s">
        <v>3091</v>
      </c>
      <c r="B1" t="s">
        <v>3092</v>
      </c>
      <c r="C1" t="s">
        <v>3093</v>
      </c>
      <c r="D1" t="s">
        <v>3095</v>
      </c>
      <c r="E1" t="s">
        <v>3094</v>
      </c>
      <c r="F1" t="s">
        <v>3096</v>
      </c>
      <c r="G1" t="s">
        <v>2286</v>
      </c>
      <c r="H1" t="s">
        <v>3097</v>
      </c>
      <c r="I1" t="s">
        <v>3098</v>
      </c>
      <c r="J1" t="s">
        <v>3099</v>
      </c>
      <c r="K1" t="s">
        <v>3100</v>
      </c>
      <c r="L1" t="s">
        <v>1922</v>
      </c>
    </row>
    <row r="2" spans="1:12">
      <c r="A2" t="s">
        <v>1992</v>
      </c>
      <c r="B2" t="s">
        <v>2223</v>
      </c>
      <c r="C2" t="s">
        <v>3366</v>
      </c>
      <c r="D2" t="s">
        <v>3420</v>
      </c>
      <c r="E2" t="str">
        <f xml:space="preserve"> CONCATENATE( MID(Table151824[[#This Row],[PHASE]],2,3), MID(Table151824[[#This Row],[DELIVERABLE]],2,4), TRIM(SUBSTITUTE(MID(Table151824[[#This Row],[CONCERN.ID]],2,20),"X","") )  )</f>
        <v>15.427.01</v>
      </c>
      <c r="F2" t="str">
        <f>TRIM(MID(Table151824[[#This Row],[CONCERN.UNIQUEPATH]], IF( ISNUMBER( SEARCH("/",Table151824[[#This Row],[CONCERN.UNIQUEPATH]])),SEARCH("/",Table151824[[#This Row],[CONCERN.UNIQUEPATH]])+1,1),255))</f>
        <v>Delivery: Automated</v>
      </c>
      <c r="G2" t="s">
        <v>3421</v>
      </c>
    </row>
    <row r="3" spans="1:12">
      <c r="A3" t="s">
        <v>1992</v>
      </c>
      <c r="B3" t="s">
        <v>2223</v>
      </c>
      <c r="C3" t="s">
        <v>3105</v>
      </c>
      <c r="D3" t="s">
        <v>3422</v>
      </c>
      <c r="E3" t="str">
        <f xml:space="preserve"> CONCATENATE( MID(Table151824[[#This Row],[PHASE]],2,3), MID(Table151824[[#This Row],[DELIVERABLE]],2,4), TRIM(SUBSTITUTE(MID(Table151824[[#This Row],[CONCERN.ID]],2,20),"X","") )  )</f>
        <v>15.427.02</v>
      </c>
      <c r="F3" t="str">
        <f>TRIM(MID(Table151824[[#This Row],[CONCERN.UNIQUEPATH]], IF( ISNUMBER( SEARCH("/",Table151824[[#This Row],[CONCERN.UNIQUEPATH]])),SEARCH("/",Table151824[[#This Row],[CONCERN.UNIQUEPATH]])+1,1),255))</f>
        <v>Delivery: Idempotent</v>
      </c>
      <c r="G3" t="s">
        <v>3423</v>
      </c>
    </row>
    <row r="4" spans="1:12">
      <c r="A4" t="s">
        <v>1992</v>
      </c>
      <c r="B4" t="s">
        <v>2222</v>
      </c>
      <c r="C4" t="s">
        <v>3399</v>
      </c>
      <c r="D4" t="s">
        <v>3424</v>
      </c>
      <c r="E4" t="str">
        <f xml:space="preserve"> CONCATENATE( MID(Table151824[[#This Row],[PHASE]],2,3), MID(Table151824[[#This Row],[DELIVERABLE]],2,4), TRIM(SUBSTITUTE(MID(Table151824[[#This Row],[CONCERN.ID]],2,20),"X","") )  )</f>
        <v>15.426.03</v>
      </c>
      <c r="F4" t="str">
        <f>TRIM(MID(Table151824[[#This Row],[CONCERN.UNIQUEPATH]], IF( ISNUMBER( SEARCH("/",Table151824[[#This Row],[CONCERN.UNIQUEPATH]])),SEARCH("/",Table151824[[#This Row],[CONCERN.UNIQUEPATH]])+1,1),255))</f>
        <v>Delivery: Store Credentials Securely</v>
      </c>
      <c r="G4" t="s">
        <v>3425</v>
      </c>
    </row>
    <row r="5" spans="1:12">
      <c r="A5" t="s">
        <v>1992</v>
      </c>
      <c r="B5" t="s">
        <v>2225</v>
      </c>
      <c r="C5" t="s">
        <v>3426</v>
      </c>
      <c r="D5" t="s">
        <v>3427</v>
      </c>
      <c r="E5" t="str">
        <f xml:space="preserve"> CONCATENATE( MID(Table151824[[#This Row],[PHASE]],2,3), MID(Table151824[[#This Row],[DELIVERABLE]],2,4), TRIM(SUBSTITUTE(MID(Table151824[[#This Row],[CONCERN.ID]],2,20),"X","") )  )</f>
        <v>15.429.11</v>
      </c>
      <c r="F5" t="str">
        <f>TRIM(MID(Table151824[[#This Row],[CONCERN.UNIQUEPATH]], IF( ISNUMBER( SEARCH("/",Table151824[[#This Row],[CONCERN.UNIQUEPATH]])),SEARCH("/",Table151824[[#This Row],[CONCERN.UNIQUEPATH]])+1,1),255))</f>
        <v>Delivery: Infrastructure Creation</v>
      </c>
      <c r="G5" t="s">
        <v>3428</v>
      </c>
    </row>
    <row r="6" spans="1:12">
      <c r="A6" t="s">
        <v>1992</v>
      </c>
      <c r="B6" t="s">
        <v>2229</v>
      </c>
      <c r="C6" t="s">
        <v>3377</v>
      </c>
      <c r="D6" t="s">
        <v>3429</v>
      </c>
      <c r="E6" t="str">
        <f xml:space="preserve"> CONCATENATE( MID(Table151824[[#This Row],[PHASE]],2,3), MID(Table151824[[#This Row],[DELIVERABLE]],2,4), TRIM(SUBSTITUTE(MID(Table151824[[#This Row],[CONCERN.ID]],2,20),"X","") )  )</f>
        <v>15.433.31</v>
      </c>
      <c r="F6" t="str">
        <f>TRIM(MID(Table151824[[#This Row],[CONCERN.UNIQUEPATH]], IF( ISNUMBER( SEARCH("/",Table151824[[#This Row],[CONCERN.UNIQUEPATH]])),SEARCH("/",Table151824[[#This Row],[CONCERN.UNIQUEPATH]])+1,1),255))</f>
        <v>Delivery: Configure via Secure Storage</v>
      </c>
      <c r="G6" t="s">
        <v>3430</v>
      </c>
    </row>
    <row r="7" spans="1:12">
      <c r="A7" t="s">
        <v>1992</v>
      </c>
      <c r="B7" t="s">
        <v>2229</v>
      </c>
      <c r="C7" t="s">
        <v>3386</v>
      </c>
      <c r="D7" t="s">
        <v>3431</v>
      </c>
      <c r="E7" t="str">
        <f xml:space="preserve"> CONCATENATE( MID(Table151824[[#This Row],[PHASE]],2,3), MID(Table151824[[#This Row],[DELIVERABLE]],2,4), TRIM(SUBSTITUTE(MID(Table151824[[#This Row],[CONCERN.ID]],2,20),"X","") )  )</f>
        <v>15.433.32</v>
      </c>
      <c r="F7" t="str">
        <f>TRIM(MID(Table151824[[#This Row],[CONCERN.UNIQUEPATH]], IF( ISNUMBER( SEARCH("/",Table151824[[#This Row],[CONCERN.UNIQUEPATH]])),SEARCH("/",Table151824[[#This Row],[CONCERN.UNIQUEPATH]])+1,1),255))</f>
        <v>Delivery: Configure via Secure Storage II</v>
      </c>
      <c r="G7" t="s">
        <v>3432</v>
      </c>
    </row>
    <row r="8" spans="1:12">
      <c r="A8" t="s">
        <v>1992</v>
      </c>
      <c r="B8" t="s">
        <v>2232</v>
      </c>
      <c r="C8" t="s">
        <v>3433</v>
      </c>
      <c r="D8" t="s">
        <v>3434</v>
      </c>
      <c r="E8" t="str">
        <f xml:space="preserve"> CONCATENATE( MID(Table151824[[#This Row],[PHASE]],2,3), MID(Table151824[[#This Row],[DELIVERABLE]],2,4), TRIM(SUBSTITUTE(MID(Table151824[[#This Row],[CONCERN.ID]],2,20),"X","") )  )</f>
        <v>15.436.41</v>
      </c>
      <c r="F8" t="str">
        <f>TRIM(MID(Table151824[[#This Row],[CONCERN.UNIQUEPATH]], IF( ISNUMBER( SEARCH("/",Table151824[[#This Row],[CONCERN.UNIQUEPATH]])),SEARCH("/",Table151824[[#This Row],[CONCERN.UNIQUEPATH]])+1,1),255))</f>
        <v>Delivery: Automated Testing: Static</v>
      </c>
      <c r="G8" t="s">
        <v>3435</v>
      </c>
    </row>
    <row r="9" spans="1:12">
      <c r="A9" t="s">
        <v>1992</v>
      </c>
      <c r="B9" t="s">
        <v>2233</v>
      </c>
      <c r="C9" t="s">
        <v>3436</v>
      </c>
      <c r="D9" t="s">
        <v>3437</v>
      </c>
      <c r="E9" t="str">
        <f xml:space="preserve"> CONCATENATE( MID(Table151824[[#This Row],[PHASE]],2,3), MID(Table151824[[#This Row],[DELIVERABLE]],2,4), TRIM(SUBSTITUTE(MID(Table151824[[#This Row],[CONCERN.ID]],2,20),"X","") )  )</f>
        <v>15.437.42</v>
      </c>
      <c r="F9" t="str">
        <f>TRIM(MID(Table151824[[#This Row],[CONCERN.UNIQUEPATH]], IF( ISNUMBER( SEARCH("/",Table151824[[#This Row],[CONCERN.UNIQUEPATH]])),SEARCH("/",Table151824[[#This Row],[CONCERN.UNIQUEPATH]])+1,1),255))</f>
        <v>Delivery: Automated Testing: Dynamic</v>
      </c>
      <c r="G9" t="s">
        <v>3438</v>
      </c>
    </row>
    <row r="10" spans="1:12">
      <c r="A10" t="s">
        <v>1992</v>
      </c>
      <c r="B10" t="s">
        <v>2230</v>
      </c>
      <c r="C10" t="s">
        <v>3439</v>
      </c>
      <c r="D10" t="s">
        <v>3440</v>
      </c>
      <c r="E10" t="str">
        <f xml:space="preserve"> CONCATENATE( MID(Table151824[[#This Row],[PHASE]],2,3), MID(Table151824[[#This Row],[DELIVERABLE]],2,4), TRIM(SUBSTITUTE(MID(Table151824[[#This Row],[CONCERN.ID]],2,20),"X","") )  )</f>
        <v>15.434.51</v>
      </c>
      <c r="F10" t="str">
        <f>TRIM(MID(Table151824[[#This Row],[CONCERN.UNIQUEPATH]], IF( ISNUMBER( SEARCH("/",Table151824[[#This Row],[CONCERN.UNIQUEPATH]])),SEARCH("/",Table151824[[#This Row],[CONCERN.UNIQUEPATH]])+1,1),255))</f>
        <v>Delivery: Automated DB Backup Restoration</v>
      </c>
      <c r="G10" t="s">
        <v>3441</v>
      </c>
    </row>
    <row r="11" spans="1:12">
      <c r="A11" t="s">
        <v>1992</v>
      </c>
      <c r="B11" t="s">
        <v>2231</v>
      </c>
      <c r="C11" t="s">
        <v>3442</v>
      </c>
      <c r="D11" t="s">
        <v>3443</v>
      </c>
      <c r="E11" t="str">
        <f xml:space="preserve"> CONCATENATE( MID(Table151824[[#This Row],[PHASE]],2,3), MID(Table151824[[#This Row],[DELIVERABLE]],2,4), TRIM(SUBSTITUTE(MID(Table151824[[#This Row],[CONCERN.ID]],2,20),"X","") )  )</f>
        <v>15.435.52</v>
      </c>
      <c r="F11" t="str">
        <f>TRIM(MID(Table151824[[#This Row],[CONCERN.UNIQUEPATH]], IF( ISNUMBER( SEARCH("/",Table151824[[#This Row],[CONCERN.UNIQUEPATH]])),SEARCH("/",Table151824[[#This Row],[CONCERN.UNIQUEPATH]])+1,1),255))</f>
        <v>Delivery: Automated DB Schema Updates</v>
      </c>
      <c r="G11" t="s">
        <v>3444</v>
      </c>
    </row>
  </sheetData>
  <dataValidations count="4">
    <dataValidation type="list" allowBlank="1" showInputMessage="1" showErrorMessage="1" sqref="L2:L11" xr:uid="{5D58028A-B206-4C30-AA9F-580AA51ABD88}">
      <formula1>TBL_Type</formula1>
    </dataValidation>
    <dataValidation type="list" allowBlank="1" showInputMessage="1" showErrorMessage="1" sqref="J2:K11" xr:uid="{578409D5-4192-43D1-9766-B0B19FD7FA5E}">
      <formula1>TBL_Stakeholders</formula1>
    </dataValidation>
    <dataValidation type="list" allowBlank="1" showInputMessage="1" showErrorMessage="1" sqref="B2:B11" xr:uid="{F531A25C-28AC-4470-BE8D-F664D417673D}">
      <formula1>TBL_Deliverables</formula1>
    </dataValidation>
    <dataValidation type="list" allowBlank="1" showInputMessage="1" showErrorMessage="1" sqref="A2:A11" xr:uid="{F19329D2-A2E5-4340-97B9-3D9B350817FA}">
      <formula1>TBL_Phase</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C24C-9413-4295-BA82-3562C5F56DA9}">
  <sheetPr codeName="Sheet14">
    <tabColor theme="8" tint="0.39997558519241921"/>
  </sheetPr>
  <dimension ref="A1:M3"/>
  <sheetViews>
    <sheetView workbookViewId="0">
      <selection activeCell="D4" sqref="D4"/>
    </sheetView>
  </sheetViews>
  <sheetFormatPr defaultRowHeight="14.5"/>
  <cols>
    <col min="1" max="1" width="8.453125" customWidth="1"/>
    <col min="2" max="3" width="13.81640625" customWidth="1"/>
    <col min="4" max="4" width="13.81640625" bestFit="1" customWidth="1"/>
    <col min="5" max="6" width="13.81640625" customWidth="1"/>
    <col min="7" max="7" width="7.453125" bestFit="1" customWidth="1"/>
    <col min="8" max="8" width="13" customWidth="1"/>
    <col min="9" max="9" width="14.1796875" customWidth="1"/>
    <col min="10" max="10" width="13.453125" bestFit="1" customWidth="1"/>
  </cols>
  <sheetData>
    <row r="1" spans="1:13">
      <c r="A1" t="s">
        <v>3445</v>
      </c>
      <c r="B1">
        <v>75</v>
      </c>
    </row>
    <row r="2" spans="1:13">
      <c r="A2" t="s">
        <v>3091</v>
      </c>
      <c r="B2" t="s">
        <v>3092</v>
      </c>
      <c r="C2" t="s">
        <v>1923</v>
      </c>
      <c r="D2" t="s">
        <v>3093</v>
      </c>
      <c r="E2" t="s">
        <v>3095</v>
      </c>
      <c r="F2" t="s">
        <v>3094</v>
      </c>
      <c r="G2" t="s">
        <v>3096</v>
      </c>
      <c r="H2" t="s">
        <v>2286</v>
      </c>
      <c r="I2" t="s">
        <v>3097</v>
      </c>
      <c r="J2" t="s">
        <v>3098</v>
      </c>
      <c r="K2" t="s">
        <v>3099</v>
      </c>
      <c r="L2" t="s">
        <v>3100</v>
      </c>
      <c r="M2" t="s">
        <v>1922</v>
      </c>
    </row>
    <row r="3" spans="1:13">
      <c r="A3" t="s">
        <v>1996</v>
      </c>
      <c r="D3" t="s">
        <v>3366</v>
      </c>
      <c r="E3" t="s">
        <v>3446</v>
      </c>
      <c r="F3" t="str">
        <f xml:space="preserve"> CONCATENATE( MID(Table151825[[#This Row],[PHASE]],2,3), MID(Table151825[[#This Row],[DELIVERABLE]],2,4), TRIM(SUBSTITUTE(MID(Table151825[[#This Row],[CONCERN.ID]],2,20),"X","") )  )</f>
        <v>16.01</v>
      </c>
      <c r="G3" t="str">
        <f>TRIM(MID(Table151825[[#This Row],[CONCERN.UNIQUEPATH]], IF( ISNUMBER( SEARCH("/",Table151825[[#This Row],[CONCERN.UNIQUEPATH]])),SEARCH("/",Table151825[[#This Row],[CONCERN.UNIQUEPATH]])+1,1),255))</f>
        <v>Secure Training</v>
      </c>
    </row>
  </sheetData>
  <dataValidations count="4">
    <dataValidation type="list" allowBlank="1" showInputMessage="1" showErrorMessage="1" sqref="M3" xr:uid="{4CAA00F4-A0F2-4898-A190-045CCFD242C5}">
      <formula1>TBL_Type</formula1>
    </dataValidation>
    <dataValidation type="list" allowBlank="1" showInputMessage="1" showErrorMessage="1" sqref="K3:L3" xr:uid="{1CCC2D9D-509E-4C35-844F-4AFA130D4E5D}">
      <formula1>TBL_Stakeholders</formula1>
    </dataValidation>
    <dataValidation type="list" allowBlank="1" showInputMessage="1" showErrorMessage="1" sqref="B3:C3" xr:uid="{4A98DEA1-C400-496B-A0FA-B2B469F696F8}">
      <formula1>TBL_Deliverables</formula1>
    </dataValidation>
    <dataValidation type="list" allowBlank="1" showInputMessage="1" showErrorMessage="1" sqref="A3" xr:uid="{751E53E2-2EC7-4949-98DF-8F2A5558B616}">
      <formula1>TBL_Phase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90DE5-AB8C-4F6F-9364-A702914C1F22}">
  <sheetPr codeName="Sheet11">
    <tabColor theme="8" tint="0.39997558519241921"/>
  </sheetPr>
  <dimension ref="A1:M21"/>
  <sheetViews>
    <sheetView workbookViewId="0">
      <selection activeCell="F2" sqref="F2"/>
    </sheetView>
  </sheetViews>
  <sheetFormatPr defaultRowHeight="14.5"/>
  <cols>
    <col min="1" max="1" width="16.81640625" bestFit="1" customWidth="1"/>
    <col min="2" max="2" width="31.54296875" bestFit="1" customWidth="1"/>
    <col min="3" max="3" width="13.81640625" bestFit="1" customWidth="1"/>
    <col min="4" max="5" width="13.81640625" customWidth="1"/>
    <col min="6" max="6" width="7.453125" bestFit="1" customWidth="1"/>
    <col min="7" max="7" width="13" customWidth="1"/>
    <col min="8" max="8" width="14.1796875" customWidth="1"/>
    <col min="9" max="9" width="13.453125" bestFit="1" customWidth="1"/>
  </cols>
  <sheetData>
    <row r="1" spans="1:13">
      <c r="A1" t="s">
        <v>3091</v>
      </c>
      <c r="B1" t="s">
        <v>3092</v>
      </c>
      <c r="C1" t="s">
        <v>3093</v>
      </c>
      <c r="D1" t="s">
        <v>3095</v>
      </c>
      <c r="E1" t="s">
        <v>3094</v>
      </c>
      <c r="F1" t="s">
        <v>3096</v>
      </c>
      <c r="G1" t="s">
        <v>2286</v>
      </c>
      <c r="H1" t="s">
        <v>3097</v>
      </c>
      <c r="I1" t="s">
        <v>3098</v>
      </c>
      <c r="J1" t="s">
        <v>3099</v>
      </c>
      <c r="K1" t="s">
        <v>3100</v>
      </c>
      <c r="L1" t="s">
        <v>1922</v>
      </c>
      <c r="M1" s="38" t="s">
        <v>1923</v>
      </c>
    </row>
    <row r="2" spans="1:13">
      <c r="A2" s="16" t="s">
        <v>1989</v>
      </c>
      <c r="B2" t="s">
        <v>3447</v>
      </c>
      <c r="C2" t="s">
        <v>3448</v>
      </c>
      <c r="E2" t="str">
        <f xml:space="preserve"> CONCATENATE( MID(Table151815[[#This Row],[PHASE]],2,3), MID(Table151815[[#This Row],[DELIVERABLE]],2,4), TRIM(SUBSTITUTE(MID(Table151815[[#This Row],[CONCERN.ID]],2,20),"X","") )  )</f>
        <v>14.428.77.01</v>
      </c>
      <c r="F2" t="str">
        <f>TRIM(MID(Table151815[[#This Row],[CONCERN.UNIQUEPATH]], IF( ISNUMBER( SEARCH("/",Table151815[[#This Row],[CONCERN.UNIQUEPATH]])),SEARCH("/",Table151815[[#This Row],[CONCERN.UNIQUEPATH]])+1,1),255))</f>
        <v/>
      </c>
      <c r="J2" t="s">
        <v>2084</v>
      </c>
      <c r="L2" t="s">
        <v>1960</v>
      </c>
      <c r="M2" s="38"/>
    </row>
    <row r="3" spans="1:13">
      <c r="A3" s="16" t="s">
        <v>1989</v>
      </c>
      <c r="B3" t="s">
        <v>3447</v>
      </c>
      <c r="E3" t="str">
        <f xml:space="preserve"> CONCATENATE( MID(Table151815[[#This Row],[PHASE]],2,3), MID(Table151815[[#This Row],[DELIVERABLE]],2,4), TRIM(SUBSTITUTE(MID(Table151815[[#This Row],[CONCERN.ID]],2,20),"X","") )  )</f>
        <v>14.428.</v>
      </c>
      <c r="F3" t="str">
        <f>TRIM(MID(Table151815[[#This Row],[CONCERN.UNIQUEPATH]], IF( ISNUMBER( SEARCH("/",Table151815[[#This Row],[CONCERN.UNIQUEPATH]])),SEARCH("/",Table151815[[#This Row],[CONCERN.UNIQUEPATH]])+1,1),255))</f>
        <v/>
      </c>
      <c r="J3" t="s">
        <v>2084</v>
      </c>
      <c r="L3" t="s">
        <v>1960</v>
      </c>
      <c r="M3" s="38"/>
    </row>
    <row r="4" spans="1:13">
      <c r="A4" s="16" t="s">
        <v>1989</v>
      </c>
      <c r="B4" t="s">
        <v>3447</v>
      </c>
      <c r="E4" t="str">
        <f xml:space="preserve"> CONCATENATE( MID(Table151815[[#This Row],[PHASE]],2,3), MID(Table151815[[#This Row],[DELIVERABLE]],2,4), TRIM(SUBSTITUTE(MID(Table151815[[#This Row],[CONCERN.ID]],2,20),"X","") )  )</f>
        <v>14.428.</v>
      </c>
      <c r="F4" t="str">
        <f>TRIM(MID(Table151815[[#This Row],[CONCERN.UNIQUEPATH]], IF( ISNUMBER( SEARCH("/",Table151815[[#This Row],[CONCERN.UNIQUEPATH]])),SEARCH("/",Table151815[[#This Row],[CONCERN.UNIQUEPATH]])+1,1),255))</f>
        <v/>
      </c>
      <c r="J4" t="s">
        <v>2084</v>
      </c>
      <c r="L4" t="s">
        <v>1940</v>
      </c>
      <c r="M4" s="38" t="s">
        <v>3449</v>
      </c>
    </row>
    <row r="5" spans="1:13">
      <c r="A5" s="16" t="s">
        <v>1989</v>
      </c>
      <c r="B5" t="s">
        <v>3447</v>
      </c>
      <c r="E5" t="str">
        <f xml:space="preserve"> CONCATENATE( MID(Table151815[[#This Row],[PHASE]],2,3), MID(Table151815[[#This Row],[DELIVERABLE]],2,4), TRIM(SUBSTITUTE(MID(Table151815[[#This Row],[CONCERN.ID]],2,20),"X","") )  )</f>
        <v>14.428.</v>
      </c>
      <c r="F5" t="str">
        <f>TRIM(MID(Table151815[[#This Row],[CONCERN.UNIQUEPATH]], IF( ISNUMBER( SEARCH("/",Table151815[[#This Row],[CONCERN.UNIQUEPATH]])),SEARCH("/",Table151815[[#This Row],[CONCERN.UNIQUEPATH]])+1,1),255))</f>
        <v/>
      </c>
      <c r="J5" t="s">
        <v>2084</v>
      </c>
      <c r="L5" t="s">
        <v>1934</v>
      </c>
      <c r="M5" s="38" t="s">
        <v>3450</v>
      </c>
    </row>
    <row r="6" spans="1:13">
      <c r="A6" s="16" t="s">
        <v>1989</v>
      </c>
      <c r="B6" t="s">
        <v>3447</v>
      </c>
      <c r="E6" t="str">
        <f xml:space="preserve"> CONCATENATE( MID(Table151815[[#This Row],[PHASE]],2,3), MID(Table151815[[#This Row],[DELIVERABLE]],2,4), TRIM(SUBSTITUTE(MID(Table151815[[#This Row],[CONCERN.ID]],2,20),"X","") )  )</f>
        <v>14.428.</v>
      </c>
      <c r="F6" t="str">
        <f>TRIM(MID(Table151815[[#This Row],[CONCERN.UNIQUEPATH]], IF( ISNUMBER( SEARCH("/",Table151815[[#This Row],[CONCERN.UNIQUEPATH]])),SEARCH("/",Table151815[[#This Row],[CONCERN.UNIQUEPATH]])+1,1),255))</f>
        <v/>
      </c>
      <c r="J6" t="s">
        <v>2084</v>
      </c>
      <c r="L6" t="s">
        <v>1934</v>
      </c>
      <c r="M6" s="38" t="s">
        <v>3451</v>
      </c>
    </row>
    <row r="7" spans="1:13">
      <c r="A7" s="16" t="s">
        <v>1989</v>
      </c>
      <c r="B7" t="s">
        <v>3447</v>
      </c>
      <c r="E7" t="str">
        <f xml:space="preserve"> CONCATENATE( MID(Table151815[[#This Row],[PHASE]],2,3), MID(Table151815[[#This Row],[DELIVERABLE]],2,4), TRIM(SUBSTITUTE(MID(Table151815[[#This Row],[CONCERN.ID]],2,20),"X","") )  )</f>
        <v>14.428.</v>
      </c>
      <c r="F7" t="str">
        <f>TRIM(MID(Table151815[[#This Row],[CONCERN.UNIQUEPATH]], IF( ISNUMBER( SEARCH("/",Table151815[[#This Row],[CONCERN.UNIQUEPATH]])),SEARCH("/",Table151815[[#This Row],[CONCERN.UNIQUEPATH]])+1,1),255))</f>
        <v/>
      </c>
      <c r="J7" t="s">
        <v>2084</v>
      </c>
      <c r="L7" t="s">
        <v>1960</v>
      </c>
      <c r="M7" s="38"/>
    </row>
    <row r="8" spans="1:13">
      <c r="A8" s="16" t="s">
        <v>1989</v>
      </c>
      <c r="B8" t="s">
        <v>3447</v>
      </c>
      <c r="E8" t="str">
        <f xml:space="preserve"> CONCATENATE( MID(Table151815[[#This Row],[PHASE]],2,3), MID(Table151815[[#This Row],[DELIVERABLE]],2,4), TRIM(SUBSTITUTE(MID(Table151815[[#This Row],[CONCERN.ID]],2,20),"X","") )  )</f>
        <v>14.428.</v>
      </c>
      <c r="F8" t="str">
        <f>TRIM(MID(Table151815[[#This Row],[CONCERN.UNIQUEPATH]], IF( ISNUMBER( SEARCH("/",Table151815[[#This Row],[CONCERN.UNIQUEPATH]])),SEARCH("/",Table151815[[#This Row],[CONCERN.UNIQUEPATH]])+1,1),255))</f>
        <v/>
      </c>
      <c r="J8" t="s">
        <v>2084</v>
      </c>
      <c r="L8" t="s">
        <v>1972</v>
      </c>
      <c r="M8" s="38"/>
    </row>
    <row r="9" spans="1:13">
      <c r="A9" s="16" t="s">
        <v>1989</v>
      </c>
      <c r="B9" t="s">
        <v>3447</v>
      </c>
      <c r="E9" t="str">
        <f xml:space="preserve"> CONCATENATE( MID(Table151815[[#This Row],[PHASE]],2,3), MID(Table151815[[#This Row],[DELIVERABLE]],2,4), TRIM(SUBSTITUTE(MID(Table151815[[#This Row],[CONCERN.ID]],2,20),"X","") )  )</f>
        <v>14.428.</v>
      </c>
      <c r="F9" t="str">
        <f>TRIM(MID(Table151815[[#This Row],[CONCERN.UNIQUEPATH]], IF( ISNUMBER( SEARCH("/",Table151815[[#This Row],[CONCERN.UNIQUEPATH]])),SEARCH("/",Table151815[[#This Row],[CONCERN.UNIQUEPATH]])+1,1),255))</f>
        <v/>
      </c>
      <c r="J9" t="s">
        <v>2084</v>
      </c>
      <c r="L9" t="s">
        <v>1972</v>
      </c>
      <c r="M9" s="38"/>
    </row>
    <row r="10" spans="1:13">
      <c r="A10" s="16" t="s">
        <v>1989</v>
      </c>
      <c r="B10" t="s">
        <v>3447</v>
      </c>
      <c r="E10" t="str">
        <f xml:space="preserve"> CONCATENATE( MID(Table151815[[#This Row],[PHASE]],2,3), MID(Table151815[[#This Row],[DELIVERABLE]],2,4), TRIM(SUBSTITUTE(MID(Table151815[[#This Row],[CONCERN.ID]],2,20),"X","") )  )</f>
        <v>14.428.</v>
      </c>
      <c r="F10" t="str">
        <f>TRIM(MID(Table151815[[#This Row],[CONCERN.UNIQUEPATH]], IF( ISNUMBER( SEARCH("/",Table151815[[#This Row],[CONCERN.UNIQUEPATH]])),SEARCH("/",Table151815[[#This Row],[CONCERN.UNIQUEPATH]])+1,1),255))</f>
        <v/>
      </c>
      <c r="J10" t="s">
        <v>2084</v>
      </c>
      <c r="L10" t="s">
        <v>1972</v>
      </c>
      <c r="M10" s="38"/>
    </row>
    <row r="11" spans="1:13">
      <c r="A11" s="16" t="s">
        <v>1989</v>
      </c>
      <c r="B11" t="s">
        <v>3447</v>
      </c>
      <c r="E11" t="str">
        <f xml:space="preserve"> CONCATENATE( MID(Table151815[[#This Row],[PHASE]],2,3), MID(Table151815[[#This Row],[DELIVERABLE]],2,4), TRIM(SUBSTITUTE(MID(Table151815[[#This Row],[CONCERN.ID]],2,20),"X","") )  )</f>
        <v>14.428.</v>
      </c>
      <c r="F11" t="str">
        <f>TRIM(MID(Table151815[[#This Row],[CONCERN.UNIQUEPATH]], IF( ISNUMBER( SEARCH("/",Table151815[[#This Row],[CONCERN.UNIQUEPATH]])),SEARCH("/",Table151815[[#This Row],[CONCERN.UNIQUEPATH]])+1,1),255))</f>
        <v/>
      </c>
      <c r="J11" t="s">
        <v>2084</v>
      </c>
      <c r="L11" t="s">
        <v>1960</v>
      </c>
      <c r="M11" s="38"/>
    </row>
    <row r="12" spans="1:13">
      <c r="A12" s="16" t="s">
        <v>1989</v>
      </c>
      <c r="B12" t="s">
        <v>3447</v>
      </c>
      <c r="E12" t="str">
        <f xml:space="preserve"> CONCATENATE( MID(Table151815[[#This Row],[PHASE]],2,3), MID(Table151815[[#This Row],[DELIVERABLE]],2,4), TRIM(SUBSTITUTE(MID(Table151815[[#This Row],[CONCERN.ID]],2,20),"X","") )  )</f>
        <v>14.428.</v>
      </c>
      <c r="F12" t="str">
        <f>TRIM(MID(Table151815[[#This Row],[CONCERN.UNIQUEPATH]], IF( ISNUMBER( SEARCH("/",Table151815[[#This Row],[CONCERN.UNIQUEPATH]])),SEARCH("/",Table151815[[#This Row],[CONCERN.UNIQUEPATH]])+1,1),255))</f>
        <v/>
      </c>
      <c r="J12" t="s">
        <v>2084</v>
      </c>
      <c r="L12" t="s">
        <v>1972</v>
      </c>
      <c r="M12" s="38"/>
    </row>
    <row r="13" spans="1:13">
      <c r="A13" s="16" t="s">
        <v>1989</v>
      </c>
      <c r="B13" t="s">
        <v>3447</v>
      </c>
      <c r="E13" t="str">
        <f xml:space="preserve"> CONCATENATE( MID(Table151815[[#This Row],[PHASE]],2,3), MID(Table151815[[#This Row],[DELIVERABLE]],2,4), TRIM(SUBSTITUTE(MID(Table151815[[#This Row],[CONCERN.ID]],2,20),"X","") )  )</f>
        <v>14.428.</v>
      </c>
      <c r="F13" t="str">
        <f>TRIM(MID(Table151815[[#This Row],[CONCERN.UNIQUEPATH]], IF( ISNUMBER( SEARCH("/",Table151815[[#This Row],[CONCERN.UNIQUEPATH]])),SEARCH("/",Table151815[[#This Row],[CONCERN.UNIQUEPATH]])+1,1),255))</f>
        <v/>
      </c>
      <c r="J13" t="s">
        <v>2084</v>
      </c>
      <c r="L13" t="s">
        <v>1972</v>
      </c>
      <c r="M13" s="38"/>
    </row>
    <row r="14" spans="1:13">
      <c r="A14" s="16" t="s">
        <v>1989</v>
      </c>
      <c r="B14" t="s">
        <v>3447</v>
      </c>
      <c r="E14" t="str">
        <f xml:space="preserve"> CONCATENATE( MID(Table151815[[#This Row],[PHASE]],2,3), MID(Table151815[[#This Row],[DELIVERABLE]],2,4), TRIM(SUBSTITUTE(MID(Table151815[[#This Row],[CONCERN.ID]],2,20),"X","") )  )</f>
        <v>14.428.</v>
      </c>
      <c r="F14" t="str">
        <f>TRIM(MID(Table151815[[#This Row],[CONCERN.UNIQUEPATH]], IF( ISNUMBER( SEARCH("/",Table151815[[#This Row],[CONCERN.UNIQUEPATH]])),SEARCH("/",Table151815[[#This Row],[CONCERN.UNIQUEPATH]])+1,1),255))</f>
        <v/>
      </c>
      <c r="J14" t="s">
        <v>2084</v>
      </c>
      <c r="K14" s="22"/>
      <c r="L14" t="s">
        <v>1928</v>
      </c>
      <c r="M14" s="38"/>
    </row>
    <row r="15" spans="1:13">
      <c r="A15" s="16" t="s">
        <v>1989</v>
      </c>
      <c r="B15" t="s">
        <v>3447</v>
      </c>
      <c r="E15" t="str">
        <f xml:space="preserve"> CONCATENATE( MID(Table151815[[#This Row],[PHASE]],2,3), MID(Table151815[[#This Row],[DELIVERABLE]],2,4), TRIM(SUBSTITUTE(MID(Table151815[[#This Row],[CONCERN.ID]],2,20),"X","") )  )</f>
        <v>14.428.</v>
      </c>
      <c r="F15" t="str">
        <f>TRIM(MID(Table151815[[#This Row],[CONCERN.UNIQUEPATH]], IF( ISNUMBER( SEARCH("/",Table151815[[#This Row],[CONCERN.UNIQUEPATH]])),SEARCH("/",Table151815[[#This Row],[CONCERN.UNIQUEPATH]])+1,1),255))</f>
        <v/>
      </c>
      <c r="J15" t="s">
        <v>2084</v>
      </c>
      <c r="K15" s="22"/>
      <c r="L15" t="s">
        <v>1928</v>
      </c>
      <c r="M15" s="38"/>
    </row>
    <row r="16" spans="1:13">
      <c r="A16" s="16" t="s">
        <v>1989</v>
      </c>
      <c r="B16" t="s">
        <v>3447</v>
      </c>
      <c r="E16" t="str">
        <f xml:space="preserve"> CONCATENATE( MID(Table151815[[#This Row],[PHASE]],2,3), MID(Table151815[[#This Row],[DELIVERABLE]],2,4), TRIM(SUBSTITUTE(MID(Table151815[[#This Row],[CONCERN.ID]],2,20),"X","") )  )</f>
        <v>14.428.</v>
      </c>
      <c r="F16" t="str">
        <f>TRIM(MID(Table151815[[#This Row],[CONCERN.UNIQUEPATH]], IF( ISNUMBER( SEARCH("/",Table151815[[#This Row],[CONCERN.UNIQUEPATH]])),SEARCH("/",Table151815[[#This Row],[CONCERN.UNIQUEPATH]])+1,1),255))</f>
        <v/>
      </c>
      <c r="J16" t="s">
        <v>2084</v>
      </c>
      <c r="K16" s="22"/>
      <c r="L16" t="s">
        <v>1928</v>
      </c>
      <c r="M16" s="38"/>
    </row>
    <row r="17" spans="1:13">
      <c r="A17" s="16" t="s">
        <v>1989</v>
      </c>
      <c r="B17" t="s">
        <v>3447</v>
      </c>
      <c r="E17" t="str">
        <f xml:space="preserve"> CONCATENATE( MID(Table151815[[#This Row],[PHASE]],2,3), MID(Table151815[[#This Row],[DELIVERABLE]],2,4), TRIM(SUBSTITUTE(MID(Table151815[[#This Row],[CONCERN.ID]],2,20),"X","") )  )</f>
        <v>14.428.</v>
      </c>
      <c r="F17" t="str">
        <f>TRIM(MID(Table151815[[#This Row],[CONCERN.UNIQUEPATH]], IF( ISNUMBER( SEARCH("/",Table151815[[#This Row],[CONCERN.UNIQUEPATH]])),SEARCH("/",Table151815[[#This Row],[CONCERN.UNIQUEPATH]])+1,1),255))</f>
        <v/>
      </c>
      <c r="J17" t="s">
        <v>2084</v>
      </c>
      <c r="K17" t="s">
        <v>2070</v>
      </c>
      <c r="L17" t="s">
        <v>1972</v>
      </c>
      <c r="M17" s="38"/>
    </row>
    <row r="18" spans="1:13">
      <c r="A18" s="16" t="s">
        <v>1989</v>
      </c>
      <c r="B18" t="s">
        <v>3447</v>
      </c>
      <c r="E18" t="str">
        <f xml:space="preserve"> CONCATENATE( MID(Table151815[[#This Row],[PHASE]],2,3), MID(Table151815[[#This Row],[DELIVERABLE]],2,4), TRIM(SUBSTITUTE(MID(Table151815[[#This Row],[CONCERN.ID]],2,20),"X","") )  )</f>
        <v>14.428.</v>
      </c>
      <c r="F18" t="str">
        <f>TRIM(MID(Table151815[[#This Row],[CONCERN.UNIQUEPATH]], IF( ISNUMBER( SEARCH("/",Table151815[[#This Row],[CONCERN.UNIQUEPATH]])),SEARCH("/",Table151815[[#This Row],[CONCERN.UNIQUEPATH]])+1,1),255))</f>
        <v/>
      </c>
      <c r="J18" t="s">
        <v>2084</v>
      </c>
      <c r="K18" t="s">
        <v>2068</v>
      </c>
      <c r="L18" t="s">
        <v>1972</v>
      </c>
      <c r="M18" s="38"/>
    </row>
    <row r="19" spans="1:13">
      <c r="A19" s="16" t="s">
        <v>1989</v>
      </c>
      <c r="B19" t="s">
        <v>3447</v>
      </c>
      <c r="E19" t="str">
        <f xml:space="preserve"> CONCATENATE( MID(Table151815[[#This Row],[PHASE]],2,3), MID(Table151815[[#This Row],[DELIVERABLE]],2,4), TRIM(SUBSTITUTE(MID(Table151815[[#This Row],[CONCERN.ID]],2,20),"X","") )  )</f>
        <v>14.428.</v>
      </c>
      <c r="F19" t="str">
        <f>TRIM(MID(Table151815[[#This Row],[CONCERN.UNIQUEPATH]], IF( ISNUMBER( SEARCH("/",Table151815[[#This Row],[CONCERN.UNIQUEPATH]])),SEARCH("/",Table151815[[#This Row],[CONCERN.UNIQUEPATH]])+1,1),255))</f>
        <v/>
      </c>
      <c r="J19" t="s">
        <v>2084</v>
      </c>
      <c r="K19" t="s">
        <v>2060</v>
      </c>
      <c r="L19" t="s">
        <v>1940</v>
      </c>
      <c r="M19" s="38"/>
    </row>
    <row r="20" spans="1:13">
      <c r="A20" s="16" t="s">
        <v>1989</v>
      </c>
      <c r="B20" s="16"/>
      <c r="E20" t="str">
        <f xml:space="preserve"> CONCATENATE( MID(Table151815[[#This Row],[PHASE]],2,3), MID(Table151815[[#This Row],[DELIVERABLE]],2,4), TRIM(SUBSTITUTE(MID(Table151815[[#This Row],[CONCERN.ID]],2,20),"X","") )  )</f>
        <v>14.</v>
      </c>
      <c r="F20" t="str">
        <f>TRIM(MID(Table151815[[#This Row],[CONCERN.UNIQUEPATH]], IF( ISNUMBER( SEARCH("/",Table151815[[#This Row],[CONCERN.UNIQUEPATH]])),SEARCH("/",Table151815[[#This Row],[CONCERN.UNIQUEPATH]])+1,1),255))</f>
        <v/>
      </c>
      <c r="J20" s="16" t="s">
        <v>2084</v>
      </c>
      <c r="K20" s="16"/>
      <c r="L20" t="s">
        <v>1928</v>
      </c>
      <c r="M20" s="38"/>
    </row>
    <row r="21" spans="1:13">
      <c r="A21" s="16" t="s">
        <v>1992</v>
      </c>
      <c r="B21" s="16"/>
      <c r="E21" t="str">
        <f xml:space="preserve"> CONCATENATE( MID(Table151815[[#This Row],[PHASE]],2,3), MID(Table151815[[#This Row],[DELIVERABLE]],2,4), TRIM(SUBSTITUTE(MID(Table151815[[#This Row],[CONCERN.ID]],2,20),"X","") )  )</f>
        <v>15.</v>
      </c>
      <c r="F21" t="str">
        <f>TRIM(MID(Table151815[[#This Row],[CONCERN.UNIQUEPATH]], IF( ISNUMBER( SEARCH("/",Table151815[[#This Row],[CONCERN.UNIQUEPATH]])),SEARCH("/",Table151815[[#This Row],[CONCERN.UNIQUEPATH]])+1,1),255))</f>
        <v/>
      </c>
      <c r="J21" s="16"/>
      <c r="K21" s="16"/>
      <c r="L21" t="s">
        <v>1928</v>
      </c>
      <c r="M21" s="38"/>
    </row>
  </sheetData>
  <dataValidations count="5">
    <dataValidation type="list" allowBlank="1" showInputMessage="1" showErrorMessage="1" sqref="L2:L21" xr:uid="{56768BEA-8E46-4455-A512-0A3FBA8E8180}">
      <formula1>TBL_Type</formula1>
    </dataValidation>
    <dataValidation type="list" allowBlank="1" showInputMessage="1" showErrorMessage="1" sqref="J2:K21" xr:uid="{515D0D30-9458-41A8-9D97-0FC047AD26BF}">
      <formula1>TBL_Stakeholders</formula1>
    </dataValidation>
    <dataValidation type="list" allowBlank="1" showInputMessage="1" showErrorMessage="1" sqref="A2:A21" xr:uid="{BCF80C43-16B3-44D3-B43D-01BFA0EAA8B5}">
      <formula1>TBL_Phase</formula1>
    </dataValidation>
    <dataValidation type="list" allowBlank="1" showInputMessage="1" showErrorMessage="1" sqref="B2:B21 M2:M21" xr:uid="{AD176A6E-3E2D-4460-9E5D-CE5D6C479EB1}">
      <formula1>TBL_Deliverables</formula1>
    </dataValidation>
    <dataValidation type="list" allowBlank="1" showInputMessage="1" showErrorMessage="1" sqref="M2:M21" xr:uid="{F7C4324E-A3A1-4094-AF0B-4B89603D4A30}">
      <formula1>TBL_Qualities</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FF7C-2A94-4FE1-9629-6A2B71A0B66D}">
  <sheetPr codeName="Sheet10">
    <tabColor theme="8" tint="0.39997558519241921"/>
  </sheetPr>
  <dimension ref="A1:L844"/>
  <sheetViews>
    <sheetView topLeftCell="E178" workbookViewId="0">
      <selection activeCell="G353" sqref="G353"/>
    </sheetView>
  </sheetViews>
  <sheetFormatPr defaultRowHeight="14.5"/>
  <cols>
    <col min="1" max="1" width="12.54296875" bestFit="1" customWidth="1"/>
    <col min="2" max="2" width="18.54296875" bestFit="1" customWidth="1"/>
    <col min="3" max="3" width="29.453125" bestFit="1" customWidth="1"/>
    <col min="4" max="4" width="111.54296875" bestFit="1" customWidth="1"/>
    <col min="5" max="5" width="21.7265625" bestFit="1" customWidth="1"/>
    <col min="6" max="6" width="107.54296875" bestFit="1" customWidth="1"/>
    <col min="7" max="7" width="204.26953125" bestFit="1" customWidth="1"/>
    <col min="8" max="9" width="13" customWidth="1"/>
    <col min="10" max="10" width="14.1796875" customWidth="1"/>
    <col min="11" max="11" width="13.453125" bestFit="1" customWidth="1"/>
  </cols>
  <sheetData>
    <row r="1" spans="1:12">
      <c r="A1" t="s">
        <v>7</v>
      </c>
      <c r="B1" t="s">
        <v>3452</v>
      </c>
    </row>
    <row r="2" spans="1:12">
      <c r="A2" t="s">
        <v>3091</v>
      </c>
      <c r="B2" t="s">
        <v>3092</v>
      </c>
      <c r="C2" t="s">
        <v>3093</v>
      </c>
      <c r="D2" t="s">
        <v>3095</v>
      </c>
      <c r="E2" t="s">
        <v>3094</v>
      </c>
      <c r="F2" t="s">
        <v>3096</v>
      </c>
      <c r="G2" t="s">
        <v>2286</v>
      </c>
      <c r="H2" t="s">
        <v>3097</v>
      </c>
      <c r="I2" t="s">
        <v>3098</v>
      </c>
      <c r="J2" t="s">
        <v>3099</v>
      </c>
      <c r="K2" t="s">
        <v>3100</v>
      </c>
      <c r="L2" t="s">
        <v>1922</v>
      </c>
    </row>
    <row r="3" spans="1:12">
      <c r="A3" t="s">
        <v>1969</v>
      </c>
      <c r="B3" t="s">
        <v>2246</v>
      </c>
      <c r="C3" s="28" t="s">
        <v>3453</v>
      </c>
      <c r="D3" s="26" t="s">
        <v>3454</v>
      </c>
      <c r="E3" s="45" t="str">
        <f xml:space="preserve"> CONCATENATE( MID(Table15[[#This Row],[PHASE]],2,3), MID(Table15[[#This Row],[DELIVERABLE]],2,4), TRIM(SUBSTITUTE(MID(Table15[[#This Row],[CONCERN.ID]],2,20),"","") )  )</f>
        <v>08.461.1010.00.0000</v>
      </c>
      <c r="F3" t="str">
        <f>TRIM(MID(Table15[[#This Row],[CONCERN.UNIQUEPATH]], IF( ISNUMBER( SEARCH("/",Table15[[#This Row],[CONCERN.UNIQUEPATH]])),SEARCH("/",Table15[[#This Row],[CONCERN.UNIQUEPATH]])+1,1),255))</f>
        <v>System Design MUST NOT be led from Interface design.</v>
      </c>
    </row>
    <row r="4" spans="1:12">
      <c r="A4" t="s">
        <v>1969</v>
      </c>
      <c r="B4" t="s">
        <v>2246</v>
      </c>
      <c r="C4" s="28" t="s">
        <v>3455</v>
      </c>
      <c r="D4" s="27" t="s">
        <v>3456</v>
      </c>
      <c r="E4" t="str">
        <f xml:space="preserve"> CONCATENATE( MID(Table15[[#This Row],[PHASE]],2,3), MID(Table15[[#This Row],[DELIVERABLE]],2,4), TRIM(SUBSTITUTE(MID(Table15[[#This Row],[CONCERN.ID]],2,20),"","") )  )</f>
        <v>08.461.2030.00.0000</v>
      </c>
      <c r="F4" t="str">
        <f>TRIM(MID(Table15[[#This Row],[CONCERN.UNIQUEPATH]], IF( ISNUMBER( SEARCH("/",Table15[[#This Row],[CONCERN.UNIQUEPATH]])),SEARCH("/",Table15[[#This Row],[CONCERN.UNIQUEPATH]])+1,1),255))</f>
        <v>System Development MUST be led by TDD, following DDD</v>
      </c>
    </row>
    <row r="5" spans="1:12">
      <c r="A5" t="s">
        <v>1969</v>
      </c>
      <c r="B5" t="s">
        <v>2246</v>
      </c>
      <c r="C5" s="28" t="s">
        <v>3457</v>
      </c>
      <c r="D5" s="26" t="s">
        <v>3458</v>
      </c>
      <c r="E5" s="45" t="str">
        <f xml:space="preserve"> CONCATENATE( MID(Table15[[#This Row],[PHASE]],2,3), MID(Table15[[#This Row],[DELIVERABLE]],2,4), TRIM(SUBSTITUTE(MID(Table15[[#This Row],[CONCERN.ID]],2,20),"","") )  )</f>
        <v>08.461.2040.00.0000</v>
      </c>
      <c r="F5" t="str">
        <f>TRIM(MID(Table15[[#This Row],[CONCERN.UNIQUEPATH]], IF( ISNUMBER( SEARCH("/",Table15[[#This Row],[CONCERN.UNIQUEPATH]])),SEARCH("/",Table15[[#This Row],[CONCERN.UNIQUEPATH]])+1,1),255))</f>
        <v>System Design MUST NOT be led from Legacy Data or Processes.</v>
      </c>
    </row>
    <row r="6" spans="1:12">
      <c r="A6" t="s">
        <v>1969</v>
      </c>
      <c r="B6" t="s">
        <v>2246</v>
      </c>
      <c r="C6" s="28" t="s">
        <v>3459</v>
      </c>
      <c r="D6" s="27" t="s">
        <v>3460</v>
      </c>
      <c r="E6" t="str">
        <f xml:space="preserve"> CONCATENATE( MID(Table15[[#This Row],[PHASE]],2,3), MID(Table15[[#This Row],[DELIVERABLE]],2,4), TRIM(SUBSTITUTE(MID(Table15[[#This Row],[CONCERN.ID]],2,20),"","") )  )</f>
        <v>08.461.2050.00.0000</v>
      </c>
      <c r="F6" t="str">
        <f>TRIM(MID(Table15[[#This Row],[CONCERN.UNIQUEPATH]], IF( ISNUMBER( SEARCH("/",Table15[[#This Row],[CONCERN.UNIQUEPATH]])),SEARCH("/",Table15[[#This Row],[CONCERN.UNIQUEPATH]])+1,1),255))</f>
        <v>Requirements are modifiable upon Agreement</v>
      </c>
    </row>
    <row r="7" spans="1:12">
      <c r="A7" t="s">
        <v>1969</v>
      </c>
      <c r="B7" t="s">
        <v>2246</v>
      </c>
      <c r="C7" s="28" t="s">
        <v>3459</v>
      </c>
      <c r="D7" s="26" t="s">
        <v>3461</v>
      </c>
      <c r="E7" s="45" t="str">
        <f xml:space="preserve"> CONCATENATE( MID(Table15[[#This Row],[PHASE]],2,3), MID(Table15[[#This Row],[DELIVERABLE]],2,4), TRIM(SUBSTITUTE(MID(Table15[[#This Row],[CONCERN.ID]],2,20),"","") )  )</f>
        <v>08.461.2050.00.0000</v>
      </c>
      <c r="F7" t="str">
        <f>TRIM(MID(Table15[[#This Row],[CONCERN.UNIQUEPATH]], IF( ISNUMBER( SEARCH("/",Table15[[#This Row],[CONCERN.UNIQUEPATH]])),SEARCH("/",Table15[[#This Row],[CONCERN.UNIQUEPATH]])+1,1),255))</f>
        <v>Requirements can be delivered during Operations, upon Agreement</v>
      </c>
    </row>
    <row r="8" spans="1:12">
      <c r="A8" t="s">
        <v>1969</v>
      </c>
      <c r="B8" t="s">
        <v>2246</v>
      </c>
      <c r="C8" s="29" t="s">
        <v>3462</v>
      </c>
      <c r="D8" s="27" t="s">
        <v>3463</v>
      </c>
      <c r="E8" t="str">
        <f xml:space="preserve"> CONCATENATE( MID(Table15[[#This Row],[PHASE]],2,3), MID(Table15[[#This Row],[DELIVERABLE]],2,4), TRIM(SUBSTITUTE(MID(Table15[[#This Row],[CONCERN.ID]],2,20),"","") )  )</f>
        <v>08.461.5100.00.0000</v>
      </c>
      <c r="F8" t="str">
        <f>TRIM(MID(Table15[[#This Row],[CONCERN.UNIQUEPATH]], IF( ISNUMBER( SEARCH("/",Table15[[#This Row],[CONCERN.UNIQUEPATH]])),SEARCH("/",Table15[[#This Row],[CONCERN.UNIQUEPATH]])+1,1),255))</f>
        <v>Compatibility</v>
      </c>
    </row>
    <row r="9" spans="1:12">
      <c r="A9" t="s">
        <v>1969</v>
      </c>
      <c r="B9" t="s">
        <v>2246</v>
      </c>
      <c r="C9" s="30" t="s">
        <v>3464</v>
      </c>
      <c r="D9" s="26" t="s">
        <v>3465</v>
      </c>
      <c r="E9" s="45" t="str">
        <f xml:space="preserve"> CONCATENATE( MID(Table15[[#This Row],[PHASE]],2,3), MID(Table15[[#This Row],[DELIVERABLE]],2,4), TRIM(SUBSTITUTE(MID(Table15[[#This Row],[CONCERN.ID]],2,20),"","") )  )</f>
        <v>08.461.5110.00.0000</v>
      </c>
      <c r="F9" t="str">
        <f>TRIM(MID(Table15[[#This Row],[CONCERN.UNIQUEPATH]], IF( ISNUMBER( SEARCH("/",Table15[[#This Row],[CONCERN.UNIQUEPATH]])),SEARCH("/",Table15[[#This Row],[CONCERN.UNIQUEPATH]])+1,1),255))</f>
        <v>Compatibility/Coeistence</v>
      </c>
      <c r="G9" t="s">
        <v>3466</v>
      </c>
    </row>
    <row r="10" spans="1:12">
      <c r="A10" t="s">
        <v>1969</v>
      </c>
      <c r="B10" t="s">
        <v>2246</v>
      </c>
      <c r="C10" s="29" t="s">
        <v>3467</v>
      </c>
      <c r="D10" s="27" t="s">
        <v>3468</v>
      </c>
      <c r="E10" t="str">
        <f xml:space="preserve"> CONCATENATE( MID(Table15[[#This Row],[PHASE]],2,3), MID(Table15[[#This Row],[DELIVERABLE]],2,4), TRIM(SUBSTITUTE(MID(Table15[[#This Row],[CONCERN.ID]],2,20),"","") )  )</f>
        <v>08.461.5111.00.0000</v>
      </c>
      <c r="F10" t="str">
        <f>TRIM(MID(Table15[[#This Row],[CONCERN.UNIQUEPATH]], IF( ISNUMBER( SEARCH("/",Table15[[#This Row],[CONCERN.UNIQUEPATH]])),SEARCH("/",Table15[[#This Row],[CONCERN.UNIQUEPATH]])+1,1),255))</f>
        <v>Compatibility/Coeistence/Immaterial Impact on Peers</v>
      </c>
      <c r="G10" t="s">
        <v>3469</v>
      </c>
    </row>
    <row r="11" spans="1:12">
      <c r="A11" t="s">
        <v>1969</v>
      </c>
      <c r="B11" t="s">
        <v>2246</v>
      </c>
      <c r="C11" s="30" t="s">
        <v>3470</v>
      </c>
      <c r="D11" s="26" t="s">
        <v>956</v>
      </c>
      <c r="E11" s="45" t="str">
        <f xml:space="preserve"> CONCATENATE( MID(Table15[[#This Row],[PHASE]],2,3), MID(Table15[[#This Row],[DELIVERABLE]],2,4), TRIM(SUBSTITUTE(MID(Table15[[#This Row],[CONCERN.ID]],2,20),"","") )  )</f>
        <v>08.461.5120.00.0000</v>
      </c>
      <c r="F11" t="str">
        <f>TRIM(MID(Table15[[#This Row],[CONCERN.UNIQUEPATH]], IF( ISNUMBER( SEARCH("/",Table15[[#This Row],[CONCERN.UNIQUEPATH]])),SEARCH("/",Table15[[#This Row],[CONCERN.UNIQUEPATH]])+1,1),255))</f>
        <v>Compatibility/Interoperability</v>
      </c>
    </row>
    <row r="12" spans="1:12">
      <c r="A12" t="s">
        <v>1969</v>
      </c>
      <c r="B12" t="s">
        <v>2246</v>
      </c>
      <c r="C12" s="29" t="s">
        <v>3471</v>
      </c>
      <c r="D12" s="27" t="s">
        <v>3472</v>
      </c>
      <c r="E12" t="str">
        <f xml:space="preserve"> CONCATENATE( MID(Table15[[#This Row],[PHASE]],2,3), MID(Table15[[#This Row],[DELIVERABLE]],2,4), TRIM(SUBSTITUTE(MID(Table15[[#This Row],[CONCERN.ID]],2,20),"","") )  )</f>
        <v>08.461.5122.00.0000</v>
      </c>
      <c r="F12" t="str">
        <f>TRIM(MID(Table15[[#This Row],[CONCERN.UNIQUEPATH]], IF( ISNUMBER( SEARCH("/",Table15[[#This Row],[CONCERN.UNIQUEPATH]])),SEARCH("/",Table15[[#This Row],[CONCERN.UNIQUEPATH]])+1,1),255))</f>
        <v>Compatibility/Interoperability/APIs-First</v>
      </c>
      <c r="G12" t="s">
        <v>3473</v>
      </c>
    </row>
    <row r="13" spans="1:12">
      <c r="A13" t="s">
        <v>1969</v>
      </c>
      <c r="B13" t="s">
        <v>2246</v>
      </c>
      <c r="C13" s="31" t="s">
        <v>3474</v>
      </c>
      <c r="D13" s="26" t="s">
        <v>3475</v>
      </c>
      <c r="E13" s="45" t="str">
        <f xml:space="preserve"> CONCATENATE( MID(Table15[[#This Row],[PHASE]],2,3), MID(Table15[[#This Row],[DELIVERABLE]],2,4), TRIM(SUBSTITUTE(MID(Table15[[#This Row],[CONCERN.ID]],2,20),"","") )  )</f>
        <v>08.461.5122.01.0000</v>
      </c>
      <c r="F13" t="str">
        <f>TRIM(MID(Table15[[#This Row],[CONCERN.UNIQUEPATH]], IF( ISNUMBER( SEARCH("/",Table15[[#This Row],[CONCERN.UNIQUEPATH]])),SEARCH("/",Table15[[#This Row],[CONCERN.UNIQUEPATH]])+1,1),255))</f>
        <v>Compatibility/Interoperability/APIs-First/Epose all, Appropriately</v>
      </c>
      <c r="G13" t="s">
        <v>3473</v>
      </c>
    </row>
    <row r="14" spans="1:12">
      <c r="A14" t="s">
        <v>1969</v>
      </c>
      <c r="B14" t="s">
        <v>2246</v>
      </c>
      <c r="C14" s="32" t="s">
        <v>3476</v>
      </c>
      <c r="D14" s="27" t="s">
        <v>3477</v>
      </c>
      <c r="E14" t="str">
        <f xml:space="preserve"> CONCATENATE( MID(Table15[[#This Row],[PHASE]],2,3), MID(Table15[[#This Row],[DELIVERABLE]],2,4), TRIM(SUBSTITUTE(MID(Table15[[#This Row],[CONCERN.ID]],2,20),"","") )  )</f>
        <v>08.461.5122.02.0000</v>
      </c>
      <c r="F14" t="str">
        <f>TRIM(MID(Table15[[#This Row],[CONCERN.UNIQUEPATH]], IF( ISNUMBER( SEARCH("/",Table15[[#This Row],[CONCERN.UNIQUEPATH]])),SEARCH("/",Table15[[#This Row],[CONCERN.UNIQUEPATH]])+1,1),255))</f>
        <v>Compatibility/Interoperability/APIs-First/Design for Integration before U needs</v>
      </c>
      <c r="G14" t="s">
        <v>3478</v>
      </c>
    </row>
    <row r="15" spans="1:12">
      <c r="A15" t="s">
        <v>1969</v>
      </c>
      <c r="B15" t="s">
        <v>2246</v>
      </c>
      <c r="C15" s="31" t="s">
        <v>3476</v>
      </c>
      <c r="D15" s="26" t="s">
        <v>3479</v>
      </c>
      <c r="E15" s="45" t="str">
        <f xml:space="preserve"> CONCATENATE( MID(Table15[[#This Row],[PHASE]],2,3), MID(Table15[[#This Row],[DELIVERABLE]],2,4), TRIM(SUBSTITUTE(MID(Table15[[#This Row],[CONCERN.ID]],2,20),"","") )  )</f>
        <v>08.461.5122.02.0000</v>
      </c>
      <c r="F15" t="str">
        <f>TRIM(MID(Table15[[#This Row],[CONCERN.UNIQUEPATH]], IF( ISNUMBER( SEARCH("/",Table15[[#This Row],[CONCERN.UNIQUEPATH]])),SEARCH("/",Table15[[#This Row],[CONCERN.UNIQUEPATH]])+1,1),255))</f>
        <v>Compatibility/Interoperability/APIs-First/UI is the first Separate Integration Client</v>
      </c>
      <c r="G15" t="s">
        <v>3480</v>
      </c>
    </row>
    <row r="16" spans="1:12">
      <c r="A16" t="s">
        <v>1969</v>
      </c>
      <c r="B16" t="s">
        <v>2246</v>
      </c>
      <c r="C16" s="29" t="s">
        <v>3481</v>
      </c>
      <c r="D16" s="27" t="s">
        <v>3482</v>
      </c>
      <c r="E16" t="str">
        <f xml:space="preserve"> CONCATENATE( MID(Table15[[#This Row],[PHASE]],2,3), MID(Table15[[#This Row],[DELIVERABLE]],2,4), TRIM(SUBSTITUTE(MID(Table15[[#This Row],[CONCERN.ID]],2,20),"","") )  )</f>
        <v>08.461.5123.00.0000</v>
      </c>
      <c r="F16" t="str">
        <f>TRIM(MID(Table15[[#This Row],[CONCERN.UNIQUEPATH]], IF( ISNUMBER( SEARCH("/",Table15[[#This Row],[CONCERN.UNIQUEPATH]])),SEARCH("/",Table15[[#This Row],[CONCERN.UNIQUEPATH]])+1,1),255))</f>
        <v>Compatibility/Interoperability/ISO Based</v>
      </c>
      <c r="G16" t="s">
        <v>3483</v>
      </c>
    </row>
    <row r="17" spans="1:7">
      <c r="A17" t="s">
        <v>1969</v>
      </c>
      <c r="B17" t="s">
        <v>2246</v>
      </c>
      <c r="C17" s="31" t="s">
        <v>3484</v>
      </c>
      <c r="D17" s="26" t="s">
        <v>3485</v>
      </c>
      <c r="E17" s="45" t="str">
        <f xml:space="preserve"> CONCATENATE( MID(Table15[[#This Row],[PHASE]],2,3), MID(Table15[[#This Row],[DELIVERABLE]],2,4), TRIM(SUBSTITUTE(MID(Table15[[#This Row],[CONCERN.ID]],2,20),"","") )  )</f>
        <v>08.461.5123.01.0000</v>
      </c>
      <c r="F17" t="str">
        <f>TRIM(MID(Table15[[#This Row],[CONCERN.UNIQUEPATH]], IF( ISNUMBER( SEARCH("/",Table15[[#This Row],[CONCERN.UNIQUEPATH]])),SEARCH("/",Table15[[#This Row],[CONCERN.UNIQUEPATH]])+1,1),255))</f>
        <v>Compatibility/Interoperability/ISO Based/Types</v>
      </c>
      <c r="G17" t="s">
        <v>3486</v>
      </c>
    </row>
    <row r="18" spans="1:7">
      <c r="A18" t="s">
        <v>1969</v>
      </c>
      <c r="B18" t="s">
        <v>2246</v>
      </c>
      <c r="C18" s="33" t="s">
        <v>3487</v>
      </c>
      <c r="D18" s="27" t="s">
        <v>3488</v>
      </c>
      <c r="E18" t="str">
        <f xml:space="preserve"> CONCATENATE( MID(Table15[[#This Row],[PHASE]],2,3), MID(Table15[[#This Row],[DELIVERABLE]],2,4), TRIM(SUBSTITUTE(MID(Table15[[#This Row],[CONCERN.ID]],2,20),"","") )  )</f>
        <v>08.461.5123.01.1000</v>
      </c>
      <c r="F18" t="str">
        <f>TRIM(MID(Table15[[#This Row],[CONCERN.UNIQUEPATH]], IF( ISNUMBER( SEARCH("/",Table15[[#This Row],[CONCERN.UNIQUEPATH]])),SEARCH("/",Table15[[#This Row],[CONCERN.UNIQUEPATH]])+1,1),255))</f>
        <v>Compatibility/Interoperability/ISO Based/Types/Global</v>
      </c>
      <c r="G18" t="s">
        <v>3489</v>
      </c>
    </row>
    <row r="19" spans="1:7">
      <c r="A19" t="s">
        <v>1969</v>
      </c>
      <c r="B19" t="s">
        <v>2246</v>
      </c>
      <c r="C19" s="34" t="s">
        <v>3490</v>
      </c>
      <c r="D19" s="26" t="s">
        <v>3491</v>
      </c>
      <c r="E19" s="45" t="str">
        <f xml:space="preserve"> CONCATENATE( MID(Table15[[#This Row],[PHASE]],2,3), MID(Table15[[#This Row],[DELIVERABLE]],2,4), TRIM(SUBSTITUTE(MID(Table15[[#This Row],[CONCERN.ID]],2,20),"","") )  )</f>
        <v>08.461.5123.01.1100</v>
      </c>
      <c r="F19" t="str">
        <f>TRIM(MID(Table15[[#This Row],[CONCERN.UNIQUEPATH]], IF( ISNUMBER( SEARCH("/",Table15[[#This Row],[CONCERN.UNIQUEPATH]])),SEARCH("/",Table15[[#This Row],[CONCERN.UNIQUEPATH]])+1,1),255))</f>
        <v>Compatibility/Interoperability/ISO Based/Types/Global/UTC</v>
      </c>
      <c r="G19" t="s">
        <v>3492</v>
      </c>
    </row>
    <row r="20" spans="1:7">
      <c r="A20" t="s">
        <v>1969</v>
      </c>
      <c r="B20" t="s">
        <v>2246</v>
      </c>
      <c r="C20" s="35" t="s">
        <v>3493</v>
      </c>
      <c r="D20" s="27" t="s">
        <v>3494</v>
      </c>
      <c r="E20" t="str">
        <f xml:space="preserve"> CONCATENATE( MID(Table15[[#This Row],[PHASE]],2,3), MID(Table15[[#This Row],[DELIVERABLE]],2,4), TRIM(SUBSTITUTE(MID(Table15[[#This Row],[CONCERN.ID]],2,20),"","") )  )</f>
        <v>08.461.5123.01.1200</v>
      </c>
      <c r="F20" t="str">
        <f>TRIM(MID(Table15[[#This Row],[CONCERN.UNIQUEPATH]], IF( ISNUMBER( SEARCH("/",Table15[[#This Row],[CONCERN.UNIQUEPATH]])),SEARCH("/",Table15[[#This Row],[CONCERN.UNIQUEPATH]])+1,1),255))</f>
        <v>Compatibility/Interoperability/ISO Based/Types/Global/UUID</v>
      </c>
      <c r="G20" t="s">
        <v>3495</v>
      </c>
    </row>
    <row r="21" spans="1:7">
      <c r="A21" t="s">
        <v>1969</v>
      </c>
      <c r="B21" t="s">
        <v>2246</v>
      </c>
      <c r="C21" s="34" t="s">
        <v>3496</v>
      </c>
      <c r="D21" s="26" t="s">
        <v>3497</v>
      </c>
      <c r="E21" s="45" t="str">
        <f xml:space="preserve"> CONCATENATE( MID(Table15[[#This Row],[PHASE]],2,3), MID(Table15[[#This Row],[DELIVERABLE]],2,4), TRIM(SUBSTITUTE(MID(Table15[[#This Row],[CONCERN.ID]],2,20),"","") )  )</f>
        <v>08.461.5123.01.1230</v>
      </c>
      <c r="F21" t="str">
        <f>TRIM(MID(Table15[[#This Row],[CONCERN.UNIQUEPATH]], IF( ISNUMBER( SEARCH("/",Table15[[#This Row],[CONCERN.UNIQUEPATH]])),SEARCH("/",Table15[[#This Row],[CONCERN.UNIQUEPATH]])+1,1),255))</f>
        <v>Compatibility/Interoperability/ISO Based/Types/Global/UUID/Time Sequential</v>
      </c>
      <c r="G21" t="s">
        <v>3498</v>
      </c>
    </row>
    <row r="22" spans="1:7">
      <c r="A22" t="s">
        <v>1969</v>
      </c>
      <c r="B22" t="s">
        <v>2246</v>
      </c>
      <c r="C22" s="35" t="s">
        <v>3499</v>
      </c>
      <c r="D22" s="27" t="s">
        <v>3500</v>
      </c>
      <c r="E22" t="str">
        <f xml:space="preserve"> CONCATENATE( MID(Table15[[#This Row],[PHASE]],2,3), MID(Table15[[#This Row],[DELIVERABLE]],2,4), TRIM(SUBSTITUTE(MID(Table15[[#This Row],[CONCERN.ID]],2,20),"","") )  )</f>
        <v>08.461.5123.01.1240</v>
      </c>
      <c r="F22" t="str">
        <f>TRIM(MID(Table15[[#This Row],[CONCERN.UNIQUEPATH]], IF( ISNUMBER( SEARCH("/",Table15[[#This Row],[CONCERN.UNIQUEPATH]])),SEARCH("/",Table15[[#This Row],[CONCERN.UNIQUEPATH]])+1,1),255))</f>
        <v>Compatibility/Interoperability/ISO Based/Types/Global/UUID/Client Side Developed</v>
      </c>
      <c r="G22" t="s">
        <v>3501</v>
      </c>
    </row>
    <row r="23" spans="1:7">
      <c r="A23" t="s">
        <v>1969</v>
      </c>
      <c r="B23" t="s">
        <v>2246</v>
      </c>
      <c r="C23" s="34" t="s">
        <v>3502</v>
      </c>
      <c r="D23" s="26" t="s">
        <v>3503</v>
      </c>
      <c r="E23" s="45" t="str">
        <f xml:space="preserve"> CONCATENATE( MID(Table15[[#This Row],[PHASE]],2,3), MID(Table15[[#This Row],[DELIVERABLE]],2,4), TRIM(SUBSTITUTE(MID(Table15[[#This Row],[CONCERN.ID]],2,20),"","") )  )</f>
        <v>08.461.5123.01.1350</v>
      </c>
      <c r="F23" t="str">
        <f>TRIM(MID(Table15[[#This Row],[CONCERN.UNIQUEPATH]], IF( ISNUMBER( SEARCH("/",Table15[[#This Row],[CONCERN.UNIQUEPATH]])),SEARCH("/",Table15[[#This Row],[CONCERN.UNIQUEPATH]])+1,1),255))</f>
        <v>Compatibility/Interoperability/ISO Based/Types/Global/CountryCodes</v>
      </c>
      <c r="G23" t="s">
        <v>3504</v>
      </c>
    </row>
    <row r="24" spans="1:7">
      <c r="A24" t="s">
        <v>1969</v>
      </c>
      <c r="B24" t="s">
        <v>2246</v>
      </c>
      <c r="C24" s="35" t="s">
        <v>3505</v>
      </c>
      <c r="D24" s="27" t="s">
        <v>3506</v>
      </c>
      <c r="E24" t="str">
        <f xml:space="preserve"> CONCATENATE( MID(Table15[[#This Row],[PHASE]],2,3), MID(Table15[[#This Row],[DELIVERABLE]],2,4), TRIM(SUBSTITUTE(MID(Table15[[#This Row],[CONCERN.ID]],2,20),"","") )  )</f>
        <v>08.461.5123.01.1360</v>
      </c>
      <c r="F24" t="str">
        <f>TRIM(MID(Table15[[#This Row],[CONCERN.UNIQUEPATH]], IF( ISNUMBER( SEARCH("/",Table15[[#This Row],[CONCERN.UNIQUEPATH]])),SEARCH("/",Table15[[#This Row],[CONCERN.UNIQUEPATH]])+1,1),255))</f>
        <v>Compatibility/Interoperability/ISO Based/Types/Global/Unicode/International characters entry enabled</v>
      </c>
      <c r="G24" t="s">
        <v>3507</v>
      </c>
    </row>
    <row r="25" spans="1:7">
      <c r="A25" t="s">
        <v>1969</v>
      </c>
      <c r="B25" t="s">
        <v>2246</v>
      </c>
      <c r="C25" s="34" t="s">
        <v>3505</v>
      </c>
      <c r="D25" s="26" t="s">
        <v>3508</v>
      </c>
      <c r="E25" s="45" t="str">
        <f xml:space="preserve"> CONCATENATE( MID(Table15[[#This Row],[PHASE]],2,3), MID(Table15[[#This Row],[DELIVERABLE]],2,4), TRIM(SUBSTITUTE(MID(Table15[[#This Row],[CONCERN.ID]],2,20),"","") )  )</f>
        <v>08.461.5123.01.1360</v>
      </c>
      <c r="F25" t="str">
        <f>TRIM(MID(Table15[[#This Row],[CONCERN.UNIQUEPATH]], IF( ISNUMBER( SEARCH("/",Table15[[#This Row],[CONCERN.UNIQUEPATH]])),SEARCH("/",Table15[[#This Row],[CONCERN.UNIQUEPATH]])+1,1),255))</f>
        <v>Compatibility/Interoperability/ISO Based/Types/Global/Unicode/Macron enabled</v>
      </c>
    </row>
    <row r="26" spans="1:7">
      <c r="A26" t="s">
        <v>1969</v>
      </c>
      <c r="B26" t="s">
        <v>2246</v>
      </c>
      <c r="C26" s="32" t="s">
        <v>3509</v>
      </c>
      <c r="D26" s="27" t="s">
        <v>3510</v>
      </c>
      <c r="E26" t="str">
        <f xml:space="preserve"> CONCATENATE( MID(Table15[[#This Row],[PHASE]],2,3), MID(Table15[[#This Row],[DELIVERABLE]],2,4), TRIM(SUBSTITUTE(MID(Table15[[#This Row],[CONCERN.ID]],2,20),"","") )  )</f>
        <v>08.461.5123.02.0000</v>
      </c>
      <c r="F26" t="str">
        <f>TRIM(MID(Table15[[#This Row],[CONCERN.UNIQUEPATH]], IF( ISNUMBER( SEARCH("/",Table15[[#This Row],[CONCERN.UNIQUEPATH]])),SEARCH("/",Table15[[#This Row],[CONCERN.UNIQUEPATH]])+1,1),255))</f>
        <v>Compatibility/Interoperability/ISO Based/Formats</v>
      </c>
    </row>
    <row r="27" spans="1:7">
      <c r="A27" t="s">
        <v>1969</v>
      </c>
      <c r="B27" t="s">
        <v>2246</v>
      </c>
      <c r="C27" s="36" t="s">
        <v>3511</v>
      </c>
      <c r="D27" s="26" t="s">
        <v>3512</v>
      </c>
      <c r="E27" s="45" t="str">
        <f xml:space="preserve"> CONCATENATE( MID(Table15[[#This Row],[PHASE]],2,3), MID(Table15[[#This Row],[DELIVERABLE]],2,4), TRIM(SUBSTITUTE(MID(Table15[[#This Row],[CONCERN.ID]],2,20),"","") )  )</f>
        <v>08.461.5123.02.1000</v>
      </c>
      <c r="F27" t="str">
        <f>TRIM(MID(Table15[[#This Row],[CONCERN.UNIQUEPATH]], IF( ISNUMBER( SEARCH("/",Table15[[#This Row],[CONCERN.UNIQUEPATH]])),SEARCH("/",Table15[[#This Row],[CONCERN.UNIQUEPATH]])+1,1),255))</f>
        <v>Compatibility/Interoperability/ISO Based/Formats/JSON</v>
      </c>
    </row>
    <row r="28" spans="1:7">
      <c r="A28" t="s">
        <v>1969</v>
      </c>
      <c r="B28" t="s">
        <v>2246</v>
      </c>
      <c r="C28" s="33" t="s">
        <v>3513</v>
      </c>
      <c r="D28" s="27" t="s">
        <v>3514</v>
      </c>
      <c r="E28" t="str">
        <f xml:space="preserve"> CONCATENATE( MID(Table15[[#This Row],[PHASE]],2,3), MID(Table15[[#This Row],[DELIVERABLE]],2,4), TRIM(SUBSTITUTE(MID(Table15[[#This Row],[CONCERN.ID]],2,20),"","") )  )</f>
        <v>08.461.5123.02.2000</v>
      </c>
      <c r="F28" t="str">
        <f>TRIM(MID(Table15[[#This Row],[CONCERN.UNIQUEPATH]], IF( ISNUMBER( SEARCH("/",Table15[[#This Row],[CONCERN.UNIQUEPATH]])),SEARCH("/",Table15[[#This Row],[CONCERN.UNIQUEPATH]])+1,1),255))</f>
        <v>Compatibility/Interoperability/ISO Based/Formats/ML</v>
      </c>
    </row>
    <row r="29" spans="1:7">
      <c r="A29" t="s">
        <v>1969</v>
      </c>
      <c r="B29" t="s">
        <v>2246</v>
      </c>
      <c r="C29" s="36" t="s">
        <v>3515</v>
      </c>
      <c r="D29" s="26" t="s">
        <v>3516</v>
      </c>
      <c r="E29" s="45" t="str">
        <f xml:space="preserve"> CONCATENATE( MID(Table15[[#This Row],[PHASE]],2,3), MID(Table15[[#This Row],[DELIVERABLE]],2,4), TRIM(SUBSTITUTE(MID(Table15[[#This Row],[CONCERN.ID]],2,20),"","") )  )</f>
        <v>08.461.5123.02.3000</v>
      </c>
      <c r="F29" t="str">
        <f>TRIM(MID(Table15[[#This Row],[CONCERN.UNIQUEPATH]], IF( ISNUMBER( SEARCH("/",Table15[[#This Row],[CONCERN.UNIQUEPATH]])),SEARCH("/",Table15[[#This Row],[CONCERN.UNIQUEPATH]])+1,1),255))</f>
        <v>Compatibility/Interoperability/ISO Based/Formats/YAML</v>
      </c>
    </row>
    <row r="30" spans="1:7">
      <c r="A30" t="s">
        <v>1969</v>
      </c>
      <c r="B30" t="s">
        <v>2246</v>
      </c>
      <c r="C30" s="32" t="s">
        <v>3517</v>
      </c>
      <c r="D30" s="27" t="s">
        <v>3518</v>
      </c>
      <c r="E30" t="str">
        <f xml:space="preserve"> CONCATENATE( MID(Table15[[#This Row],[PHASE]],2,3), MID(Table15[[#This Row],[DELIVERABLE]],2,4), TRIM(SUBSTITUTE(MID(Table15[[#This Row],[CONCERN.ID]],2,20),"","") )  )</f>
        <v>08.461.5123.03.0000</v>
      </c>
      <c r="F30" t="str">
        <f>TRIM(MID(Table15[[#This Row],[CONCERN.UNIQUEPATH]], IF( ISNUMBER( SEARCH("/",Table15[[#This Row],[CONCERN.UNIQUEPATH]])),SEARCH("/",Table15[[#This Row],[CONCERN.UNIQUEPATH]])+1,1),255))</f>
        <v>Compatibility/Interoperability/ISO Based/Protocols</v>
      </c>
    </row>
    <row r="31" spans="1:7">
      <c r="A31" t="s">
        <v>1969</v>
      </c>
      <c r="B31" t="s">
        <v>2246</v>
      </c>
      <c r="C31" s="36" t="s">
        <v>3519</v>
      </c>
      <c r="D31" s="26" t="s">
        <v>3520</v>
      </c>
      <c r="E31" s="45" t="str">
        <f xml:space="preserve"> CONCATENATE( MID(Table15[[#This Row],[PHASE]],2,3), MID(Table15[[#This Row],[DELIVERABLE]],2,4), TRIM(SUBSTITUTE(MID(Table15[[#This Row],[CONCERN.ID]],2,20),"","") )  )</f>
        <v>08.461.5123.03.1000</v>
      </c>
      <c r="F31" t="str">
        <f>TRIM(MID(Table15[[#This Row],[CONCERN.UNIQUEPATH]], IF( ISNUMBER( SEARCH("/",Table15[[#This Row],[CONCERN.UNIQUEPATH]])),SEARCH("/",Table15[[#This Row],[CONCERN.UNIQUEPATH]])+1,1),255))</f>
        <v>Compatibility/Interoperability/ISO Based/Protocols/ODATA</v>
      </c>
    </row>
    <row r="32" spans="1:7">
      <c r="A32" t="s">
        <v>1969</v>
      </c>
      <c r="B32" t="s">
        <v>2246</v>
      </c>
      <c r="C32" s="29" t="s">
        <v>3521</v>
      </c>
      <c r="D32" s="27" t="s">
        <v>3522</v>
      </c>
      <c r="E32" t="str">
        <f xml:space="preserve"> CONCATENATE( MID(Table15[[#This Row],[PHASE]],2,3), MID(Table15[[#This Row],[DELIVERABLE]],2,4), TRIM(SUBSTITUTE(MID(Table15[[#This Row],[CONCERN.ID]],2,20),"","") )  )</f>
        <v>08.461.5124.00.0000</v>
      </c>
      <c r="F32" t="str">
        <f>TRIM(MID(Table15[[#This Row],[CONCERN.UNIQUEPATH]], IF( ISNUMBER( SEARCH("/",Table15[[#This Row],[CONCERN.UNIQUEPATH]])),SEARCH("/",Table15[[#This Row],[CONCERN.UNIQUEPATH]])+1,1),255))</f>
        <v>Compatibility/Interoperability/Syncing</v>
      </c>
    </row>
    <row r="33" spans="1:6">
      <c r="A33" t="s">
        <v>1969</v>
      </c>
      <c r="B33" t="s">
        <v>2246</v>
      </c>
      <c r="C33" s="31" t="s">
        <v>3523</v>
      </c>
      <c r="D33" s="26" t="s">
        <v>3524</v>
      </c>
      <c r="E33" s="45" t="str">
        <f xml:space="preserve"> CONCATENATE( MID(Table15[[#This Row],[PHASE]],2,3), MID(Table15[[#This Row],[DELIVERABLE]],2,4), TRIM(SUBSTITUTE(MID(Table15[[#This Row],[CONCERN.ID]],2,20),"","") )  )</f>
        <v>08.461.5124.01.0000</v>
      </c>
      <c r="F33" t="str">
        <f>TRIM(MID(Table15[[#This Row],[CONCERN.UNIQUEPATH]], IF( ISNUMBER( SEARCH("/",Table15[[#This Row],[CONCERN.UNIQUEPATH]])),SEARCH("/",Table15[[#This Row],[CONCERN.UNIQUEPATH]])+1,1),255))</f>
        <v>Compatibility/Interoperability/Syncing/Simplicity</v>
      </c>
    </row>
    <row r="34" spans="1:6">
      <c r="A34" t="s">
        <v>1969</v>
      </c>
      <c r="B34" t="s">
        <v>2246</v>
      </c>
      <c r="C34" s="33" t="s">
        <v>3525</v>
      </c>
      <c r="D34" s="27" t="s">
        <v>3526</v>
      </c>
      <c r="E34" t="str">
        <f xml:space="preserve"> CONCATENATE( MID(Table15[[#This Row],[PHASE]],2,3), MID(Table15[[#This Row],[DELIVERABLE]],2,4), TRIM(SUBSTITUTE(MID(Table15[[#This Row],[CONCERN.ID]],2,20),"","") )  )</f>
        <v>08.461.5124.01.1000</v>
      </c>
      <c r="F34" t="str">
        <f>TRIM(MID(Table15[[#This Row],[CONCERN.UNIQUEPATH]], IF( ISNUMBER( SEARCH("/",Table15[[#This Row],[CONCERN.UNIQUEPATH]])),SEARCH("/",Table15[[#This Row],[CONCERN.UNIQUEPATH]])+1,1),255))</f>
        <v>Compatibility/Interoperability/Syncing/Simplicity/Avoid Requiring Preregistration</v>
      </c>
    </row>
    <row r="35" spans="1:6">
      <c r="A35" t="s">
        <v>1969</v>
      </c>
      <c r="B35" t="s">
        <v>2246</v>
      </c>
      <c r="C35" s="36" t="s">
        <v>3527</v>
      </c>
      <c r="D35" s="26" t="s">
        <v>3528</v>
      </c>
      <c r="E35" s="45" t="str">
        <f xml:space="preserve"> CONCATENATE( MID(Table15[[#This Row],[PHASE]],2,3), MID(Table15[[#This Row],[DELIVERABLE]],2,4), TRIM(SUBSTITUTE(MID(Table15[[#This Row],[CONCERN.ID]],2,20),"","") )  )</f>
        <v>08.461.5124.01.2000</v>
      </c>
      <c r="F35" t="str">
        <f>TRIM(MID(Table15[[#This Row],[CONCERN.UNIQUEPATH]], IF( ISNUMBER( SEARCH("/",Table15[[#This Row],[CONCERN.UNIQUEPATH]])),SEARCH("/",Table15[[#This Row],[CONCERN.UNIQUEPATH]])+1,1),255))</f>
        <v>Compatibility/Interoperability/Syncing/Simplicity/Avoid Requiring Client Certificates</v>
      </c>
    </row>
    <row r="36" spans="1:6">
      <c r="A36" t="s">
        <v>1969</v>
      </c>
      <c r="B36" t="s">
        <v>2246</v>
      </c>
      <c r="C36" s="33" t="s">
        <v>3529</v>
      </c>
      <c r="D36" s="27" t="s">
        <v>3530</v>
      </c>
      <c r="E36" t="str">
        <f xml:space="preserve"> CONCATENATE( MID(Table15[[#This Row],[PHASE]],2,3), MID(Table15[[#This Row],[DELIVERABLE]],2,4), TRIM(SUBSTITUTE(MID(Table15[[#This Row],[CONCERN.ID]],2,20),"","") )  )</f>
        <v>08.461.5124.01.3000</v>
      </c>
      <c r="F36" t="str">
        <f>TRIM(MID(Table15[[#This Row],[CONCERN.UNIQUEPATH]], IF( ISNUMBER( SEARCH("/",Table15[[#This Row],[CONCERN.UNIQUEPATH]])),SEARCH("/",Table15[[#This Row],[CONCERN.UNIQUEPATH]])+1,1),255))</f>
        <v>Compatibility/Interoperability/Syncing/Simplicity/Permit ServerSide Projection and Shaping of Data</v>
      </c>
    </row>
    <row r="37" spans="1:6">
      <c r="A37" t="s">
        <v>1969</v>
      </c>
      <c r="B37" t="s">
        <v>2246</v>
      </c>
      <c r="C37" s="31" t="s">
        <v>3531</v>
      </c>
      <c r="D37" s="26" t="s">
        <v>3532</v>
      </c>
      <c r="E37" s="45" t="str">
        <f xml:space="preserve"> CONCATENATE( MID(Table15[[#This Row],[PHASE]],2,3), MID(Table15[[#This Row],[DELIVERABLE]],2,4), TRIM(SUBSTITUTE(MID(Table15[[#This Row],[CONCERN.ID]],2,20),"","") )  )</f>
        <v>08.461.5124.02.0000</v>
      </c>
      <c r="F37" t="str">
        <f>TRIM(MID(Table15[[#This Row],[CONCERN.UNIQUEPATH]], IF( ISNUMBER( SEARCH("/",Table15[[#This Row],[CONCERN.UNIQUEPATH]])),SEARCH("/",Table15[[#This Row],[CONCERN.UNIQUEPATH]])+1,1),255))</f>
        <v>Compatibility/Interoperability/Syncing/ResourceConsumption</v>
      </c>
    </row>
    <row r="38" spans="1:6">
      <c r="A38" t="s">
        <v>1969</v>
      </c>
      <c r="B38" t="s">
        <v>2246</v>
      </c>
      <c r="C38" s="32" t="s">
        <v>3533</v>
      </c>
      <c r="D38" s="27" t="s">
        <v>3534</v>
      </c>
      <c r="E38" t="str">
        <f xml:space="preserve"> CONCATENATE( MID(Table15[[#This Row],[PHASE]],2,3), MID(Table15[[#This Row],[DELIVERABLE]],2,4), TRIM(SUBSTITUTE(MID(Table15[[#This Row],[CONCERN.ID]],2,20),"","") )  )</f>
        <v>08.461.5124.03.0000</v>
      </c>
      <c r="F38" t="str">
        <f>TRIM(MID(Table15[[#This Row],[CONCERN.UNIQUEPATH]], IF( ISNUMBER( SEARCH("/",Table15[[#This Row],[CONCERN.UNIQUEPATH]])),SEARCH("/",Table15[[#This Row],[CONCERN.UNIQUEPATH]])+1,1),255))</f>
        <v>Compatibility/Interoperability/Syncing/Events</v>
      </c>
    </row>
    <row r="39" spans="1:6">
      <c r="A39" t="s">
        <v>1969</v>
      </c>
      <c r="B39" t="s">
        <v>2246</v>
      </c>
      <c r="C39" s="36" t="s">
        <v>3535</v>
      </c>
      <c r="D39" s="26" t="s">
        <v>3536</v>
      </c>
      <c r="E39" s="45" t="str">
        <f xml:space="preserve"> CONCATENATE( MID(Table15[[#This Row],[PHASE]],2,3), MID(Table15[[#This Row],[DELIVERABLE]],2,4), TRIM(SUBSTITUTE(MID(Table15[[#This Row],[CONCERN.ID]],2,20),"","") )  )</f>
        <v>08.461.5124.03.1000</v>
      </c>
      <c r="F39" t="str">
        <f>TRIM(MID(Table15[[#This Row],[CONCERN.UNIQUEPATH]], IF( ISNUMBER( SEARCH("/",Table15[[#This Row],[CONCERN.UNIQUEPATH]])),SEARCH("/",Table15[[#This Row],[CONCERN.UNIQUEPATH]])+1,1),255))</f>
        <v>Compatibility/Interoperability/Syncing/Events/Track Date Last Synced against Client Systems</v>
      </c>
    </row>
    <row r="40" spans="1:6">
      <c r="A40" t="s">
        <v>1969</v>
      </c>
      <c r="B40" t="s">
        <v>2246</v>
      </c>
      <c r="C40" s="33" t="s">
        <v>3535</v>
      </c>
      <c r="D40" s="27" t="s">
        <v>3537</v>
      </c>
      <c r="E40" t="str">
        <f xml:space="preserve"> CONCATENATE( MID(Table15[[#This Row],[PHASE]],2,3), MID(Table15[[#This Row],[DELIVERABLE]],2,4), TRIM(SUBSTITUTE(MID(Table15[[#This Row],[CONCERN.ID]],2,20),"","") )  )</f>
        <v>08.461.5124.03.1000</v>
      </c>
      <c r="F40" t="str">
        <f>TRIM(MID(Table15[[#This Row],[CONCERN.UNIQUEPATH]], IF( ISNUMBER( SEARCH("/",Table15[[#This Row],[CONCERN.UNIQUEPATH]])),SEARCH("/",Table15[[#This Row],[CONCERN.UNIQUEPATH]])+1,1),255))</f>
        <v>Compatibility/Interoperability/Syncing/ResourceConsumption/Paged Requests</v>
      </c>
    </row>
    <row r="41" spans="1:6">
      <c r="A41" t="s">
        <v>1969</v>
      </c>
      <c r="B41" t="s">
        <v>2246</v>
      </c>
      <c r="C41" s="36" t="s">
        <v>3538</v>
      </c>
      <c r="D41" s="26" t="s">
        <v>3539</v>
      </c>
      <c r="E41" s="45" t="str">
        <f xml:space="preserve"> CONCATENATE( MID(Table15[[#This Row],[PHASE]],2,3), MID(Table15[[#This Row],[DELIVERABLE]],2,4), TRIM(SUBSTITUTE(MID(Table15[[#This Row],[CONCERN.ID]],2,20),"","") )  )</f>
        <v>08.461.5124.03.2000</v>
      </c>
      <c r="F41" t="str">
        <f>TRIM(MID(Table15[[#This Row],[CONCERN.UNIQUEPATH]], IF( ISNUMBER( SEARCH("/",Table15[[#This Row],[CONCERN.UNIQUEPATH]])),SEARCH("/",Table15[[#This Row],[CONCERN.UNIQUEPATH]])+1,1),255))</f>
        <v>Compatibility/Interoperability/Syncing/Events/Track Date Last Synced with Source Systems</v>
      </c>
    </row>
    <row r="42" spans="1:6">
      <c r="A42" t="s">
        <v>1969</v>
      </c>
      <c r="B42" t="s">
        <v>2246</v>
      </c>
      <c r="C42" s="33" t="s">
        <v>3538</v>
      </c>
      <c r="D42" s="27" t="s">
        <v>3540</v>
      </c>
      <c r="E42" t="str">
        <f xml:space="preserve"> CONCATENATE( MID(Table15[[#This Row],[PHASE]],2,3), MID(Table15[[#This Row],[DELIVERABLE]],2,4), TRIM(SUBSTITUTE(MID(Table15[[#This Row],[CONCERN.ID]],2,20),"","") )  )</f>
        <v>08.461.5124.03.2000</v>
      </c>
      <c r="F42" t="str">
        <f>TRIM(MID(Table15[[#This Row],[CONCERN.UNIQUEPATH]], IF( ISNUMBER( SEARCH("/",Table15[[#This Row],[CONCERN.UNIQUEPATH]])),SEARCH("/",Table15[[#This Row],[CONCERN.UNIQUEPATH]])+1,1),255))</f>
        <v>Compatibility/Interoperability/Syncing/ResourceConsumption/Throttleable</v>
      </c>
    </row>
    <row r="43" spans="1:6">
      <c r="A43" t="s">
        <v>1969</v>
      </c>
      <c r="B43" t="s">
        <v>2246</v>
      </c>
      <c r="C43" s="36" t="s">
        <v>3541</v>
      </c>
      <c r="D43" s="26" t="s">
        <v>3542</v>
      </c>
      <c r="E43" s="45" t="str">
        <f xml:space="preserve"> CONCATENATE( MID(Table15[[#This Row],[PHASE]],2,3), MID(Table15[[#This Row],[DELIVERABLE]],2,4), TRIM(SUBSTITUTE(MID(Table15[[#This Row],[CONCERN.ID]],2,20),"","") )  )</f>
        <v>08.461.5124.03.3000</v>
      </c>
      <c r="F43" t="str">
        <f>TRIM(MID(Table15[[#This Row],[CONCERN.UNIQUEPATH]], IF( ISNUMBER( SEARCH("/",Table15[[#This Row],[CONCERN.UNIQUEPATH]])),SEARCH("/",Table15[[#This Row],[CONCERN.UNIQUEPATH]])+1,1),255))</f>
        <v>Compatibility/Interoperability/Syncing/Events/Permit Including Deleted records since Last Sync</v>
      </c>
    </row>
    <row r="44" spans="1:6">
      <c r="A44" t="s">
        <v>1969</v>
      </c>
      <c r="B44" t="s">
        <v>2246</v>
      </c>
      <c r="C44" s="33" t="s">
        <v>3541</v>
      </c>
      <c r="D44" s="27" t="s">
        <v>3543</v>
      </c>
      <c r="E44" t="str">
        <f xml:space="preserve"> CONCATENATE( MID(Table15[[#This Row],[PHASE]],2,3), MID(Table15[[#This Row],[DELIVERABLE]],2,4), TRIM(SUBSTITUTE(MID(Table15[[#This Row],[CONCERN.ID]],2,20),"","") )  )</f>
        <v>08.461.5124.03.3000</v>
      </c>
      <c r="F44" t="str">
        <f>TRIM(MID(Table15[[#This Row],[CONCERN.UNIQUEPATH]], IF( ISNUMBER( SEARCH("/",Table15[[#This Row],[CONCERN.UNIQUEPATH]])),SEARCH("/",Table15[[#This Row],[CONCERN.UNIQUEPATH]])+1,1),255))</f>
        <v>Compatibility/Interoperability/Syncing/ResourceConsumption/MultiThreaded</v>
      </c>
    </row>
    <row r="45" spans="1:6">
      <c r="A45" t="s">
        <v>1969</v>
      </c>
      <c r="B45" t="s">
        <v>2246</v>
      </c>
      <c r="C45" s="31" t="s">
        <v>3544</v>
      </c>
      <c r="D45" s="26" t="s">
        <v>3545</v>
      </c>
      <c r="E45" s="45" t="str">
        <f xml:space="preserve"> CONCATENATE( MID(Table15[[#This Row],[PHASE]],2,3), MID(Table15[[#This Row],[DELIVERABLE]],2,4), TRIM(SUBSTITUTE(MID(Table15[[#This Row],[CONCERN.ID]],2,20),"","") )  )</f>
        <v>08.461.5124.04.0000</v>
      </c>
      <c r="F45" t="str">
        <f>TRIM(MID(Table15[[#This Row],[CONCERN.UNIQUEPATH]], IF( ISNUMBER( SEARCH("/",Table15[[#This Row],[CONCERN.UNIQUEPATH]])),SEARCH("/",Table15[[#This Row],[CONCERN.UNIQUEPATH]])+1,1),255))</f>
        <v>Compatibility/Interoperability/Syncing/Attributes</v>
      </c>
    </row>
    <row r="46" spans="1:6">
      <c r="A46" t="s">
        <v>1969</v>
      </c>
      <c r="B46" t="s">
        <v>2246</v>
      </c>
      <c r="C46" s="33" t="s">
        <v>3546</v>
      </c>
      <c r="D46" s="27" t="s">
        <v>3547</v>
      </c>
      <c r="E46" t="str">
        <f xml:space="preserve"> CONCATENATE( MID(Table15[[#This Row],[PHASE]],2,3), MID(Table15[[#This Row],[DELIVERABLE]],2,4), TRIM(SUBSTITUTE(MID(Table15[[#This Row],[CONCERN.ID]],2,20),"","") )  )</f>
        <v>08.461.5124.04.1000</v>
      </c>
      <c r="F46" t="str">
        <f>TRIM(MID(Table15[[#This Row],[CONCERN.UNIQUEPATH]], IF( ISNUMBER( SEARCH("/",Table15[[#This Row],[CONCERN.UNIQUEPATH]])),SEARCH("/",Table15[[#This Row],[CONCERN.UNIQUEPATH]])+1,1),255))</f>
        <v>Compatibility/Interoperability/Syncing/Attributes/DeletedRecordFlags/Permit Resetting Date last Synced</v>
      </c>
    </row>
    <row r="47" spans="1:6">
      <c r="A47" t="s">
        <v>1969</v>
      </c>
      <c r="B47" t="s">
        <v>2246</v>
      </c>
      <c r="C47" s="30" t="s">
        <v>3548</v>
      </c>
      <c r="D47" s="26" t="s">
        <v>3549</v>
      </c>
      <c r="E47" s="45" t="str">
        <f xml:space="preserve"> CONCATENATE( MID(Table15[[#This Row],[PHASE]],2,3), MID(Table15[[#This Row],[DELIVERABLE]],2,4), TRIM(SUBSTITUTE(MID(Table15[[#This Row],[CONCERN.ID]],2,20),"","") )  )</f>
        <v>08.461.5125.00.0000</v>
      </c>
      <c r="F47" t="str">
        <f>TRIM(MID(Table15[[#This Row],[CONCERN.UNIQUEPATH]], IF( ISNUMBER( SEARCH("/",Table15[[#This Row],[CONCERN.UNIQUEPATH]])),SEARCH("/",Table15[[#This Row],[CONCERN.UNIQUEPATH]])+1,1),255))</f>
        <v>Compatibility/Interoperability/Importing</v>
      </c>
    </row>
    <row r="48" spans="1:6">
      <c r="A48" t="s">
        <v>1969</v>
      </c>
      <c r="B48" t="s">
        <v>2246</v>
      </c>
      <c r="C48" s="32" t="s">
        <v>3550</v>
      </c>
      <c r="D48" s="27" t="s">
        <v>3551</v>
      </c>
      <c r="E48" t="str">
        <f xml:space="preserve"> CONCATENATE( MID(Table15[[#This Row],[PHASE]],2,3), MID(Table15[[#This Row],[DELIVERABLE]],2,4), TRIM(SUBSTITUTE(MID(Table15[[#This Row],[CONCERN.ID]],2,20),"","") )  )</f>
        <v>08.461.5125.01.0000</v>
      </c>
      <c r="F48" t="str">
        <f>TRIM(MID(Table15[[#This Row],[CONCERN.UNIQUEPATH]], IF( ISNUMBER( SEARCH("/",Table15[[#This Row],[CONCERN.UNIQUEPATH]])),SEARCH("/",Table15[[#This Row],[CONCERN.UNIQUEPATH]])+1,1),255))</f>
        <v>Compatibility/Interoperability/Importing/via ETL</v>
      </c>
    </row>
    <row r="49" spans="1:6">
      <c r="A49" t="s">
        <v>1969</v>
      </c>
      <c r="B49" t="s">
        <v>2246</v>
      </c>
      <c r="C49" s="36" t="s">
        <v>3552</v>
      </c>
      <c r="D49" s="26" t="s">
        <v>3553</v>
      </c>
      <c r="E49" s="45" t="str">
        <f xml:space="preserve"> CONCATENATE( MID(Table15[[#This Row],[PHASE]],2,3), MID(Table15[[#This Row],[DELIVERABLE]],2,4), TRIM(SUBSTITUTE(MID(Table15[[#This Row],[CONCERN.ID]],2,20),"","") )  )</f>
        <v>08.461.5125.01.1000</v>
      </c>
      <c r="F49" t="str">
        <f>TRIM(MID(Table15[[#This Row],[CONCERN.UNIQUEPATH]], IF( ISNUMBER( SEARCH("/",Table15[[#This Row],[CONCERN.UNIQUEPATH]])),SEARCH("/",Table15[[#This Row],[CONCERN.UNIQUEPATH]])+1,1),255))</f>
        <v>Compatibility/Interoperability/Importing/via ETL/Avoid if possible</v>
      </c>
    </row>
    <row r="50" spans="1:6">
      <c r="A50" t="s">
        <v>1969</v>
      </c>
      <c r="B50" t="s">
        <v>2246</v>
      </c>
      <c r="C50" s="33" t="s">
        <v>3554</v>
      </c>
      <c r="D50" s="27" t="s">
        <v>3555</v>
      </c>
      <c r="E50" t="str">
        <f xml:space="preserve"> CONCATENATE( MID(Table15[[#This Row],[PHASE]],2,3), MID(Table15[[#This Row],[DELIVERABLE]],2,4), TRIM(SUBSTITUTE(MID(Table15[[#This Row],[CONCERN.ID]],2,20),"","") )  )</f>
        <v>08.461.5125.01.2000</v>
      </c>
      <c r="F50" t="str">
        <f>TRIM(MID(Table15[[#This Row],[CONCERN.UNIQUEPATH]], IF( ISNUMBER( SEARCH("/",Table15[[#This Row],[CONCERN.UNIQUEPATH]])),SEARCH("/",Table15[[#This Row],[CONCERN.UNIQUEPATH]])+1,1),255))</f>
        <v>Compatibility/Interoperability/Importing/via ETL/Prefer sourcing from APIs versus Files</v>
      </c>
    </row>
    <row r="51" spans="1:6">
      <c r="A51" t="s">
        <v>1969</v>
      </c>
      <c r="B51" t="s">
        <v>2246</v>
      </c>
      <c r="C51" s="36" t="s">
        <v>3556</v>
      </c>
      <c r="D51" s="26" t="s">
        <v>3557</v>
      </c>
      <c r="E51" s="45" t="str">
        <f xml:space="preserve"> CONCATENATE( MID(Table15[[#This Row],[PHASE]],2,3), MID(Table15[[#This Row],[DELIVERABLE]],2,4), TRIM(SUBSTITUTE(MID(Table15[[#This Row],[CONCERN.ID]],2,20),"","") )  )</f>
        <v>08.461.5125.01.3000</v>
      </c>
      <c r="F51" t="str">
        <f>TRIM(MID(Table15[[#This Row],[CONCERN.UNIQUEPATH]], IF( ISNUMBER( SEARCH("/",Table15[[#This Row],[CONCERN.UNIQUEPATH]])),SEARCH("/",Table15[[#This Row],[CONCERN.UNIQUEPATH]])+1,1),255))</f>
        <v>Compatibility/Interoperability/Importing/via ETL/Prefer Continuous Paged Small Operations over Large Imports</v>
      </c>
    </row>
    <row r="52" spans="1:6">
      <c r="A52" t="s">
        <v>1969</v>
      </c>
      <c r="B52" t="s">
        <v>2246</v>
      </c>
      <c r="C52" s="33" t="s">
        <v>3558</v>
      </c>
      <c r="D52" s="27" t="s">
        <v>3559</v>
      </c>
      <c r="E52" t="str">
        <f xml:space="preserve"> CONCATENATE( MID(Table15[[#This Row],[PHASE]],2,3), MID(Table15[[#This Row],[DELIVERABLE]],2,4), TRIM(SUBSTITUTE(MID(Table15[[#This Row],[CONCERN.ID]],2,20),"","") )  )</f>
        <v>08.461.5125.01.4000</v>
      </c>
      <c r="F52" t="str">
        <f>TRIM(MID(Table15[[#This Row],[CONCERN.UNIQUEPATH]], IF( ISNUMBER( SEARCH("/",Table15[[#This Row],[CONCERN.UNIQUEPATH]])),SEARCH("/",Table15[[#This Row],[CONCERN.UNIQUEPATH]])+1,1),255))</f>
        <v>Compatibility/Interoperability/Importing/via ETL/Use a Separate Staging DB</v>
      </c>
    </row>
    <row r="53" spans="1:6">
      <c r="A53" t="s">
        <v>1969</v>
      </c>
      <c r="B53" t="s">
        <v>2246</v>
      </c>
      <c r="C53" s="36" t="s">
        <v>3560</v>
      </c>
      <c r="D53" s="26" t="s">
        <v>3561</v>
      </c>
      <c r="E53" s="45" t="str">
        <f xml:space="preserve"> CONCATENATE( MID(Table15[[#This Row],[PHASE]],2,3), MID(Table15[[#This Row],[DELIVERABLE]],2,4), TRIM(SUBSTITUTE(MID(Table15[[#This Row],[CONCERN.ID]],2,20),"","") )  )</f>
        <v>08.461.5125.01.5000</v>
      </c>
      <c r="F53" t="str">
        <f>TRIM(MID(Table15[[#This Row],[CONCERN.UNIQUEPATH]], IF( ISNUMBER( SEARCH("/",Table15[[#This Row],[CONCERN.UNIQUEPATH]])),SEARCH("/",Table15[[#This Row],[CONCERN.UNIQUEPATH]])+1,1),255))</f>
        <v>Compatibility/Interoperability/Importing/via ETL/Develop Transformations Safely with Non-Prod Data</v>
      </c>
    </row>
    <row r="54" spans="1:6">
      <c r="A54" t="s">
        <v>1969</v>
      </c>
      <c r="B54" t="s">
        <v>2246</v>
      </c>
      <c r="C54" s="33" t="s">
        <v>3562</v>
      </c>
      <c r="D54" s="27" t="s">
        <v>3563</v>
      </c>
      <c r="E54" t="str">
        <f xml:space="preserve"> CONCATENATE( MID(Table15[[#This Row],[PHASE]],2,3), MID(Table15[[#This Row],[DELIVERABLE]],2,4), TRIM(SUBSTITUTE(MID(Table15[[#This Row],[CONCERN.ID]],2,20),"","") )  )</f>
        <v>08.461.5125.01.6000</v>
      </c>
      <c r="F54" t="str">
        <f>TRIM(MID(Table15[[#This Row],[CONCERN.UNIQUEPATH]], IF( ISNUMBER( SEARCH("/",Table15[[#This Row],[CONCERN.UNIQUEPATH]])),SEARCH("/",Table15[[#This Row],[CONCERN.UNIQUEPATH]])+1,1),255))</f>
        <v>Compatibility/Interoperability/Importing/via ETL/Minimise development in SQL</v>
      </c>
    </row>
    <row r="55" spans="1:6">
      <c r="A55" t="s">
        <v>1969</v>
      </c>
      <c r="B55" t="s">
        <v>2246</v>
      </c>
      <c r="C55" s="36" t="s">
        <v>3564</v>
      </c>
      <c r="D55" s="26" t="s">
        <v>3565</v>
      </c>
      <c r="E55" s="45" t="str">
        <f xml:space="preserve"> CONCATENATE( MID(Table15[[#This Row],[PHASE]],2,3), MID(Table15[[#This Row],[DELIVERABLE]],2,4), TRIM(SUBSTITUTE(MID(Table15[[#This Row],[CONCERN.ID]],2,20),"","") )  )</f>
        <v>08.461.5125.01.7000</v>
      </c>
      <c r="F55" t="str">
        <f>TRIM(MID(Table15[[#This Row],[CONCERN.UNIQUEPATH]], IF( ISNUMBER( SEARCH("/",Table15[[#This Row],[CONCERN.UNIQUEPATH]])),SEARCH("/",Table15[[#This Row],[CONCERN.UNIQUEPATH]])+1,1),255))</f>
        <v>Compatibility/Interoperability/Importing/via ETL/Consider leveraging a Rule Engine for Transformations</v>
      </c>
    </row>
    <row r="56" spans="1:6">
      <c r="A56" t="s">
        <v>1969</v>
      </c>
      <c r="B56" t="s">
        <v>2246</v>
      </c>
      <c r="C56" s="29" t="s">
        <v>3566</v>
      </c>
      <c r="D56" s="27" t="s">
        <v>3567</v>
      </c>
      <c r="E56" t="str">
        <f xml:space="preserve"> CONCATENATE( MID(Table15[[#This Row],[PHASE]],2,3), MID(Table15[[#This Row],[DELIVERABLE]],2,4), TRIM(SUBSTITUTE(MID(Table15[[#This Row],[CONCERN.ID]],2,20),"","") )  )</f>
        <v>08.461.5130.00.0000</v>
      </c>
      <c r="F56" t="str">
        <f>TRIM(MID(Table15[[#This Row],[CONCERN.UNIQUEPATH]], IF( ISNUMBER( SEARCH("/",Table15[[#This Row],[CONCERN.UNIQUEPATH]])),SEARCH("/",Table15[[#This Row],[CONCERN.UNIQUEPATH]])+1,1),255))</f>
        <v>Compatibility/Portability</v>
      </c>
    </row>
    <row r="57" spans="1:6">
      <c r="A57" t="s">
        <v>1969</v>
      </c>
      <c r="B57" t="s">
        <v>2246</v>
      </c>
      <c r="C57" s="30" t="s">
        <v>3568</v>
      </c>
      <c r="D57" s="26" t="s">
        <v>3569</v>
      </c>
      <c r="E57" s="45" t="str">
        <f xml:space="preserve"> CONCATENATE( MID(Table15[[#This Row],[PHASE]],2,3), MID(Table15[[#This Row],[DELIVERABLE]],2,4), TRIM(SUBSTITUTE(MID(Table15[[#This Row],[CONCERN.ID]],2,20),"","") )  )</f>
        <v>08.461.5131.00.0000</v>
      </c>
      <c r="F57" t="str">
        <f>TRIM(MID(Table15[[#This Row],[CONCERN.UNIQUEPATH]], IF( ISNUMBER( SEARCH("/",Table15[[#This Row],[CONCERN.UNIQUEPATH]])),SEARCH("/",Table15[[#This Row],[CONCERN.UNIQUEPATH]])+1,1),255))</f>
        <v>Compatibility/Portability/OS</v>
      </c>
    </row>
    <row r="58" spans="1:6">
      <c r="A58" t="s">
        <v>1969</v>
      </c>
      <c r="B58" t="s">
        <v>2246</v>
      </c>
      <c r="C58" s="32" t="s">
        <v>3570</v>
      </c>
      <c r="D58" s="27" t="s">
        <v>3571</v>
      </c>
      <c r="E58" t="str">
        <f xml:space="preserve"> CONCATENATE( MID(Table15[[#This Row],[PHASE]],2,3), MID(Table15[[#This Row],[DELIVERABLE]],2,4), TRIM(SUBSTITUTE(MID(Table15[[#This Row],[CONCERN.ID]],2,20),"","") )  )</f>
        <v>08.461.5131.09.0000</v>
      </c>
      <c r="F58" t="str">
        <f>TRIM(MID(Table15[[#This Row],[CONCERN.UNIQUEPATH]], IF( ISNUMBER( SEARCH("/",Table15[[#This Row],[CONCERN.UNIQUEPATH]])),SEARCH("/",Table15[[#This Row],[CONCERN.UNIQUEPATH]])+1,1),255))</f>
        <v>Compatibility/Portability/Framework/Prefer License Free Supported OS</v>
      </c>
    </row>
    <row r="59" spans="1:6">
      <c r="A59" t="s">
        <v>1969</v>
      </c>
      <c r="B59" t="s">
        <v>2246</v>
      </c>
      <c r="C59" s="30" t="s">
        <v>3572</v>
      </c>
      <c r="D59" s="26" t="s">
        <v>3573</v>
      </c>
      <c r="E59" s="45" t="str">
        <f xml:space="preserve"> CONCATENATE( MID(Table15[[#This Row],[PHASE]],2,3), MID(Table15[[#This Row],[DELIVERABLE]],2,4), TRIM(SUBSTITUTE(MID(Table15[[#This Row],[CONCERN.ID]],2,20),"","") )  )</f>
        <v>08.461.5132.00.0000</v>
      </c>
      <c r="F59" t="str">
        <f>TRIM(MID(Table15[[#This Row],[CONCERN.UNIQUEPATH]], IF( ISNUMBER( SEARCH("/",Table15[[#This Row],[CONCERN.UNIQUEPATH]])),SEARCH("/",Table15[[#This Row],[CONCERN.UNIQUEPATH]])+1,1),255))</f>
        <v>Compatibility/Portability/Framework</v>
      </c>
    </row>
    <row r="60" spans="1:6">
      <c r="A60" t="s">
        <v>1969</v>
      </c>
      <c r="B60" t="s">
        <v>2246</v>
      </c>
      <c r="C60" s="32" t="s">
        <v>3574</v>
      </c>
      <c r="D60" s="27" t="s">
        <v>3575</v>
      </c>
      <c r="E60" t="str">
        <f xml:space="preserve"> CONCATENATE( MID(Table15[[#This Row],[PHASE]],2,3), MID(Table15[[#This Row],[DELIVERABLE]],2,4), TRIM(SUBSTITUTE(MID(Table15[[#This Row],[CONCERN.ID]],2,20),"","") )  )</f>
        <v>08.461.5132.09.0000</v>
      </c>
      <c r="F60" t="str">
        <f>TRIM(MID(Table15[[#This Row],[CONCERN.UNIQUEPATH]], IF( ISNUMBER( SEARCH("/",Table15[[#This Row],[CONCERN.UNIQUEPATH]])),SEARCH("/",Table15[[#This Row],[CONCERN.UNIQUEPATH]])+1,1),255))</f>
        <v>Compatibility/Portability/Framework/Custom</v>
      </c>
    </row>
    <row r="61" spans="1:6">
      <c r="A61" t="s">
        <v>1969</v>
      </c>
      <c r="B61" t="s">
        <v>2246</v>
      </c>
      <c r="C61" s="30" t="s">
        <v>3576</v>
      </c>
      <c r="D61" s="26" t="s">
        <v>3577</v>
      </c>
      <c r="E61" s="45" t="str">
        <f xml:space="preserve"> CONCATENATE( MID(Table15[[#This Row],[PHASE]],2,3), MID(Table15[[#This Row],[DELIVERABLE]],2,4), TRIM(SUBSTITUTE(MID(Table15[[#This Row],[CONCERN.ID]],2,20),"","") )  )</f>
        <v>08.461.5133.00.0000</v>
      </c>
      <c r="F61" t="str">
        <f>TRIM(MID(Table15[[#This Row],[CONCERN.UNIQUEPATH]], IF( ISNUMBER( SEARCH("/",Table15[[#This Row],[CONCERN.UNIQUEPATH]])),SEARCH("/",Table15[[#This Row],[CONCERN.UNIQUEPATH]])+1,1),255))</f>
        <v>Compatibility/Portability/Language</v>
      </c>
    </row>
    <row r="62" spans="1:6">
      <c r="A62" t="s">
        <v>1969</v>
      </c>
      <c r="B62" t="s">
        <v>2246</v>
      </c>
      <c r="C62" s="32" t="s">
        <v>3578</v>
      </c>
      <c r="D62" s="27" t="s">
        <v>3579</v>
      </c>
      <c r="E62" t="str">
        <f xml:space="preserve"> CONCATENATE( MID(Table15[[#This Row],[PHASE]],2,3), MID(Table15[[#This Row],[DELIVERABLE]],2,4), TRIM(SUBSTITUTE(MID(Table15[[#This Row],[CONCERN.ID]],2,20),"","") )  )</f>
        <v>08.461.5133.01.0000</v>
      </c>
      <c r="F62" t="str">
        <f>TRIM(MID(Table15[[#This Row],[CONCERN.UNIQUEPATH]], IF( ISNUMBER( SEARCH("/",Table15[[#This Row],[CONCERN.UNIQUEPATH]])),SEARCH("/",Table15[[#This Row],[CONCERN.UNIQUEPATH]])+1,1),255))</f>
        <v>Compatibility/Portability/Language/License Free Supported Framework</v>
      </c>
    </row>
    <row r="63" spans="1:6">
      <c r="A63" t="s">
        <v>1969</v>
      </c>
      <c r="B63" t="s">
        <v>2246</v>
      </c>
      <c r="C63" s="31" t="s">
        <v>3580</v>
      </c>
      <c r="D63" s="26" t="s">
        <v>3581</v>
      </c>
      <c r="E63" s="45" t="str">
        <f xml:space="preserve"> CONCATENATE( MID(Table15[[#This Row],[PHASE]],2,3), MID(Table15[[#This Row],[DELIVERABLE]],2,4), TRIM(SUBSTITUTE(MID(Table15[[#This Row],[CONCERN.ID]],2,20),"","") )  )</f>
        <v>08.461.5133.09.0000</v>
      </c>
      <c r="F63" t="str">
        <f>TRIM(MID(Table15[[#This Row],[CONCERN.UNIQUEPATH]], IF( ISNUMBER( SEARCH("/",Table15[[#This Row],[CONCERN.UNIQUEPATH]])),SEARCH("/",Table15[[#This Row],[CONCERN.UNIQUEPATH]])+1,1),255))</f>
        <v>Compatibility/Portability/Language/Custom</v>
      </c>
    </row>
    <row r="64" spans="1:6">
      <c r="A64" t="s">
        <v>1969</v>
      </c>
      <c r="B64" t="s">
        <v>2246</v>
      </c>
      <c r="C64" s="33" t="s">
        <v>3582</v>
      </c>
      <c r="D64" s="27" t="s">
        <v>3583</v>
      </c>
      <c r="E64" t="str">
        <f xml:space="preserve"> CONCATENATE( MID(Table15[[#This Row],[PHASE]],2,3), MID(Table15[[#This Row],[DELIVERABLE]],2,4), TRIM(SUBSTITUTE(MID(Table15[[#This Row],[CONCERN.ID]],2,20),"","") )  )</f>
        <v>08.461.5133.09.1000</v>
      </c>
      <c r="F64" t="str">
        <f>TRIM(MID(Table15[[#This Row],[CONCERN.UNIQUEPATH]], IF( ISNUMBER( SEARCH("/",Table15[[#This Row],[CONCERN.UNIQUEPATH]])),SEARCH("/",Table15[[#This Row],[CONCERN.UNIQUEPATH]])+1,1),255))</f>
        <v>Compatibility/Portability/Language/Custom/Open Source Frameworks</v>
      </c>
    </row>
    <row r="65" spans="1:6">
      <c r="A65" t="s">
        <v>1969</v>
      </c>
      <c r="B65" t="s">
        <v>2246</v>
      </c>
      <c r="C65" s="36" t="s">
        <v>3582</v>
      </c>
      <c r="D65" s="26" t="s">
        <v>3584</v>
      </c>
      <c r="E65" s="45" t="str">
        <f xml:space="preserve"> CONCATENATE( MID(Table15[[#This Row],[PHASE]],2,3), MID(Table15[[#This Row],[DELIVERABLE]],2,4), TRIM(SUBSTITUTE(MID(Table15[[#This Row],[CONCERN.ID]],2,20),"","") )  )</f>
        <v>08.461.5133.09.1000</v>
      </c>
      <c r="F65" t="str">
        <f>TRIM(MID(Table15[[#This Row],[CONCERN.UNIQUEPATH]], IF( ISNUMBER( SEARCH("/",Table15[[#This Row],[CONCERN.UNIQUEPATH]])),SEARCH("/",Table15[[#This Row],[CONCERN.UNIQUEPATH]])+1,1),255))</f>
        <v>Compatibility/Portability/Language/Custom/Prefer compilable typed script languages</v>
      </c>
    </row>
    <row r="66" spans="1:6">
      <c r="A66" t="s">
        <v>1969</v>
      </c>
      <c r="B66" t="s">
        <v>2246</v>
      </c>
      <c r="C66" s="29" t="s">
        <v>3585</v>
      </c>
      <c r="D66" s="27" t="s">
        <v>1216</v>
      </c>
      <c r="E66" t="str">
        <f xml:space="preserve"> CONCATENATE( MID(Table15[[#This Row],[PHASE]],2,3), MID(Table15[[#This Row],[DELIVERABLE]],2,4), TRIM(SUBSTITUTE(MID(Table15[[#This Row],[CONCERN.ID]],2,20),"","") )  )</f>
        <v>08.461.5200.00.0000</v>
      </c>
      <c r="F66" t="str">
        <f>TRIM(MID(Table15[[#This Row],[CONCERN.UNIQUEPATH]], IF( ISNUMBER( SEARCH("/",Table15[[#This Row],[CONCERN.UNIQUEPATH]])),SEARCH("/",Table15[[#This Row],[CONCERN.UNIQUEPATH]])+1,1),255))</f>
        <v>Functionality</v>
      </c>
    </row>
    <row r="67" spans="1:6">
      <c r="A67" t="s">
        <v>1969</v>
      </c>
      <c r="B67" t="s">
        <v>2246</v>
      </c>
      <c r="C67" s="30" t="s">
        <v>3586</v>
      </c>
      <c r="D67" s="26" t="s">
        <v>1219</v>
      </c>
      <c r="E67" s="45" t="str">
        <f xml:space="preserve"> CONCATENATE( MID(Table15[[#This Row],[PHASE]],2,3), MID(Table15[[#This Row],[DELIVERABLE]],2,4), TRIM(SUBSTITUTE(MID(Table15[[#This Row],[CONCERN.ID]],2,20),"","") )  )</f>
        <v>08.461.5210.00.0000</v>
      </c>
      <c r="F67" t="str">
        <f>TRIM(MID(Table15[[#This Row],[CONCERN.UNIQUEPATH]], IF( ISNUMBER( SEARCH("/",Table15[[#This Row],[CONCERN.UNIQUEPATH]])),SEARCH("/",Table15[[#This Row],[CONCERN.UNIQUEPATH]])+1,1),255))</f>
        <v>Functionality/Appropriateness</v>
      </c>
    </row>
    <row r="68" spans="1:6">
      <c r="A68" t="s">
        <v>1969</v>
      </c>
      <c r="B68" t="s">
        <v>2246</v>
      </c>
      <c r="C68" s="29" t="s">
        <v>3587</v>
      </c>
      <c r="D68" s="27" t="s">
        <v>3588</v>
      </c>
      <c r="E68" t="str">
        <f xml:space="preserve"> CONCATENATE( MID(Table15[[#This Row],[PHASE]],2,3), MID(Table15[[#This Row],[DELIVERABLE]],2,4), TRIM(SUBSTITUTE(MID(Table15[[#This Row],[CONCERN.ID]],2,20),"","") )  )</f>
        <v>08.461.5211.00.0000</v>
      </c>
      <c r="F68" t="str">
        <f>TRIM(MID(Table15[[#This Row],[CONCERN.UNIQUEPATH]], IF( ISNUMBER( SEARCH("/",Table15[[#This Row],[CONCERN.UNIQUEPATH]])),SEARCH("/",Table15[[#This Row],[CONCERN.UNIQUEPATH]])+1,1),255))</f>
        <v>Functionality/Appropriateness/Purpose</v>
      </c>
    </row>
    <row r="69" spans="1:6">
      <c r="A69" t="s">
        <v>1969</v>
      </c>
      <c r="B69" t="s">
        <v>2246</v>
      </c>
      <c r="C69" s="31" t="s">
        <v>3589</v>
      </c>
      <c r="D69" s="26" t="s">
        <v>3590</v>
      </c>
      <c r="E69" s="45" t="str">
        <f xml:space="preserve"> CONCATENATE( MID(Table15[[#This Row],[PHASE]],2,3), MID(Table15[[#This Row],[DELIVERABLE]],2,4), TRIM(SUBSTITUTE(MID(Table15[[#This Row],[CONCERN.ID]],2,20),"","") )  )</f>
        <v>08.461.5211.01.0000</v>
      </c>
      <c r="F69" t="str">
        <f>TRIM(MID(Table15[[#This Row],[CONCERN.UNIQUEPATH]], IF( ISNUMBER( SEARCH("/",Table15[[#This Row],[CONCERN.UNIQUEPATH]])),SEARCH("/",Table15[[#This Row],[CONCERN.UNIQUEPATH]])+1,1),255))</f>
        <v>Functionality/Appropriateness/Purpose/Removal</v>
      </c>
    </row>
    <row r="70" spans="1:6">
      <c r="A70" t="s">
        <v>1969</v>
      </c>
      <c r="B70" t="s">
        <v>2246</v>
      </c>
      <c r="C70" s="33" t="s">
        <v>3591</v>
      </c>
      <c r="D70" s="27" t="s">
        <v>3592</v>
      </c>
      <c r="E70" t="str">
        <f xml:space="preserve"> CONCATENATE( MID(Table15[[#This Row],[PHASE]],2,3), MID(Table15[[#This Row],[DELIVERABLE]],2,4), TRIM(SUBSTITUTE(MID(Table15[[#This Row],[CONCERN.ID]],2,20),"","") )  )</f>
        <v>08.461.5211.01.1000</v>
      </c>
      <c r="F70" t="str">
        <f>TRIM(MID(Table15[[#This Row],[CONCERN.UNIQUEPATH]], IF( ISNUMBER( SEARCH("/",Table15[[#This Row],[CONCERN.UNIQUEPATH]])),SEARCH("/",Table15[[#This Row],[CONCERN.UNIQUEPATH]])+1,1),255))</f>
        <v>Functionality/Appropriateness/Purpose/Removal/Considered only for Operations sake, not Delivery Sake</v>
      </c>
    </row>
    <row r="71" spans="1:6">
      <c r="A71" t="s">
        <v>1969</v>
      </c>
      <c r="B71" t="s">
        <v>2246</v>
      </c>
      <c r="C71" s="36" t="s">
        <v>3593</v>
      </c>
      <c r="D71" s="26" t="s">
        <v>3594</v>
      </c>
      <c r="E71" s="45" t="str">
        <f xml:space="preserve"> CONCATENATE( MID(Table15[[#This Row],[PHASE]],2,3), MID(Table15[[#This Row],[DELIVERABLE]],2,4), TRIM(SUBSTITUTE(MID(Table15[[#This Row],[CONCERN.ID]],2,20),"","") )  )</f>
        <v>08.461.5211.01.2000</v>
      </c>
      <c r="F71" t="str">
        <f>TRIM(MID(Table15[[#This Row],[CONCERN.UNIQUEPATH]], IF( ISNUMBER( SEARCH("/",Table15[[#This Row],[CONCERN.UNIQUEPATH]])),SEARCH("/",Table15[[#This Row],[CONCERN.UNIQUEPATH]])+1,1),255))</f>
        <v>Functionality/Appropriateness/Purpose/Removal/Requested by a Stakeholder other than Delivery Stakeholder</v>
      </c>
    </row>
    <row r="72" spans="1:6">
      <c r="A72" t="s">
        <v>1969</v>
      </c>
      <c r="B72" t="s">
        <v>2246</v>
      </c>
      <c r="C72" s="29" t="s">
        <v>3595</v>
      </c>
      <c r="D72" s="27" t="s">
        <v>125</v>
      </c>
      <c r="E72" t="str">
        <f xml:space="preserve"> CONCATENATE( MID(Table15[[#This Row],[PHASE]],2,3), MID(Table15[[#This Row],[DELIVERABLE]],2,4), TRIM(SUBSTITUTE(MID(Table15[[#This Row],[CONCERN.ID]],2,20),"","") )  )</f>
        <v>08.461.5220.00.0000</v>
      </c>
      <c r="F72" t="str">
        <f>TRIM(MID(Table15[[#This Row],[CONCERN.UNIQUEPATH]], IF( ISNUMBER( SEARCH("/",Table15[[#This Row],[CONCERN.UNIQUEPATH]])),SEARCH("/",Table15[[#This Row],[CONCERN.UNIQUEPATH]])+1,1),255))</f>
        <v>Functionality/Completeness</v>
      </c>
    </row>
    <row r="73" spans="1:6">
      <c r="A73" t="s">
        <v>1969</v>
      </c>
      <c r="B73" t="s">
        <v>2246</v>
      </c>
      <c r="C73" s="30" t="s">
        <v>3596</v>
      </c>
      <c r="D73" s="26" t="s">
        <v>3597</v>
      </c>
      <c r="E73" s="45" t="str">
        <f xml:space="preserve"> CONCATENATE( MID(Table15[[#This Row],[PHASE]],2,3), MID(Table15[[#This Row],[DELIVERABLE]],2,4), TRIM(SUBSTITUTE(MID(Table15[[#This Row],[CONCERN.ID]],2,20),"","") )  )</f>
        <v>08.461.5221.00.0000</v>
      </c>
      <c r="F73" t="str">
        <f>TRIM(MID(Table15[[#This Row],[CONCERN.UNIQUEPATH]], IF( ISNUMBER( SEARCH("/",Table15[[#This Row],[CONCERN.UNIQUEPATH]])),SEARCH("/",Table15[[#This Row],[CONCERN.UNIQUEPATH]])+1,1),255))</f>
        <v>Functionality/Completeness/Stakeholders</v>
      </c>
    </row>
    <row r="74" spans="1:6">
      <c r="A74" t="s">
        <v>1969</v>
      </c>
      <c r="B74" t="s">
        <v>2246</v>
      </c>
      <c r="C74" s="32" t="s">
        <v>3598</v>
      </c>
      <c r="D74" s="27" t="s">
        <v>3599</v>
      </c>
      <c r="E74" t="str">
        <f xml:space="preserve"> CONCATENATE( MID(Table15[[#This Row],[PHASE]],2,3), MID(Table15[[#This Row],[DELIVERABLE]],2,4), TRIM(SUBSTITUTE(MID(Table15[[#This Row],[CONCERN.ID]],2,20),"","") )  )</f>
        <v>08.461.5221.01.0000</v>
      </c>
      <c r="F74" t="str">
        <f>TRIM(MID(Table15[[#This Row],[CONCERN.UNIQUEPATH]], IF( ISNUMBER( SEARCH("/",Table15[[#This Row],[CONCERN.UNIQUEPATH]])),SEARCH("/",Table15[[#This Row],[CONCERN.UNIQUEPATH]])+1,1),255))</f>
        <v>Functionality/Completeness/Stakeholders/Architecture Design Services</v>
      </c>
    </row>
    <row r="75" spans="1:6">
      <c r="A75" t="s">
        <v>1969</v>
      </c>
      <c r="B75" t="s">
        <v>2246</v>
      </c>
      <c r="C75" s="31" t="s">
        <v>3600</v>
      </c>
      <c r="D75" s="26" t="s">
        <v>3601</v>
      </c>
      <c r="E75" s="45" t="str">
        <f xml:space="preserve"> CONCATENATE( MID(Table15[[#This Row],[PHASE]],2,3), MID(Table15[[#This Row],[DELIVERABLE]],2,4), TRIM(SUBSTITUTE(MID(Table15[[#This Row],[CONCERN.ID]],2,20),"","") )  )</f>
        <v>08.461.5221.02.0000</v>
      </c>
      <c r="F75" t="str">
        <f>TRIM(MID(Table15[[#This Row],[CONCERN.UNIQUEPATH]], IF( ISNUMBER( SEARCH("/",Table15[[#This Row],[CONCERN.UNIQUEPATH]])),SEARCH("/",Table15[[#This Row],[CONCERN.UNIQUEPATH]])+1,1),255))</f>
        <v>Functionality/Completeness/Stakeholders/Business Services</v>
      </c>
    </row>
    <row r="76" spans="1:6">
      <c r="A76" t="s">
        <v>1969</v>
      </c>
      <c r="B76" t="s">
        <v>2246</v>
      </c>
      <c r="C76" s="32" t="s">
        <v>3602</v>
      </c>
      <c r="D76" s="27" t="s">
        <v>3603</v>
      </c>
      <c r="E76" t="str">
        <f xml:space="preserve"> CONCATENATE( MID(Table15[[#This Row],[PHASE]],2,3), MID(Table15[[#This Row],[DELIVERABLE]],2,4), TRIM(SUBSTITUTE(MID(Table15[[#This Row],[CONCERN.ID]],2,20),"","") )  )</f>
        <v>08.461.5221.03.0000</v>
      </c>
      <c r="F76" t="str">
        <f>TRIM(MID(Table15[[#This Row],[CONCERN.UNIQUEPATH]], IF( ISNUMBER( SEARCH("/",Table15[[#This Row],[CONCERN.UNIQUEPATH]])),SEARCH("/",Table15[[#This Row],[CONCERN.UNIQUEPATH]])+1,1),255))</f>
        <v>Functionality/Completeness/Stakeholders/Deployment Services</v>
      </c>
    </row>
    <row r="77" spans="1:6">
      <c r="A77" t="s">
        <v>1969</v>
      </c>
      <c r="B77" t="s">
        <v>2246</v>
      </c>
      <c r="C77" s="31" t="s">
        <v>3604</v>
      </c>
      <c r="D77" s="26" t="s">
        <v>3605</v>
      </c>
      <c r="E77" s="45" t="str">
        <f xml:space="preserve"> CONCATENATE( MID(Table15[[#This Row],[PHASE]],2,3), MID(Table15[[#This Row],[DELIVERABLE]],2,4), TRIM(SUBSTITUTE(MID(Table15[[#This Row],[CONCERN.ID]],2,20),"","") )  )</f>
        <v>08.461.5221.04.0000</v>
      </c>
      <c r="F77" t="str">
        <f>TRIM(MID(Table15[[#This Row],[CONCERN.UNIQUEPATH]], IF( ISNUMBER( SEARCH("/",Table15[[#This Row],[CONCERN.UNIQUEPATH]])),SEARCH("/",Table15[[#This Row],[CONCERN.UNIQUEPATH]])+1,1),255))</f>
        <v>Functionality/Completeness/Stakeholders/Infrastructure Services</v>
      </c>
    </row>
    <row r="78" spans="1:6">
      <c r="A78" t="s">
        <v>1969</v>
      </c>
      <c r="B78" t="s">
        <v>2246</v>
      </c>
      <c r="C78" s="32" t="s">
        <v>3606</v>
      </c>
      <c r="D78" s="27" t="s">
        <v>3607</v>
      </c>
      <c r="E78" t="str">
        <f xml:space="preserve"> CONCATENATE( MID(Table15[[#This Row],[PHASE]],2,3), MID(Table15[[#This Row],[DELIVERABLE]],2,4), TRIM(SUBSTITUTE(MID(Table15[[#This Row],[CONCERN.ID]],2,20),"","") )  )</f>
        <v>08.461.5221.05.0000</v>
      </c>
      <c r="F78" t="str">
        <f>TRIM(MID(Table15[[#This Row],[CONCERN.UNIQUEPATH]], IF( ISNUMBER( SEARCH("/",Table15[[#This Row],[CONCERN.UNIQUEPATH]])),SEARCH("/",Table15[[#This Row],[CONCERN.UNIQUEPATH]])+1,1),255))</f>
        <v>Functionality/Completeness/Stakeholders/Monitoring Services</v>
      </c>
    </row>
    <row r="79" spans="1:6">
      <c r="A79" t="s">
        <v>1969</v>
      </c>
      <c r="B79" t="s">
        <v>2246</v>
      </c>
      <c r="C79" s="31" t="s">
        <v>3608</v>
      </c>
      <c r="D79" s="26" t="s">
        <v>3609</v>
      </c>
      <c r="E79" s="45" t="str">
        <f xml:space="preserve"> CONCATENATE( MID(Table15[[#This Row],[PHASE]],2,3), MID(Table15[[#This Row],[DELIVERABLE]],2,4), TRIM(SUBSTITUTE(MID(Table15[[#This Row],[CONCERN.ID]],2,20),"","") )  )</f>
        <v>08.461.5221.06.0000</v>
      </c>
      <c r="F79" t="str">
        <f>TRIM(MID(Table15[[#This Row],[CONCERN.UNIQUEPATH]], IF( ISNUMBER( SEARCH("/",Table15[[#This Row],[CONCERN.UNIQUEPATH]])),SEARCH("/",Table15[[#This Row],[CONCERN.UNIQUEPATH]])+1,1),255))</f>
        <v>Functionality/Completeness/Stakeholders/Management Services</v>
      </c>
    </row>
    <row r="80" spans="1:6">
      <c r="A80" t="s">
        <v>1969</v>
      </c>
      <c r="B80" t="s">
        <v>2246</v>
      </c>
      <c r="C80" s="32" t="s">
        <v>3610</v>
      </c>
      <c r="D80" s="27" t="s">
        <v>3611</v>
      </c>
      <c r="E80" t="str">
        <f xml:space="preserve"> CONCATENATE( MID(Table15[[#This Row],[PHASE]],2,3), MID(Table15[[#This Row],[DELIVERABLE]],2,4), TRIM(SUBSTITUTE(MID(Table15[[#This Row],[CONCERN.ID]],2,20),"","") )  )</f>
        <v>08.461.5221.07.0000</v>
      </c>
      <c r="F80" t="str">
        <f>TRIM(MID(Table15[[#This Row],[CONCERN.UNIQUEPATH]], IF( ISNUMBER( SEARCH("/",Table15[[#This Row],[CONCERN.UNIQUEPATH]])),SEARCH("/",Table15[[#This Row],[CONCERN.UNIQUEPATH]])+1,1),255))</f>
        <v>Functionality/Completeness/Stakeholders/Operations Services</v>
      </c>
    </row>
    <row r="81" spans="1:6">
      <c r="A81" t="s">
        <v>1969</v>
      </c>
      <c r="B81" t="s">
        <v>2246</v>
      </c>
      <c r="C81" s="31" t="s">
        <v>3612</v>
      </c>
      <c r="D81" s="26" t="s">
        <v>3613</v>
      </c>
      <c r="E81" s="45" t="str">
        <f xml:space="preserve"> CONCATENATE( MID(Table15[[#This Row],[PHASE]],2,3), MID(Table15[[#This Row],[DELIVERABLE]],2,4), TRIM(SUBSTITUTE(MID(Table15[[#This Row],[CONCERN.ID]],2,20),"","") )  )</f>
        <v>08.461.5221.08.0000</v>
      </c>
      <c r="F81" t="str">
        <f>TRIM(MID(Table15[[#This Row],[CONCERN.UNIQUEPATH]], IF( ISNUMBER( SEARCH("/",Table15[[#This Row],[CONCERN.UNIQUEPATH]])),SEARCH("/",Table15[[#This Row],[CONCERN.UNIQUEPATH]])+1,1),255))</f>
        <v>Functionality/Completeness/Stakeholders/Privacy Services</v>
      </c>
    </row>
    <row r="82" spans="1:6">
      <c r="A82" t="s">
        <v>1969</v>
      </c>
      <c r="B82" t="s">
        <v>2246</v>
      </c>
      <c r="C82" s="32" t="s">
        <v>3614</v>
      </c>
      <c r="D82" s="27" t="s">
        <v>3615</v>
      </c>
      <c r="E82" t="str">
        <f xml:space="preserve"> CONCATENATE( MID(Table15[[#This Row],[PHASE]],2,3), MID(Table15[[#This Row],[DELIVERABLE]],2,4), TRIM(SUBSTITUTE(MID(Table15[[#This Row],[CONCERN.ID]],2,20),"","") )  )</f>
        <v>08.461.5221.09.0000</v>
      </c>
      <c r="F82" t="str">
        <f>TRIM(MID(Table15[[#This Row],[CONCERN.UNIQUEPATH]], IF( ISNUMBER( SEARCH("/",Table15[[#This Row],[CONCERN.UNIQUEPATH]])),SEARCH("/",Table15[[#This Row],[CONCERN.UNIQUEPATH]])+1,1),255))</f>
        <v>Functionality/Completeness/Stakeholders/Security Services</v>
      </c>
    </row>
    <row r="83" spans="1:6">
      <c r="A83" t="s">
        <v>1969</v>
      </c>
      <c r="B83" t="s">
        <v>2246</v>
      </c>
      <c r="C83" s="31" t="s">
        <v>3616</v>
      </c>
      <c r="D83" s="26" t="s">
        <v>3617</v>
      </c>
      <c r="E83" s="45" t="str">
        <f xml:space="preserve"> CONCATENATE( MID(Table15[[#This Row],[PHASE]],2,3), MID(Table15[[#This Row],[DELIVERABLE]],2,4), TRIM(SUBSTITUTE(MID(Table15[[#This Row],[CONCERN.ID]],2,20),"","") )  )</f>
        <v>08.461.5221.10.0000</v>
      </c>
      <c r="F83" t="str">
        <f>TRIM(MID(Table15[[#This Row],[CONCERN.UNIQUEPATH]], IF( ISNUMBER( SEARCH("/",Table15[[#This Row],[CONCERN.UNIQUEPATH]])),SEARCH("/",Table15[[#This Row],[CONCERN.UNIQUEPATH]])+1,1),255))</f>
        <v>Functionality/Completeness/Stakeholders/Support Services (General)</v>
      </c>
    </row>
    <row r="84" spans="1:6">
      <c r="A84" t="s">
        <v>1969</v>
      </c>
      <c r="B84" t="s">
        <v>2246</v>
      </c>
      <c r="C84" s="32" t="s">
        <v>3618</v>
      </c>
      <c r="D84" s="27" t="s">
        <v>3619</v>
      </c>
      <c r="E84" t="str">
        <f xml:space="preserve"> CONCATENATE( MID(Table15[[#This Row],[PHASE]],2,3), MID(Table15[[#This Row],[DELIVERABLE]],2,4), TRIM(SUBSTITUTE(MID(Table15[[#This Row],[CONCERN.ID]],2,20),"","") )  )</f>
        <v>08.461.5221.11.0000</v>
      </c>
      <c r="F84" t="str">
        <f>TRIM(MID(Table15[[#This Row],[CONCERN.UNIQUEPATH]], IF( ISNUMBER( SEARCH("/",Table15[[#This Row],[CONCERN.UNIQUEPATH]])),SEARCH("/",Table15[[#This Row],[CONCERN.UNIQUEPATH]])+1,1),255))</f>
        <v>Functionality/Completeness/Stakeholders/Support Services (Business)</v>
      </c>
    </row>
    <row r="85" spans="1:6">
      <c r="A85" t="s">
        <v>1969</v>
      </c>
      <c r="B85" t="s">
        <v>2246</v>
      </c>
      <c r="C85" s="31" t="s">
        <v>3620</v>
      </c>
      <c r="D85" s="26" t="s">
        <v>3621</v>
      </c>
      <c r="E85" s="45" t="str">
        <f xml:space="preserve"> CONCATENATE( MID(Table15[[#This Row],[PHASE]],2,3), MID(Table15[[#This Row],[DELIVERABLE]],2,4), TRIM(SUBSTITUTE(MID(Table15[[#This Row],[CONCERN.ID]],2,20),"","") )  )</f>
        <v>08.461.5221.12.0000</v>
      </c>
      <c r="F85" t="str">
        <f>TRIM(MID(Table15[[#This Row],[CONCERN.UNIQUEPATH]], IF( ISNUMBER( SEARCH("/",Table15[[#This Row],[CONCERN.UNIQUEPATH]])),SEARCH("/",Table15[[#This Row],[CONCERN.UNIQUEPATH]])+1,1),255))</f>
        <v>Functionality/Completeness/Stakeholders/Training Services</v>
      </c>
    </row>
    <row r="86" spans="1:6">
      <c r="A86" t="s">
        <v>1969</v>
      </c>
      <c r="B86" t="s">
        <v>2246</v>
      </c>
      <c r="C86" s="32" t="s">
        <v>3622</v>
      </c>
      <c r="D86" s="27" t="s">
        <v>3623</v>
      </c>
      <c r="E86" t="str">
        <f xml:space="preserve"> CONCATENATE( MID(Table15[[#This Row],[PHASE]],2,3), MID(Table15[[#This Row],[DELIVERABLE]],2,4), TRIM(SUBSTITUTE(MID(Table15[[#This Row],[CONCERN.ID]],2,20),"","") )  )</f>
        <v>08.461.5221.13.0000</v>
      </c>
      <c r="F86" t="str">
        <f>TRIM(MID(Table15[[#This Row],[CONCERN.UNIQUEPATH]], IF( ISNUMBER( SEARCH("/",Table15[[#This Row],[CONCERN.UNIQUEPATH]])),SEARCH("/",Table15[[#This Row],[CONCERN.UNIQUEPATH]])+1,1),255))</f>
        <v>Functionality/Completeness/Stakeholders/Data warehouse Services</v>
      </c>
    </row>
    <row r="87" spans="1:6">
      <c r="A87" t="s">
        <v>1969</v>
      </c>
      <c r="B87" t="s">
        <v>2246</v>
      </c>
      <c r="C87" s="31" t="s">
        <v>3624</v>
      </c>
      <c r="D87" s="26" t="s">
        <v>3625</v>
      </c>
      <c r="E87" s="45" t="str">
        <f xml:space="preserve"> CONCATENATE( MID(Table15[[#This Row],[PHASE]],2,3), MID(Table15[[#This Row],[DELIVERABLE]],2,4), TRIM(SUBSTITUTE(MID(Table15[[#This Row],[CONCERN.ID]],2,20),"","") )  )</f>
        <v>08.461.5221.14.0000</v>
      </c>
      <c r="F87" t="str">
        <f>TRIM(MID(Table15[[#This Row],[CONCERN.UNIQUEPATH]], IF( ISNUMBER( SEARCH("/",Table15[[#This Row],[CONCERN.UNIQUEPATH]])),SEARCH("/",Table15[[#This Row],[CONCERN.UNIQUEPATH]])+1,1),255))</f>
        <v>Functionality/Completeness/Stakeholders/Data archiving Services</v>
      </c>
    </row>
    <row r="88" spans="1:6">
      <c r="A88" t="s">
        <v>1969</v>
      </c>
      <c r="B88" t="s">
        <v>2246</v>
      </c>
      <c r="C88" s="29" t="s">
        <v>3626</v>
      </c>
      <c r="D88" s="27" t="s">
        <v>3627</v>
      </c>
      <c r="E88" t="str">
        <f xml:space="preserve"> CONCATENATE( MID(Table15[[#This Row],[PHASE]],2,3), MID(Table15[[#This Row],[DELIVERABLE]],2,4), TRIM(SUBSTITUTE(MID(Table15[[#This Row],[CONCERN.ID]],2,20),"","") )  )</f>
        <v>08.461.5222.00.0000</v>
      </c>
      <c r="F88" t="str">
        <f>TRIM(MID(Table15[[#This Row],[CONCERN.UNIQUEPATH]], IF( ISNUMBER( SEARCH("/",Table15[[#This Row],[CONCERN.UNIQUEPATH]])),SEARCH("/",Table15[[#This Row],[CONCERN.UNIQUEPATH]])+1,1),255))</f>
        <v>Functionality/Completeness/Capabilities</v>
      </c>
    </row>
    <row r="89" spans="1:6">
      <c r="A89" t="s">
        <v>1969</v>
      </c>
      <c r="B89" t="s">
        <v>2246</v>
      </c>
      <c r="C89" s="31" t="s">
        <v>3628</v>
      </c>
      <c r="D89" s="26" t="s">
        <v>3629</v>
      </c>
      <c r="E89" s="45" t="str">
        <f xml:space="preserve"> CONCATENATE( MID(Table15[[#This Row],[PHASE]],2,3), MID(Table15[[#This Row],[DELIVERABLE]],2,4), TRIM(SUBSTITUTE(MID(Table15[[#This Row],[CONCERN.ID]],2,20),"","") )  )</f>
        <v>08.461.5222.01.0000</v>
      </c>
      <c r="F89" t="str">
        <f>TRIM(MID(Table15[[#This Row],[CONCERN.UNIQUEPATH]], IF( ISNUMBER( SEARCH("/",Table15[[#This Row],[CONCERN.UNIQUEPATH]])),SEARCH("/",Table15[[#This Row],[CONCERN.UNIQUEPATH]])+1,1),255))</f>
        <v>Functionality/Completeness/Capabilities/Configuration</v>
      </c>
    </row>
    <row r="90" spans="1:6">
      <c r="A90" t="s">
        <v>1969</v>
      </c>
      <c r="B90" t="s">
        <v>2246</v>
      </c>
      <c r="C90" s="33" t="s">
        <v>3630</v>
      </c>
      <c r="D90" s="27" t="s">
        <v>3631</v>
      </c>
      <c r="E90" t="str">
        <f xml:space="preserve"> CONCATENATE( MID(Table15[[#This Row],[PHASE]],2,3), MID(Table15[[#This Row],[DELIVERABLE]],2,4), TRIM(SUBSTITUTE(MID(Table15[[#This Row],[CONCERN.ID]],2,20),"","") )  )</f>
        <v>08.461.5222.01.1000</v>
      </c>
      <c r="F90" t="str">
        <f>TRIM(MID(Table15[[#This Row],[CONCERN.UNIQUEPATH]], IF( ISNUMBER( SEARCH("/",Table15[[#This Row],[CONCERN.UNIQUEPATH]])),SEARCH("/",Table15[[#This Row],[CONCERN.UNIQUEPATH]])+1,1),255))</f>
        <v>Functionality/Completeness/Capabilities/Configuration/Host (Immutable)</v>
      </c>
    </row>
    <row r="91" spans="1:6">
      <c r="A91" t="s">
        <v>1969</v>
      </c>
      <c r="B91" t="s">
        <v>2246</v>
      </c>
      <c r="C91" s="36" t="s">
        <v>3632</v>
      </c>
      <c r="D91" s="26" t="s">
        <v>3633</v>
      </c>
      <c r="E91" s="45" t="str">
        <f xml:space="preserve"> CONCATENATE( MID(Table15[[#This Row],[PHASE]],2,3), MID(Table15[[#This Row],[DELIVERABLE]],2,4), TRIM(SUBSTITUTE(MID(Table15[[#This Row],[CONCERN.ID]],2,20),"","") )  )</f>
        <v>08.461.5222.01.2000</v>
      </c>
      <c r="F91" t="str">
        <f>TRIM(MID(Table15[[#This Row],[CONCERN.UNIQUEPATH]], IF( ISNUMBER( SEARCH("/",Table15[[#This Row],[CONCERN.UNIQUEPATH]])),SEARCH("/",Table15[[#This Row],[CONCERN.UNIQUEPATH]])+1,1),255))</f>
        <v>Functionality/Completeness/Capabilities/Configuration/Mutable</v>
      </c>
    </row>
    <row r="92" spans="1:6">
      <c r="A92" t="s">
        <v>1969</v>
      </c>
      <c r="B92" t="s">
        <v>2246</v>
      </c>
      <c r="C92" s="35" t="s">
        <v>3634</v>
      </c>
      <c r="D92" s="27" t="s">
        <v>3635</v>
      </c>
      <c r="E92" t="str">
        <f xml:space="preserve"> CONCATENATE( MID(Table15[[#This Row],[PHASE]],2,3), MID(Table15[[#This Row],[DELIVERABLE]],2,4), TRIM(SUBSTITUTE(MID(Table15[[#This Row],[CONCERN.ID]],2,20),"","") )  )</f>
        <v>08.461.5222.01.2100</v>
      </c>
      <c r="F92" t="str">
        <f>TRIM(MID(Table15[[#This Row],[CONCERN.UNIQUEPATH]], IF( ISNUMBER( SEARCH("/",Table15[[#This Row],[CONCERN.UNIQUEPATH]])),SEARCH("/",Table15[[#This Row],[CONCERN.UNIQUEPATH]])+1,1),255))</f>
        <v>Functionality/Completeness/Capabilities/Configuration/Mutable/Integration</v>
      </c>
    </row>
    <row r="93" spans="1:6">
      <c r="A93" t="s">
        <v>1969</v>
      </c>
      <c r="B93" t="s">
        <v>2246</v>
      </c>
      <c r="C93" s="34" t="s">
        <v>3636</v>
      </c>
      <c r="D93" s="26" t="s">
        <v>3637</v>
      </c>
      <c r="E93" s="45" t="str">
        <f xml:space="preserve"> CONCATENATE( MID(Table15[[#This Row],[PHASE]],2,3), MID(Table15[[#This Row],[DELIVERABLE]],2,4), TRIM(SUBSTITUTE(MID(Table15[[#This Row],[CONCERN.ID]],2,20),"","") )  )</f>
        <v>08.461.5222.01.2200.1ISO-25</v>
      </c>
      <c r="F93" t="str">
        <f>TRIM(MID(Table15[[#This Row],[CONCERN.UNIQUEPATH]], IF( ISNUMBER( SEARCH("/",Table15[[#This Row],[CONCERN.UNIQUEPATH]])),SEARCH("/",Table15[[#This Row],[CONCERN.UNIQUEPATH]])+1,1),255))</f>
        <v>Completeness/Capabilities/Configuration/Mutable/Defaults</v>
      </c>
    </row>
    <row r="94" spans="1:6">
      <c r="A94" t="s">
        <v>1969</v>
      </c>
      <c r="B94" t="s">
        <v>2246</v>
      </c>
      <c r="C94" s="35" t="s">
        <v>3638</v>
      </c>
      <c r="D94" s="27" t="s">
        <v>3639</v>
      </c>
      <c r="E94" t="str">
        <f xml:space="preserve"> CONCATENATE( MID(Table15[[#This Row],[PHASE]],2,3), MID(Table15[[#This Row],[DELIVERABLE]],2,4), TRIM(SUBSTITUTE(MID(Table15[[#This Row],[CONCERN.ID]],2,20),"","") )  )</f>
        <v>08.461.5222.01.2300</v>
      </c>
      <c r="F94" t="str">
        <f>TRIM(MID(Table15[[#This Row],[CONCERN.UNIQUEPATH]], IF( ISNUMBER( SEARCH("/",Table15[[#This Row],[CONCERN.UNIQUEPATH]])),SEARCH("/",Table15[[#This Row],[CONCERN.UNIQUEPATH]])+1,1),255))</f>
        <v>Functionality/Completeness/Capabilities/Configuration/Mutable/Durations</v>
      </c>
    </row>
    <row r="95" spans="1:6">
      <c r="A95" t="s">
        <v>1969</v>
      </c>
      <c r="B95" t="s">
        <v>2246</v>
      </c>
      <c r="C95" s="34" t="s">
        <v>3640</v>
      </c>
      <c r="D95" s="26" t="s">
        <v>3641</v>
      </c>
      <c r="E95" s="45" t="str">
        <f xml:space="preserve"> CONCATENATE( MID(Table15[[#This Row],[PHASE]],2,3), MID(Table15[[#This Row],[DELIVERABLE]],2,4), TRIM(SUBSTITUTE(MID(Table15[[#This Row],[CONCERN.ID]],2,20),"","") )  )</f>
        <v>08.461.5222.01.2400</v>
      </c>
      <c r="F95" t="str">
        <f>TRIM(MID(Table15[[#This Row],[CONCERN.UNIQUEPATH]], IF( ISNUMBER( SEARCH("/",Table15[[#This Row],[CONCERN.UNIQUEPATH]])),SEARCH("/",Table15[[#This Row],[CONCERN.UNIQUEPATH]])+1,1),255))</f>
        <v>Functionality/Completeness/Capabilities/Configuration/Mutable/Contet</v>
      </c>
    </row>
    <row r="96" spans="1:6">
      <c r="A96" t="s">
        <v>1969</v>
      </c>
      <c r="B96" t="s">
        <v>2246</v>
      </c>
      <c r="C96" s="35" t="s">
        <v>3642</v>
      </c>
      <c r="D96" s="27" t="s">
        <v>3643</v>
      </c>
      <c r="E96" t="str">
        <f xml:space="preserve"> CONCATENATE( MID(Table15[[#This Row],[PHASE]],2,3), MID(Table15[[#This Row],[DELIVERABLE]],2,4), TRIM(SUBSTITUTE(MID(Table15[[#This Row],[CONCERN.ID]],2,20),"","") )  )</f>
        <v>08.461.5222.01.2500</v>
      </c>
      <c r="F96" t="str">
        <f>TRIM(MID(Table15[[#This Row],[CONCERN.UNIQUEPATH]], IF( ISNUMBER( SEARCH("/",Table15[[#This Row],[CONCERN.UNIQUEPATH]])),SEARCH("/",Table15[[#This Row],[CONCERN.UNIQUEPATH]])+1,1),255))</f>
        <v>Functionality/Completeness/Capabilities/Configuration/Mutable/Culture</v>
      </c>
    </row>
    <row r="97" spans="1:6">
      <c r="A97" t="s">
        <v>1969</v>
      </c>
      <c r="B97" t="s">
        <v>2246</v>
      </c>
      <c r="C97" s="31" t="s">
        <v>3644</v>
      </c>
      <c r="D97" s="26" t="s">
        <v>3645</v>
      </c>
      <c r="E97" s="45" t="str">
        <f xml:space="preserve"> CONCATENATE( MID(Table15[[#This Row],[PHASE]],2,3), MID(Table15[[#This Row],[DELIVERABLE]],2,4), TRIM(SUBSTITUTE(MID(Table15[[#This Row],[CONCERN.ID]],2,20),"","") )  )</f>
        <v>08.461.5222.02.0000</v>
      </c>
      <c r="F97" t="str">
        <f>TRIM(MID(Table15[[#This Row],[CONCERN.UNIQUEPATH]], IF( ISNUMBER( SEARCH("/",Table15[[#This Row],[CONCERN.UNIQUEPATH]])),SEARCH("/",Table15[[#This Row],[CONCERN.UNIQUEPATH]])+1,1),255))</f>
        <v>Functionality/Completeness/Capabilities/Diagnostics</v>
      </c>
    </row>
    <row r="98" spans="1:6">
      <c r="A98" t="s">
        <v>1969</v>
      </c>
      <c r="B98" t="s">
        <v>2246</v>
      </c>
      <c r="C98" s="33" t="s">
        <v>3646</v>
      </c>
      <c r="D98" s="27" t="s">
        <v>3647</v>
      </c>
      <c r="E98" t="str">
        <f xml:space="preserve"> CONCATENATE( MID(Table15[[#This Row],[PHASE]],2,3), MID(Table15[[#This Row],[DELIVERABLE]],2,4), TRIM(SUBSTITUTE(MID(Table15[[#This Row],[CONCERN.ID]],2,20),"","") )  )</f>
        <v>08.461.5222.02.1000</v>
      </c>
      <c r="F98" t="str">
        <f>TRIM(MID(Table15[[#This Row],[CONCERN.UNIQUEPATH]], IF( ISNUMBER( SEARCH("/",Table15[[#This Row],[CONCERN.UNIQUEPATH]])),SEARCH("/",Table15[[#This Row],[CONCERN.UNIQUEPATH]])+1,1),255))</f>
        <v>Functionality/Completeness/Capabilities/Diagnostics/Searchable</v>
      </c>
    </row>
    <row r="99" spans="1:6">
      <c r="A99" t="s">
        <v>1969</v>
      </c>
      <c r="B99" t="s">
        <v>2246</v>
      </c>
      <c r="C99" s="31" t="s">
        <v>3648</v>
      </c>
      <c r="D99" s="26" t="s">
        <v>3649</v>
      </c>
      <c r="E99" s="45" t="str">
        <f xml:space="preserve"> CONCATENATE( MID(Table15[[#This Row],[PHASE]],2,3), MID(Table15[[#This Row],[DELIVERABLE]],2,4), TRIM(SUBSTITUTE(MID(Table15[[#This Row],[CONCERN.ID]],2,20),"","") )  )</f>
        <v>08.461.5222.03.0000</v>
      </c>
      <c r="F99" t="str">
        <f>TRIM(MID(Table15[[#This Row],[CONCERN.UNIQUEPATH]], IF( ISNUMBER( SEARCH("/",Table15[[#This Row],[CONCERN.UNIQUEPATH]])),SEARCH("/",Table15[[#This Row],[CONCERN.UNIQUEPATH]])+1,1),255))</f>
        <v>Functionality/Completeness/Capabilities/Eception Handling</v>
      </c>
    </row>
    <row r="100" spans="1:6">
      <c r="A100" t="s">
        <v>1969</v>
      </c>
      <c r="B100" t="s">
        <v>2246</v>
      </c>
      <c r="C100" s="33" t="s">
        <v>3650</v>
      </c>
      <c r="D100" s="27" t="s">
        <v>3651</v>
      </c>
      <c r="E100" t="str">
        <f xml:space="preserve"> CONCATENATE( MID(Table15[[#This Row],[PHASE]],2,3), MID(Table15[[#This Row],[DELIVERABLE]],2,4), TRIM(SUBSTITUTE(MID(Table15[[#This Row],[CONCERN.ID]],2,20),"","") )  )</f>
        <v>08.461.5222.03.1000</v>
      </c>
      <c r="F100" t="str">
        <f>TRIM(MID(Table15[[#This Row],[CONCERN.UNIQUEPATH]], IF( ISNUMBER( SEARCH("/",Table15[[#This Row],[CONCERN.UNIQUEPATH]])),SEARCH("/",Table15[[#This Row],[CONCERN.UNIQUEPATH]])+1,1),255))</f>
        <v>Functionality/Completeness/Capabilities/Eception Handling/Searchable</v>
      </c>
    </row>
    <row r="101" spans="1:6">
      <c r="A101" t="s">
        <v>1969</v>
      </c>
      <c r="B101" t="s">
        <v>2246</v>
      </c>
      <c r="C101" s="34" t="s">
        <v>3652</v>
      </c>
      <c r="D101" s="26" t="s">
        <v>3653</v>
      </c>
      <c r="E101" s="45" t="str">
        <f xml:space="preserve"> CONCATENATE( MID(Table15[[#This Row],[PHASE]],2,3), MID(Table15[[#This Row],[DELIVERABLE]],2,4), TRIM(SUBSTITUTE(MID(Table15[[#This Row],[CONCERN.ID]],2,20),"","") )  )</f>
        <v>08.461.5222.03.1100</v>
      </c>
      <c r="F101" t="str">
        <f>TRIM(MID(Table15[[#This Row],[CONCERN.UNIQUEPATH]], IF( ISNUMBER( SEARCH("/",Table15[[#This Row],[CONCERN.UNIQUEPATH]])),SEARCH("/",Table15[[#This Row],[CONCERN.UNIQUEPATH]])+1,1),255))</f>
        <v>Functionality/Completeness/Capabilities/Eception Handling/Searchable/By Event UUID</v>
      </c>
    </row>
    <row r="102" spans="1:6">
      <c r="A102" t="s">
        <v>1969</v>
      </c>
      <c r="B102" t="s">
        <v>2246</v>
      </c>
      <c r="C102" s="32" t="s">
        <v>3654</v>
      </c>
      <c r="D102" s="27" t="s">
        <v>3655</v>
      </c>
      <c r="E102" t="str">
        <f xml:space="preserve"> CONCATENATE( MID(Table15[[#This Row],[PHASE]],2,3), MID(Table15[[#This Row],[DELIVERABLE]],2,4), TRIM(SUBSTITUTE(MID(Table15[[#This Row],[CONCERN.ID]],2,20),"","") )  )</f>
        <v>08.461.5222.04.0000</v>
      </c>
      <c r="F102" t="str">
        <f>TRIM(MID(Table15[[#This Row],[CONCERN.UNIQUEPATH]], IF( ISNUMBER( SEARCH("/",Table15[[#This Row],[CONCERN.UNIQUEPATH]])),SEARCH("/",Table15[[#This Row],[CONCERN.UNIQUEPATH]])+1,1),255))</f>
        <v>Functionality/Completeness/Capabilities/Validation</v>
      </c>
    </row>
    <row r="103" spans="1:6">
      <c r="A103" t="s">
        <v>1969</v>
      </c>
      <c r="B103" t="s">
        <v>2246</v>
      </c>
      <c r="C103" s="36" t="s">
        <v>3656</v>
      </c>
      <c r="D103" s="26" t="s">
        <v>3657</v>
      </c>
      <c r="E103" s="45" t="str">
        <f xml:space="preserve"> CONCATENATE( MID(Table15[[#This Row],[PHASE]],2,3), MID(Table15[[#This Row],[DELIVERABLE]],2,4), TRIM(SUBSTITUTE(MID(Table15[[#This Row],[CONCERN.ID]],2,20),"","") )  )</f>
        <v>08.461.5222.04.1000</v>
      </c>
      <c r="F103" t="str">
        <f>TRIM(MID(Table15[[#This Row],[CONCERN.UNIQUEPATH]], IF( ISNUMBER( SEARCH("/",Table15[[#This Row],[CONCERN.UNIQUEPATH]])),SEARCH("/",Table15[[#This Row],[CONCERN.UNIQUEPATH]])+1,1),255))</f>
        <v>Functionality/Completeness/Capabilities/Validation/At Perimeter (ie Controllers)</v>
      </c>
    </row>
    <row r="104" spans="1:6">
      <c r="A104" t="s">
        <v>1969</v>
      </c>
      <c r="B104" t="s">
        <v>2246</v>
      </c>
      <c r="C104" s="32" t="s">
        <v>3658</v>
      </c>
      <c r="D104" s="27" t="s">
        <v>3659</v>
      </c>
      <c r="E104" t="str">
        <f xml:space="preserve"> CONCATENATE( MID(Table15[[#This Row],[PHASE]],2,3), MID(Table15[[#This Row],[DELIVERABLE]],2,4), TRIM(SUBSTITUTE(MID(Table15[[#This Row],[CONCERN.ID]],2,20),"","") )  )</f>
        <v>08.461.5222.05.0000</v>
      </c>
      <c r="F104" t="str">
        <f>TRIM(MID(Table15[[#This Row],[CONCERN.UNIQUEPATH]], IF( ISNUMBER( SEARCH("/",Table15[[#This Row],[CONCERN.UNIQUEPATH]])),SEARCH("/",Table15[[#This Row],[CONCERN.UNIQUEPATH]])+1,1),255))</f>
        <v>Functionality/Completeness/Capabilities/Users</v>
      </c>
    </row>
    <row r="105" spans="1:6">
      <c r="A105" t="s">
        <v>1969</v>
      </c>
      <c r="B105" t="s">
        <v>2246</v>
      </c>
      <c r="C105" s="36" t="s">
        <v>3660</v>
      </c>
      <c r="D105" s="26" t="s">
        <v>3661</v>
      </c>
      <c r="E105" s="45" t="str">
        <f xml:space="preserve"> CONCATENATE( MID(Table15[[#This Row],[PHASE]],2,3), MID(Table15[[#This Row],[DELIVERABLE]],2,4), TRIM(SUBSTITUTE(MID(Table15[[#This Row],[CONCERN.ID]],2,20),"","") )  )</f>
        <v>08.461.5222.05.1000</v>
      </c>
      <c r="F105" t="str">
        <f>TRIM(MID(Table15[[#This Row],[CONCERN.UNIQUEPATH]], IF( ISNUMBER( SEARCH("/",Table15[[#This Row],[CONCERN.UNIQUEPATH]])),SEARCH("/",Table15[[#This Row],[CONCERN.UNIQUEPATH]])+1,1),255))</f>
        <v>Functionality/Completeness/Capabilities/Users/Disablement</v>
      </c>
    </row>
    <row r="106" spans="1:6">
      <c r="A106" t="s">
        <v>1969</v>
      </c>
      <c r="B106" t="s">
        <v>2246</v>
      </c>
      <c r="C106" s="35" t="s">
        <v>3662</v>
      </c>
      <c r="D106" s="27" t="s">
        <v>3663</v>
      </c>
      <c r="E106" t="str">
        <f xml:space="preserve"> CONCATENATE( MID(Table15[[#This Row],[PHASE]],2,3), MID(Table15[[#This Row],[DELIVERABLE]],2,4), TRIM(SUBSTITUTE(MID(Table15[[#This Row],[CONCERN.ID]],2,20),"","") )  )</f>
        <v>08.461.5222.05.1100</v>
      </c>
      <c r="F106" t="str">
        <f>TRIM(MID(Table15[[#This Row],[CONCERN.UNIQUEPATH]], IF( ISNUMBER( SEARCH("/",Table15[[#This Row],[CONCERN.UNIQUEPATH]])),SEARCH("/",Table15[[#This Row],[CONCERN.UNIQUEPATH]])+1,1),255))</f>
        <v>Functionality/Completeness/Capabilities/Users/Disablement/Temporary</v>
      </c>
    </row>
    <row r="107" spans="1:6">
      <c r="A107" t="s">
        <v>1969</v>
      </c>
      <c r="B107" t="s">
        <v>2246</v>
      </c>
      <c r="C107" s="36" t="s">
        <v>3664</v>
      </c>
      <c r="D107" s="26" t="s">
        <v>3665</v>
      </c>
      <c r="E107" s="45" t="str">
        <f xml:space="preserve"> CONCATENATE( MID(Table15[[#This Row],[PHASE]],2,3), MID(Table15[[#This Row],[DELIVERABLE]],2,4), TRIM(SUBSTITUTE(MID(Table15[[#This Row],[CONCERN.ID]],2,20),"","") )  )</f>
        <v>08.461.5222.05.2000</v>
      </c>
      <c r="F107" t="str">
        <f>TRIM(MID(Table15[[#This Row],[CONCERN.UNIQUEPATH]], IF( ISNUMBER( SEARCH("/",Table15[[#This Row],[CONCERN.UNIQUEPATH]])),SEARCH("/",Table15[[#This Row],[CONCERN.UNIQUEPATH]])+1,1),255))</f>
        <v>Functionality/Completeness/Capabilities/Users/Enablement</v>
      </c>
    </row>
    <row r="108" spans="1:6">
      <c r="A108" t="s">
        <v>1969</v>
      </c>
      <c r="B108" t="s">
        <v>2246</v>
      </c>
      <c r="C108" s="35" t="s">
        <v>3666</v>
      </c>
      <c r="D108" s="27" t="s">
        <v>3667</v>
      </c>
      <c r="E108" t="str">
        <f xml:space="preserve"> CONCATENATE( MID(Table15[[#This Row],[PHASE]],2,3), MID(Table15[[#This Row],[DELIVERABLE]],2,4), TRIM(SUBSTITUTE(MID(Table15[[#This Row],[CONCERN.ID]],2,20),"","") )  )</f>
        <v>08.461.5222.05.2100</v>
      </c>
      <c r="F108" t="str">
        <f>TRIM(MID(Table15[[#This Row],[CONCERN.UNIQUEPATH]], IF( ISNUMBER( SEARCH("/",Table15[[#This Row],[CONCERN.UNIQUEPATH]])),SEARCH("/",Table15[[#This Row],[CONCERN.UNIQUEPATH]])+1,1),255))</f>
        <v>Functionality/Completeness/Capabilities/Users/Enablement/Temporary</v>
      </c>
    </row>
    <row r="109" spans="1:6">
      <c r="A109" t="s">
        <v>1969</v>
      </c>
      <c r="B109" t="s">
        <v>2246</v>
      </c>
      <c r="C109" s="31" t="s">
        <v>3668</v>
      </c>
      <c r="D109" s="26" t="s">
        <v>3669</v>
      </c>
      <c r="E109" s="45" t="str">
        <f xml:space="preserve"> CONCATENATE( MID(Table15[[#This Row],[PHASE]],2,3), MID(Table15[[#This Row],[DELIVERABLE]],2,4), TRIM(SUBSTITUTE(MID(Table15[[#This Row],[CONCERN.ID]],2,20),"","") )  )</f>
        <v>08.461.5222.06.0000</v>
      </c>
      <c r="F109" t="str">
        <f>TRIM(MID(Table15[[#This Row],[CONCERN.UNIQUEPATH]], IF( ISNUMBER( SEARCH("/",Table15[[#This Row],[CONCERN.UNIQUEPATH]])),SEARCH("/",Table15[[#This Row],[CONCERN.UNIQUEPATH]])+1,1),255))</f>
        <v>Functionality/Completeness/Capabilities/Groups</v>
      </c>
    </row>
    <row r="110" spans="1:6">
      <c r="A110" t="s">
        <v>1969</v>
      </c>
      <c r="B110" t="s">
        <v>2246</v>
      </c>
      <c r="C110" s="33" t="s">
        <v>3670</v>
      </c>
      <c r="D110" s="27" t="s">
        <v>3671</v>
      </c>
      <c r="E110" t="str">
        <f xml:space="preserve"> CONCATENATE( MID(Table15[[#This Row],[PHASE]],2,3), MID(Table15[[#This Row],[DELIVERABLE]],2,4), TRIM(SUBSTITUTE(MID(Table15[[#This Row],[CONCERN.ID]],2,20),"","") )  )</f>
        <v>08.461.5222.06.1000</v>
      </c>
      <c r="F110" t="str">
        <f>TRIM(MID(Table15[[#This Row],[CONCERN.UNIQUEPATH]], IF( ISNUMBER( SEARCH("/",Table15[[#This Row],[CONCERN.UNIQUEPATH]])),SEARCH("/",Table15[[#This Row],[CONCERN.UNIQUEPATH]])+1,1),255))</f>
        <v>Functionality/Completeness/Capabilities/Group/Enablement</v>
      </c>
    </row>
    <row r="111" spans="1:6">
      <c r="A111" t="s">
        <v>1969</v>
      </c>
      <c r="B111" t="s">
        <v>2246</v>
      </c>
      <c r="C111" s="34" t="s">
        <v>3672</v>
      </c>
      <c r="D111" s="26" t="s">
        <v>3673</v>
      </c>
      <c r="E111" s="45" t="str">
        <f xml:space="preserve"> CONCATENATE( MID(Table15[[#This Row],[PHASE]],2,3), MID(Table15[[#This Row],[DELIVERABLE]],2,4), TRIM(SUBSTITUTE(MID(Table15[[#This Row],[CONCERN.ID]],2,20),"","") )  )</f>
        <v>08.461.5222.06.1100</v>
      </c>
      <c r="F111" t="str">
        <f>TRIM(MID(Table15[[#This Row],[CONCERN.UNIQUEPATH]], IF( ISNUMBER( SEARCH("/",Table15[[#This Row],[CONCERN.UNIQUEPATH]])),SEARCH("/",Table15[[#This Row],[CONCERN.UNIQUEPATH]])+1,1),255))</f>
        <v>Functionality/Completeness/Capabilities/Group/Enablement/Temporary</v>
      </c>
    </row>
    <row r="112" spans="1:6">
      <c r="A112" t="s">
        <v>1969</v>
      </c>
      <c r="B112" t="s">
        <v>2246</v>
      </c>
      <c r="C112" s="33" t="s">
        <v>3674</v>
      </c>
      <c r="D112" s="27" t="s">
        <v>3675</v>
      </c>
      <c r="E112" t="str">
        <f xml:space="preserve"> CONCATENATE( MID(Table15[[#This Row],[PHASE]],2,3), MID(Table15[[#This Row],[DELIVERABLE]],2,4), TRIM(SUBSTITUTE(MID(Table15[[#This Row],[CONCERN.ID]],2,20),"","") )  )</f>
        <v>08.461.5222.06.2000</v>
      </c>
      <c r="F112" t="str">
        <f>TRIM(MID(Table15[[#This Row],[CONCERN.UNIQUEPATH]], IF( ISNUMBER( SEARCH("/",Table15[[#This Row],[CONCERN.UNIQUEPATH]])),SEARCH("/",Table15[[#This Row],[CONCERN.UNIQUEPATH]])+1,1),255))</f>
        <v>Functionality/Completeness/Capabilities/Group/Disablement</v>
      </c>
    </row>
    <row r="113" spans="1:6">
      <c r="A113" t="s">
        <v>1969</v>
      </c>
      <c r="B113" t="s">
        <v>2246</v>
      </c>
      <c r="C113" s="34" t="s">
        <v>3676</v>
      </c>
      <c r="D113" s="26" t="s">
        <v>3677</v>
      </c>
      <c r="E113" s="45" t="str">
        <f xml:space="preserve"> CONCATENATE( MID(Table15[[#This Row],[PHASE]],2,3), MID(Table15[[#This Row],[DELIVERABLE]],2,4), TRIM(SUBSTITUTE(MID(Table15[[#This Row],[CONCERN.ID]],2,20),"","") )  )</f>
        <v>08.461.5222.06.2100</v>
      </c>
      <c r="F113" t="str">
        <f>TRIM(MID(Table15[[#This Row],[CONCERN.UNIQUEPATH]], IF( ISNUMBER( SEARCH("/",Table15[[#This Row],[CONCERN.UNIQUEPATH]])),SEARCH("/",Table15[[#This Row],[CONCERN.UNIQUEPATH]])+1,1),255))</f>
        <v>Functionality/Completeness/Capabilities/Group/Disablement/Temporary</v>
      </c>
    </row>
    <row r="114" spans="1:6">
      <c r="A114" t="s">
        <v>1969</v>
      </c>
      <c r="B114" t="s">
        <v>2246</v>
      </c>
      <c r="C114" s="33" t="s">
        <v>3678</v>
      </c>
      <c r="D114" s="27" t="s">
        <v>3679</v>
      </c>
      <c r="E114" t="str">
        <f xml:space="preserve"> CONCATENATE( MID(Table15[[#This Row],[PHASE]],2,3), MID(Table15[[#This Row],[DELIVERABLE]],2,4), TRIM(SUBSTITUTE(MID(Table15[[#This Row],[CONCERN.ID]],2,20),"","") )  )</f>
        <v>08.461.5222.06.3000</v>
      </c>
      <c r="F114" t="str">
        <f>TRIM(MID(Table15[[#This Row],[CONCERN.UNIQUEPATH]], IF( ISNUMBER( SEARCH("/",Table15[[#This Row],[CONCERN.UNIQUEPATH]])),SEARCH("/",Table15[[#This Row],[CONCERN.UNIQUEPATH]])+1,1),255))</f>
        <v>Functionality/Completeness/Capabilities/Group/Hierarchical Organisation</v>
      </c>
    </row>
    <row r="115" spans="1:6">
      <c r="A115" t="s">
        <v>1969</v>
      </c>
      <c r="B115" t="s">
        <v>2246</v>
      </c>
      <c r="C115" s="31" t="s">
        <v>3680</v>
      </c>
      <c r="D115" s="26" t="s">
        <v>3681</v>
      </c>
      <c r="E115" s="45" t="str">
        <f xml:space="preserve"> CONCATENATE( MID(Table15[[#This Row],[PHASE]],2,3), MID(Table15[[#This Row],[DELIVERABLE]],2,4), TRIM(SUBSTITUTE(MID(Table15[[#This Row],[CONCERN.ID]],2,20),"","") )  )</f>
        <v>08.461.5222.07.0000</v>
      </c>
      <c r="F115" t="str">
        <f>TRIM(MID(Table15[[#This Row],[CONCERN.UNIQUEPATH]], IF( ISNUMBER( SEARCH("/",Table15[[#This Row],[CONCERN.UNIQUEPATH]])),SEARCH("/",Table15[[#This Row],[CONCERN.UNIQUEPATH]])+1,1),255))</f>
        <v>Functionality/Completeness/Capabilities/Group Roles</v>
      </c>
    </row>
    <row r="116" spans="1:6">
      <c r="A116" t="s">
        <v>1969</v>
      </c>
      <c r="B116" t="s">
        <v>2246</v>
      </c>
      <c r="C116" s="33" t="s">
        <v>3682</v>
      </c>
      <c r="D116" s="27" t="s">
        <v>3683</v>
      </c>
      <c r="E116" t="str">
        <f xml:space="preserve"> CONCATENATE( MID(Table15[[#This Row],[PHASE]],2,3), MID(Table15[[#This Row],[DELIVERABLE]],2,4), TRIM(SUBSTITUTE(MID(Table15[[#This Row],[CONCERN.ID]],2,20),"","") )  )</f>
        <v>08.461.5222.07.1000</v>
      </c>
      <c r="F116" t="str">
        <f>TRIM(MID(Table15[[#This Row],[CONCERN.UNIQUEPATH]], IF( ISNUMBER( SEARCH("/",Table15[[#This Row],[CONCERN.UNIQUEPATH]])),SEARCH("/",Table15[[#This Row],[CONCERN.UNIQUEPATH]])+1,1),255))</f>
        <v>Functionality/Completeness/Capabilities/Group Roles/Notification</v>
      </c>
    </row>
    <row r="117" spans="1:6">
      <c r="A117" t="s">
        <v>1969</v>
      </c>
      <c r="B117" t="s">
        <v>2246</v>
      </c>
      <c r="C117" s="34" t="s">
        <v>3684</v>
      </c>
      <c r="D117" s="26" t="s">
        <v>3685</v>
      </c>
      <c r="E117" s="45" t="str">
        <f xml:space="preserve"> CONCATENATE( MID(Table15[[#This Row],[PHASE]],2,3), MID(Table15[[#This Row],[DELIVERABLE]],2,4), TRIM(SUBSTITUTE(MID(Table15[[#This Row],[CONCERN.ID]],2,20),"","") )  )</f>
        <v>08.461.5222.07.1100</v>
      </c>
      <c r="F117" t="str">
        <f>TRIM(MID(Table15[[#This Row],[CONCERN.UNIQUEPATH]], IF( ISNUMBER( SEARCH("/",Table15[[#This Row],[CONCERN.UNIQUEPATH]])),SEARCH("/",Table15[[#This Row],[CONCERN.UNIQUEPATH]])+1,1),255))</f>
        <v>Functionality/Completeness/Capabilities/Group Roles/Notification/By Invitation</v>
      </c>
    </row>
    <row r="118" spans="1:6">
      <c r="A118" t="s">
        <v>1969</v>
      </c>
      <c r="B118" t="s">
        <v>2246</v>
      </c>
      <c r="C118" s="33" t="s">
        <v>3686</v>
      </c>
      <c r="D118" s="27" t="s">
        <v>3687</v>
      </c>
      <c r="E118" t="str">
        <f xml:space="preserve"> CONCATENATE( MID(Table15[[#This Row],[PHASE]],2,3), MID(Table15[[#This Row],[DELIVERABLE]],2,4), TRIM(SUBSTITUTE(MID(Table15[[#This Row],[CONCERN.ID]],2,20),"","") )  )</f>
        <v>08.461.5222.07.2000</v>
      </c>
      <c r="F118" t="str">
        <f>TRIM(MID(Table15[[#This Row],[CONCERN.UNIQUEPATH]], IF( ISNUMBER( SEARCH("/",Table15[[#This Row],[CONCERN.UNIQUEPATH]])),SEARCH("/",Table15[[#This Row],[CONCERN.UNIQUEPATH]])+1,1),255))</f>
        <v>Functionality/Completeness/Capabilities/Group Roles/Accept Responsibilities</v>
      </c>
    </row>
    <row r="119" spans="1:6">
      <c r="A119" t="s">
        <v>1969</v>
      </c>
      <c r="B119" t="s">
        <v>2246</v>
      </c>
      <c r="C119" s="34" t="s">
        <v>3688</v>
      </c>
      <c r="D119" s="26" t="s">
        <v>3689</v>
      </c>
      <c r="E119" s="45" t="str">
        <f xml:space="preserve"> CONCATENATE( MID(Table15[[#This Row],[PHASE]],2,3), MID(Table15[[#This Row],[DELIVERABLE]],2,4), TRIM(SUBSTITUTE(MID(Table15[[#This Row],[CONCERN.ID]],2,20),"","") )  )</f>
        <v>08.461.5222.07.2100</v>
      </c>
      <c r="F119" t="str">
        <f>TRIM(MID(Table15[[#This Row],[CONCERN.UNIQUEPATH]], IF( ISNUMBER( SEARCH("/",Table15[[#This Row],[CONCERN.UNIQUEPATH]])),SEARCH("/",Table15[[#This Row],[CONCERN.UNIQUEPATH]])+1,1),255))</f>
        <v>Functionality/Completeness/Capabilities/Group Roles/Accept Responsibilities/before Permissions</v>
      </c>
    </row>
    <row r="120" spans="1:6">
      <c r="A120" t="s">
        <v>1969</v>
      </c>
      <c r="B120" t="s">
        <v>2246</v>
      </c>
      <c r="C120" s="32" t="s">
        <v>3690</v>
      </c>
      <c r="D120" s="27" t="s">
        <v>3691</v>
      </c>
      <c r="E120" t="str">
        <f xml:space="preserve"> CONCATENATE( MID(Table15[[#This Row],[PHASE]],2,3), MID(Table15[[#This Row],[DELIVERABLE]],2,4), TRIM(SUBSTITUTE(MID(Table15[[#This Row],[CONCERN.ID]],2,20),"","") )  )</f>
        <v>08.461.5222.08.0000</v>
      </c>
      <c r="F120" t="str">
        <f>TRIM(MID(Table15[[#This Row],[CONCERN.UNIQUEPATH]], IF( ISNUMBER( SEARCH("/",Table15[[#This Row],[CONCERN.UNIQUEPATH]])),SEARCH("/",Table15[[#This Row],[CONCERN.UNIQUEPATH]])+1,1),255))</f>
        <v>Functionality/Completeness/Capabilities/Permissions</v>
      </c>
    </row>
    <row r="121" spans="1:6">
      <c r="A121" t="s">
        <v>1969</v>
      </c>
      <c r="B121" t="s">
        <v>2246</v>
      </c>
      <c r="C121" s="36" t="s">
        <v>3692</v>
      </c>
      <c r="D121" s="26" t="s">
        <v>3693</v>
      </c>
      <c r="E121" s="45" t="str">
        <f xml:space="preserve"> CONCATENATE( MID(Table15[[#This Row],[PHASE]],2,3), MID(Table15[[#This Row],[DELIVERABLE]],2,4), TRIM(SUBSTITUTE(MID(Table15[[#This Row],[CONCERN.ID]],2,20),"","") )  )</f>
        <v>08.461.5222.08.1000</v>
      </c>
      <c r="F121" t="str">
        <f>TRIM(MID(Table15[[#This Row],[CONCERN.UNIQUEPATH]], IF( ISNUMBER( SEARCH("/",Table15[[#This Row],[CONCERN.UNIQUEPATH]])),SEARCH("/",Table15[[#This Row],[CONCERN.UNIQUEPATH]])+1,1),255))</f>
        <v>Functionality/Completeness/Capabilities/Permissions/Assigned to Roles</v>
      </c>
    </row>
    <row r="122" spans="1:6">
      <c r="A122" t="s">
        <v>1969</v>
      </c>
      <c r="B122" t="s">
        <v>2246</v>
      </c>
      <c r="C122" s="35" t="s">
        <v>3694</v>
      </c>
      <c r="D122" s="27" t="s">
        <v>3695</v>
      </c>
      <c r="E122" t="str">
        <f xml:space="preserve"> CONCATENATE( MID(Table15[[#This Row],[PHASE]],2,3), MID(Table15[[#This Row],[DELIVERABLE]],2,4), TRIM(SUBSTITUTE(MID(Table15[[#This Row],[CONCERN.ID]],2,20),"","") )  )</f>
        <v>08.461.5222.08.1100</v>
      </c>
      <c r="F122" t="str">
        <f>TRIM(MID(Table15[[#This Row],[CONCERN.UNIQUEPATH]], IF( ISNUMBER( SEARCH("/",Table15[[#This Row],[CONCERN.UNIQUEPATH]])),SEARCH("/",Table15[[#This Row],[CONCERN.UNIQUEPATH]])+1,1),255))</f>
        <v>Functionality/Completeness/Capabilities/Permissions/Assigned to Roles/Supercede per User</v>
      </c>
    </row>
    <row r="123" spans="1:6">
      <c r="A123" t="s">
        <v>1969</v>
      </c>
      <c r="B123" t="s">
        <v>2246</v>
      </c>
      <c r="C123" s="36" t="s">
        <v>3696</v>
      </c>
      <c r="D123" s="26" t="s">
        <v>3697</v>
      </c>
      <c r="E123" s="45" t="str">
        <f xml:space="preserve"> CONCATENATE( MID(Table15[[#This Row],[PHASE]],2,3), MID(Table15[[#This Row],[DELIVERABLE]],2,4), TRIM(SUBSTITUTE(MID(Table15[[#This Row],[CONCERN.ID]],2,20),"","") )  )</f>
        <v>08.461.5222.08.2000</v>
      </c>
      <c r="F123" t="str">
        <f>TRIM(MID(Table15[[#This Row],[CONCERN.UNIQUEPATH]], IF( ISNUMBER( SEARCH("/",Table15[[#This Row],[CONCERN.UNIQUEPATH]])),SEARCH("/",Table15[[#This Row],[CONCERN.UNIQUEPATH]])+1,1),255))</f>
        <v>Functionality/Completeness/Capabilities/Permissions/Defined in Logical Modules</v>
      </c>
    </row>
    <row r="124" spans="1:6">
      <c r="A124" t="s">
        <v>1969</v>
      </c>
      <c r="B124" t="s">
        <v>2246</v>
      </c>
      <c r="C124" s="32" t="s">
        <v>3698</v>
      </c>
      <c r="D124" s="27" t="s">
        <v>3699</v>
      </c>
      <c r="E124" t="str">
        <f xml:space="preserve"> CONCATENATE( MID(Table15[[#This Row],[PHASE]],2,3), MID(Table15[[#This Row],[DELIVERABLE]],2,4), TRIM(SUBSTITUTE(MID(Table15[[#This Row],[CONCERN.ID]],2,20),"","") )  )</f>
        <v>08.461.5222.09.0000</v>
      </c>
      <c r="F124" t="str">
        <f>TRIM(MID(Table15[[#This Row],[CONCERN.UNIQUEPATH]], IF( ISNUMBER( SEARCH("/",Table15[[#This Row],[CONCERN.UNIQUEPATH]])),SEARCH("/",Table15[[#This Row],[CONCERN.UNIQUEPATH]])+1,1),255))</f>
        <v>Functionality/Completeness/Capabilities/Authorisation Handling</v>
      </c>
    </row>
    <row r="125" spans="1:6">
      <c r="A125" t="s">
        <v>1969</v>
      </c>
      <c r="B125" t="s">
        <v>2246</v>
      </c>
      <c r="C125" s="31" t="s">
        <v>3700</v>
      </c>
      <c r="D125" s="26" t="s">
        <v>3701</v>
      </c>
      <c r="E125" s="45" t="str">
        <f xml:space="preserve"> CONCATENATE( MID(Table15[[#This Row],[PHASE]],2,3), MID(Table15[[#This Row],[DELIVERABLE]],2,4), TRIM(SUBSTITUTE(MID(Table15[[#This Row],[CONCERN.ID]],2,20),"","") )  )</f>
        <v>08.461.5222.10.0000</v>
      </c>
      <c r="F125" t="str">
        <f>TRIM(MID(Table15[[#This Row],[CONCERN.UNIQUEPATH]], IF( ISNUMBER( SEARCH("/",Table15[[#This Row],[CONCERN.UNIQUEPATH]])),SEARCH("/",Table15[[#This Row],[CONCERN.UNIQUEPATH]])+1,1),255))</f>
        <v>Functionality/Completeness/Capabilities/Notifications</v>
      </c>
    </row>
    <row r="126" spans="1:6">
      <c r="A126" t="s">
        <v>1969</v>
      </c>
      <c r="B126" t="s">
        <v>2246</v>
      </c>
      <c r="C126" s="33" t="s">
        <v>3702</v>
      </c>
      <c r="D126" s="27" t="s">
        <v>3703</v>
      </c>
      <c r="E126" t="str">
        <f xml:space="preserve"> CONCATENATE( MID(Table15[[#This Row],[PHASE]],2,3), MID(Table15[[#This Row],[DELIVERABLE]],2,4), TRIM(SUBSTITUTE(MID(Table15[[#This Row],[CONCERN.ID]],2,20),"","") )  )</f>
        <v>08.461.5222.10.1000</v>
      </c>
      <c r="F126" t="str">
        <f>TRIM(MID(Table15[[#This Row],[CONCERN.UNIQUEPATH]], IF( ISNUMBER( SEARCH("/",Table15[[#This Row],[CONCERN.UNIQUEPATH]])),SEARCH("/",Table15[[#This Row],[CONCERN.UNIQUEPATH]])+1,1),255))</f>
        <v>Functionality/Completeness/Capabilities/Notifications/Using SMTP</v>
      </c>
    </row>
    <row r="127" spans="1:6">
      <c r="A127" t="s">
        <v>1969</v>
      </c>
      <c r="B127" t="s">
        <v>2246</v>
      </c>
      <c r="C127" s="36" t="s">
        <v>3704</v>
      </c>
      <c r="D127" s="26" t="s">
        <v>3705</v>
      </c>
      <c r="E127" s="45" t="str">
        <f xml:space="preserve"> CONCATENATE( MID(Table15[[#This Row],[PHASE]],2,3), MID(Table15[[#This Row],[DELIVERABLE]],2,4), TRIM(SUBSTITUTE(MID(Table15[[#This Row],[CONCERN.ID]],2,20),"","") )  )</f>
        <v>08.461.5222.10.2000</v>
      </c>
      <c r="F127" t="str">
        <f>TRIM(MID(Table15[[#This Row],[CONCERN.UNIQUEPATH]], IF( ISNUMBER( SEARCH("/",Table15[[#This Row],[CONCERN.UNIQUEPATH]])),SEARCH("/",Table15[[#This Row],[CONCERN.UNIQUEPATH]])+1,1),255))</f>
        <v>Functionality/Completeness/Capabilities/Notifications/In System</v>
      </c>
    </row>
    <row r="128" spans="1:6">
      <c r="A128" t="s">
        <v>1969</v>
      </c>
      <c r="B128" t="s">
        <v>2246</v>
      </c>
      <c r="C128" s="33" t="s">
        <v>3706</v>
      </c>
      <c r="D128" s="27" t="s">
        <v>3707</v>
      </c>
      <c r="E128" t="str">
        <f xml:space="preserve"> CONCATENATE( MID(Table15[[#This Row],[PHASE]],2,3), MID(Table15[[#This Row],[DELIVERABLE]],2,4), TRIM(SUBSTITUTE(MID(Table15[[#This Row],[CONCERN.ID]],2,20),"","") )  )</f>
        <v>08.461.5222.10.3000</v>
      </c>
      <c r="F128" t="str">
        <f>TRIM(MID(Table15[[#This Row],[CONCERN.UNIQUEPATH]], IF( ISNUMBER( SEARCH("/",Table15[[#This Row],[CONCERN.UNIQUEPATH]])),SEARCH("/",Table15[[#This Row],[CONCERN.UNIQUEPATH]])+1,1),255))</f>
        <v>Functionality/Completeness/Capabilities/Notifications/Permanently Stored</v>
      </c>
    </row>
    <row r="129" spans="1:6">
      <c r="A129" t="s">
        <v>1969</v>
      </c>
      <c r="B129" t="s">
        <v>2246</v>
      </c>
      <c r="C129" s="36" t="s">
        <v>3708</v>
      </c>
      <c r="D129" s="26" t="s">
        <v>3709</v>
      </c>
      <c r="E129" s="45" t="str">
        <f xml:space="preserve"> CONCATENATE( MID(Table15[[#This Row],[PHASE]],2,3), MID(Table15[[#This Row],[DELIVERABLE]],2,4), TRIM(SUBSTITUTE(MID(Table15[[#This Row],[CONCERN.ID]],2,20),"","") )  )</f>
        <v>08.461.5222.10.4000</v>
      </c>
      <c r="F129" t="str">
        <f>TRIM(MID(Table15[[#This Row],[CONCERN.UNIQUEPATH]], IF( ISNUMBER( SEARCH("/",Table15[[#This Row],[CONCERN.UNIQUEPATH]])),SEARCH("/",Table15[[#This Row],[CONCERN.UNIQUEPATH]])+1,1),255))</f>
        <v>Functionality/Completeness/Capabilities/Notifications/Confidential</v>
      </c>
    </row>
    <row r="130" spans="1:6">
      <c r="A130" t="s">
        <v>1969</v>
      </c>
      <c r="B130" t="s">
        <v>2246</v>
      </c>
      <c r="C130" s="33" t="s">
        <v>3708</v>
      </c>
      <c r="D130" s="27" t="s">
        <v>3710</v>
      </c>
      <c r="E130" t="str">
        <f xml:space="preserve"> CONCATENATE( MID(Table15[[#This Row],[PHASE]],2,3), MID(Table15[[#This Row],[DELIVERABLE]],2,4), TRIM(SUBSTITUTE(MID(Table15[[#This Row],[CONCERN.ID]],2,20),"","") )  )</f>
        <v>08.461.5222.10.4000</v>
      </c>
      <c r="F130" t="str">
        <f>TRIM(MID(Table15[[#This Row],[CONCERN.UNIQUEPATH]], IF( ISNUMBER( SEARCH("/",Table15[[#This Row],[CONCERN.UNIQUEPATH]])),SEARCH("/",Table15[[#This Row],[CONCERN.UNIQUEPATH]])+1,1),255))</f>
        <v>Functionality/Completeness/Capabilities/Notifications/Searchable By Content &amp; Metadata</v>
      </c>
    </row>
    <row r="131" spans="1:6">
      <c r="A131" t="s">
        <v>1969</v>
      </c>
      <c r="B131" t="s">
        <v>2246</v>
      </c>
      <c r="C131" s="34" t="s">
        <v>3711</v>
      </c>
      <c r="D131" s="26" t="s">
        <v>3712</v>
      </c>
      <c r="E131" s="45" t="str">
        <f xml:space="preserve"> CONCATENATE( MID(Table15[[#This Row],[PHASE]],2,3), MID(Table15[[#This Row],[DELIVERABLE]],2,4), TRIM(SUBSTITUTE(MID(Table15[[#This Row],[CONCERN.ID]],2,20),"","") )  )</f>
        <v>08.461.5222.10.4100</v>
      </c>
      <c r="F131" t="str">
        <f>TRIM(MID(Table15[[#This Row],[CONCERN.UNIQUEPATH]], IF( ISNUMBER( SEARCH("/",Table15[[#This Row],[CONCERN.UNIQUEPATH]])),SEARCH("/",Table15[[#This Row],[CONCERN.UNIQUEPATH]])+1,1),255))</f>
        <v>Functionality/Completeness/Capabilities/Notifications/Confidential/Do Not Disclose Personal Information</v>
      </c>
    </row>
    <row r="132" spans="1:6">
      <c r="A132" t="s">
        <v>1969</v>
      </c>
      <c r="B132" t="s">
        <v>2246</v>
      </c>
      <c r="C132" s="33" t="s">
        <v>3713</v>
      </c>
      <c r="D132" s="27" t="s">
        <v>3714</v>
      </c>
      <c r="E132" t="str">
        <f xml:space="preserve"> CONCATENATE( MID(Table15[[#This Row],[PHASE]],2,3), MID(Table15[[#This Row],[DELIVERABLE]],2,4), TRIM(SUBSTITUTE(MID(Table15[[#This Row],[CONCERN.ID]],2,20),"","") )  )</f>
        <v>08.461.5222.10.5000</v>
      </c>
      <c r="F132" t="str">
        <f>TRIM(MID(Table15[[#This Row],[CONCERN.UNIQUEPATH]], IF( ISNUMBER( SEARCH("/",Table15[[#This Row],[CONCERN.UNIQUEPATH]])),SEARCH("/",Table15[[#This Row],[CONCERN.UNIQUEPATH]])+1,1),255))</f>
        <v>Functionality/Completeness/Capabilities/Notifications/Time Limited</v>
      </c>
    </row>
    <row r="133" spans="1:6">
      <c r="A133" t="s">
        <v>1969</v>
      </c>
      <c r="B133" t="s">
        <v>2246</v>
      </c>
      <c r="C133" s="31" t="s">
        <v>3715</v>
      </c>
      <c r="D133" s="26" t="s">
        <v>3716</v>
      </c>
      <c r="E133" s="45" t="str">
        <f xml:space="preserve"> CONCATENATE( MID(Table15[[#This Row],[PHASE]],2,3), MID(Table15[[#This Row],[DELIVERABLE]],2,4), TRIM(SUBSTITUTE(MID(Table15[[#This Row],[CONCERN.ID]],2,20),"","") )  )</f>
        <v>08.461.5222.11.0000</v>
      </c>
      <c r="F133" t="str">
        <f>TRIM(MID(Table15[[#This Row],[CONCERN.UNIQUEPATH]], IF( ISNUMBER( SEARCH("/",Table15[[#This Row],[CONCERN.UNIQUEPATH]])),SEARCH("/",Table15[[#This Row],[CONCERN.UNIQUEPATH]])+1,1),255))</f>
        <v>Functionality/Completeness/Capabilities/Media</v>
      </c>
    </row>
    <row r="134" spans="1:6">
      <c r="A134" t="s">
        <v>1969</v>
      </c>
      <c r="B134" t="s">
        <v>2246</v>
      </c>
      <c r="C134" s="33" t="s">
        <v>3717</v>
      </c>
      <c r="D134" s="27" t="s">
        <v>3718</v>
      </c>
      <c r="E134" t="str">
        <f xml:space="preserve"> CONCATENATE( MID(Table15[[#This Row],[PHASE]],2,3), MID(Table15[[#This Row],[DELIVERABLE]],2,4), TRIM(SUBSTITUTE(MID(Table15[[#This Row],[CONCERN.ID]],2,20),"","") )  )</f>
        <v>08.461.5222.11.1000</v>
      </c>
      <c r="F134" t="str">
        <f>TRIM(MID(Table15[[#This Row],[CONCERN.UNIQUEPATH]], IF( ISNUMBER( SEARCH("/",Table15[[#This Row],[CONCERN.UNIQUEPATH]])),SEARCH("/",Table15[[#This Row],[CONCERN.UNIQUEPATH]])+1,1),255))</f>
        <v>Functionality/Completeness/Capabilities/Media/Blob Storage</v>
      </c>
    </row>
    <row r="135" spans="1:6">
      <c r="A135" t="s">
        <v>1969</v>
      </c>
      <c r="B135" t="s">
        <v>2246</v>
      </c>
      <c r="C135" s="36" t="s">
        <v>3719</v>
      </c>
      <c r="D135" s="26" t="s">
        <v>3720</v>
      </c>
      <c r="E135" s="45" t="str">
        <f xml:space="preserve"> CONCATENATE( MID(Table15[[#This Row],[PHASE]],2,3), MID(Table15[[#This Row],[DELIVERABLE]],2,4), TRIM(SUBSTITUTE(MID(Table15[[#This Row],[CONCERN.ID]],2,20),"","") )  )</f>
        <v>08.461.5222.11.2000</v>
      </c>
      <c r="F135" t="str">
        <f>TRIM(MID(Table15[[#This Row],[CONCERN.UNIQUEPATH]], IF( ISNUMBER( SEARCH("/",Table15[[#This Row],[CONCERN.UNIQUEPATH]])),SEARCH("/",Table15[[#This Row],[CONCERN.UNIQUEPATH]])+1,1),255))</f>
        <v>Functionality/Completeness/Capabilities/Media/By Group Association</v>
      </c>
    </row>
    <row r="136" spans="1:6">
      <c r="A136" t="s">
        <v>1969</v>
      </c>
      <c r="B136" t="s">
        <v>2246</v>
      </c>
      <c r="C136" s="33" t="s">
        <v>3721</v>
      </c>
      <c r="D136" s="27" t="s">
        <v>3722</v>
      </c>
      <c r="E136" t="str">
        <f xml:space="preserve"> CONCATENATE( MID(Table15[[#This Row],[PHASE]],2,3), MID(Table15[[#This Row],[DELIVERABLE]],2,4), TRIM(SUBSTITUTE(MID(Table15[[#This Row],[CONCERN.ID]],2,20),"","") )  )</f>
        <v>08.461.5222.11.3000</v>
      </c>
      <c r="F136" t="str">
        <f>TRIM(MID(Table15[[#This Row],[CONCERN.UNIQUEPATH]], IF( ISNUMBER( SEARCH("/",Table15[[#This Row],[CONCERN.UNIQUEPATH]])),SEARCH("/",Table15[[#This Row],[CONCERN.UNIQUEPATH]])+1,1),255))</f>
        <v>Functionality/Completeness/Capabilities/Media/By Multiple Associations</v>
      </c>
    </row>
    <row r="137" spans="1:6">
      <c r="A137" t="s">
        <v>1969</v>
      </c>
      <c r="B137" t="s">
        <v>2246</v>
      </c>
      <c r="C137" s="36" t="s">
        <v>3723</v>
      </c>
      <c r="D137" s="26" t="s">
        <v>3724</v>
      </c>
      <c r="E137" s="45" t="str">
        <f xml:space="preserve"> CONCATENATE( MID(Table15[[#This Row],[PHASE]],2,3), MID(Table15[[#This Row],[DELIVERABLE]],2,4), TRIM(SUBSTITUTE(MID(Table15[[#This Row],[CONCERN.ID]],2,20),"","") )  )</f>
        <v>08.461.5222.11.4000</v>
      </c>
      <c r="F137" t="str">
        <f>TRIM(MID(Table15[[#This Row],[CONCERN.UNIQUEPATH]], IF( ISNUMBER( SEARCH("/",Table15[[#This Row],[CONCERN.UNIQUEPATH]])),SEARCH("/",Table15[[#This Row],[CONCERN.UNIQUEPATH]])+1,1),255))</f>
        <v>Functionality/Completeness/Capabilities/Media/By User Association</v>
      </c>
    </row>
    <row r="138" spans="1:6">
      <c r="A138" t="s">
        <v>1969</v>
      </c>
      <c r="B138" t="s">
        <v>2246</v>
      </c>
      <c r="C138" s="33" t="s">
        <v>3725</v>
      </c>
      <c r="D138" s="27" t="s">
        <v>3726</v>
      </c>
      <c r="E138" t="str">
        <f xml:space="preserve"> CONCATENATE( MID(Table15[[#This Row],[PHASE]],2,3), MID(Table15[[#This Row],[DELIVERABLE]],2,4), TRIM(SUBSTITUTE(MID(Table15[[#This Row],[CONCERN.ID]],2,20),"","") )  )</f>
        <v>08.461.5222.11.5000</v>
      </c>
      <c r="F138" t="str">
        <f>TRIM(MID(Table15[[#This Row],[CONCERN.UNIQUEPATH]], IF( ISNUMBER( SEARCH("/",Table15[[#This Row],[CONCERN.UNIQUEPATH]])),SEARCH("/",Table15[[#This Row],[CONCERN.UNIQUEPATH]])+1,1),255))</f>
        <v>Functionality/Completeness/Capabilities/Media/Validate for Malware</v>
      </c>
    </row>
    <row r="139" spans="1:6">
      <c r="A139" t="s">
        <v>1969</v>
      </c>
      <c r="B139" t="s">
        <v>2246</v>
      </c>
      <c r="C139" s="36" t="s">
        <v>3727</v>
      </c>
      <c r="D139" s="26" t="s">
        <v>3728</v>
      </c>
      <c r="E139" s="45" t="str">
        <f xml:space="preserve"> CONCATENATE( MID(Table15[[#This Row],[PHASE]],2,3), MID(Table15[[#This Row],[DELIVERABLE]],2,4), TRIM(SUBSTITUTE(MID(Table15[[#This Row],[CONCERN.ID]],2,20),"","") )  )</f>
        <v>08.461.5222.11.6000</v>
      </c>
      <c r="F139" t="str">
        <f>TRIM(MID(Table15[[#This Row],[CONCERN.UNIQUEPATH]], IF( ISNUMBER( SEARCH("/",Table15[[#This Row],[CONCERN.UNIQUEPATH]])),SEARCH("/",Table15[[#This Row],[CONCERN.UNIQUEPATH]])+1,1),255))</f>
        <v>Functionality/Completeness/Capabilities/Media/Validate for Objectionability</v>
      </c>
    </row>
    <row r="140" spans="1:6">
      <c r="A140" t="s">
        <v>1969</v>
      </c>
      <c r="B140" t="s">
        <v>2246</v>
      </c>
      <c r="C140" s="32" t="s">
        <v>3729</v>
      </c>
      <c r="D140" s="27" t="s">
        <v>3730</v>
      </c>
      <c r="E140" t="str">
        <f xml:space="preserve"> CONCATENATE( MID(Table15[[#This Row],[PHASE]],2,3), MID(Table15[[#This Row],[DELIVERABLE]],2,4), TRIM(SUBSTITUTE(MID(Table15[[#This Row],[CONCERN.ID]],2,20),"","") )  )</f>
        <v>08.461.5222.12.0000</v>
      </c>
      <c r="F140" t="str">
        <f>TRIM(MID(Table15[[#This Row],[CONCERN.UNIQUEPATH]], IF( ISNUMBER( SEARCH("/",Table15[[#This Row],[CONCERN.UNIQUEPATH]])),SEARCH("/",Table15[[#This Row],[CONCERN.UNIQUEPATH]])+1,1),255))</f>
        <v>Functionality/Completeness/Capabilities/User Feedback</v>
      </c>
    </row>
    <row r="141" spans="1:6">
      <c r="A141" t="s">
        <v>1969</v>
      </c>
      <c r="B141" t="s">
        <v>2246</v>
      </c>
      <c r="C141" s="36" t="s">
        <v>3731</v>
      </c>
      <c r="D141" s="26" t="s">
        <v>3732</v>
      </c>
      <c r="E141" s="45" t="str">
        <f xml:space="preserve"> CONCATENATE( MID(Table15[[#This Row],[PHASE]],2,3), MID(Table15[[#This Row],[DELIVERABLE]],2,4), TRIM(SUBSTITUTE(MID(Table15[[#This Row],[CONCERN.ID]],2,20),"","") )  )</f>
        <v>08.461.5222.12.1000</v>
      </c>
      <c r="F141" t="str">
        <f>TRIM(MID(Table15[[#This Row],[CONCERN.UNIQUEPATH]], IF( ISNUMBER( SEARCH("/",Table15[[#This Row],[CONCERN.UNIQUEPATH]])),SEARCH("/",Table15[[#This Row],[CONCERN.UNIQUEPATH]])+1,1),255))</f>
        <v>Functionality/Completeness/Capabilities/User Feedback/By Feature</v>
      </c>
    </row>
    <row r="142" spans="1:6">
      <c r="A142" t="s">
        <v>1969</v>
      </c>
      <c r="B142" t="s">
        <v>2246</v>
      </c>
      <c r="C142" s="33" t="s">
        <v>3733</v>
      </c>
      <c r="D142" s="27" t="s">
        <v>3734</v>
      </c>
      <c r="E142" t="str">
        <f xml:space="preserve"> CONCATENATE( MID(Table15[[#This Row],[PHASE]],2,3), MID(Table15[[#This Row],[DELIVERABLE]],2,4), TRIM(SUBSTITUTE(MID(Table15[[#This Row],[CONCERN.ID]],2,20),"","") )  )</f>
        <v>08.461.5222.12.2000</v>
      </c>
      <c r="F142" t="str">
        <f>TRIM(MID(Table15[[#This Row],[CONCERN.UNIQUEPATH]], IF( ISNUMBER( SEARCH("/",Table15[[#This Row],[CONCERN.UNIQUEPATH]])),SEARCH("/",Table15[[#This Row],[CONCERN.UNIQUEPATH]])+1,1),255))</f>
        <v>Functionality/Completeness/Capabilities/User Feedback/By Product</v>
      </c>
    </row>
    <row r="143" spans="1:6">
      <c r="A143" t="s">
        <v>1969</v>
      </c>
      <c r="B143" t="s">
        <v>2246</v>
      </c>
      <c r="C143" s="31" t="s">
        <v>3735</v>
      </c>
      <c r="D143" s="26" t="s">
        <v>3736</v>
      </c>
      <c r="E143" s="45" t="str">
        <f xml:space="preserve"> CONCATENATE( MID(Table15[[#This Row],[PHASE]],2,3), MID(Table15[[#This Row],[DELIVERABLE]],2,4), TRIM(SUBSTITUTE(MID(Table15[[#This Row],[CONCERN.ID]],2,20),"","") )  )</f>
        <v>08.461.5222.17.0000</v>
      </c>
      <c r="F143" t="str">
        <f>TRIM(MID(Table15[[#This Row],[CONCERN.UNIQUEPATH]], IF( ISNUMBER( SEARCH("/",Table15[[#This Row],[CONCERN.UNIQUEPATH]])),SEARCH("/",Table15[[#This Row],[CONCERN.UNIQUEPATH]])+1,1),255))</f>
        <v>Functionality/Completeness/Capabilities/Search Metadata</v>
      </c>
    </row>
    <row r="144" spans="1:6">
      <c r="A144" t="s">
        <v>1969</v>
      </c>
      <c r="B144" t="s">
        <v>2246</v>
      </c>
      <c r="C144" s="33" t="s">
        <v>3737</v>
      </c>
      <c r="D144" s="27" t="s">
        <v>3738</v>
      </c>
      <c r="E144" t="str">
        <f xml:space="preserve"> CONCATENATE( MID(Table15[[#This Row],[PHASE]],2,3), MID(Table15[[#This Row],[DELIVERABLE]],2,4), TRIM(SUBSTITUTE(MID(Table15[[#This Row],[CONCERN.ID]],2,20),"","") )  )</f>
        <v>08.461.5222.17.1000</v>
      </c>
      <c r="F144" t="str">
        <f>TRIM(MID(Table15[[#This Row],[CONCERN.UNIQUEPATH]], IF( ISNUMBER( SEARCH("/",Table15[[#This Row],[CONCERN.UNIQUEPATH]])),SEARCH("/",Table15[[#This Row],[CONCERN.UNIQUEPATH]])+1,1),255))</f>
        <v>Functionality/Completeness/Capabilities/Search Metadata/System Wide Tagging</v>
      </c>
    </row>
    <row r="145" spans="1:6">
      <c r="A145" t="s">
        <v>1969</v>
      </c>
      <c r="B145" t="s">
        <v>2246</v>
      </c>
      <c r="C145" s="36" t="s">
        <v>3739</v>
      </c>
      <c r="D145" s="26" t="s">
        <v>3740</v>
      </c>
      <c r="E145" s="45" t="str">
        <f xml:space="preserve"> CONCATENATE( MID(Table15[[#This Row],[PHASE]],2,3), MID(Table15[[#This Row],[DELIVERABLE]],2,4), TRIM(SUBSTITUTE(MID(Table15[[#This Row],[CONCERN.ID]],2,20),"","") )  )</f>
        <v>08.461.5222.17.2000</v>
      </c>
      <c r="F145" t="str">
        <f>TRIM(MID(Table15[[#This Row],[CONCERN.UNIQUEPATH]], IF( ISNUMBER( SEARCH("/",Table15[[#This Row],[CONCERN.UNIQUEPATH]])),SEARCH("/",Table15[[#This Row],[CONCERN.UNIQUEPATH]])+1,1),255))</f>
        <v>Functionality/Completeness/Capabilities/Search Metadata/Personal Tagging</v>
      </c>
    </row>
    <row r="146" spans="1:6">
      <c r="A146" t="s">
        <v>1969</v>
      </c>
      <c r="B146" t="s">
        <v>2246</v>
      </c>
      <c r="C146" s="32" t="s">
        <v>3741</v>
      </c>
      <c r="D146" s="27" t="s">
        <v>3742</v>
      </c>
      <c r="E146" t="str">
        <f xml:space="preserve"> CONCATENATE( MID(Table15[[#This Row],[PHASE]],2,3), MID(Table15[[#This Row],[DELIVERABLE]],2,4), TRIM(SUBSTITUTE(MID(Table15[[#This Row],[CONCERN.ID]],2,20),"","") )  )</f>
        <v>08.461.5222.18.0000</v>
      </c>
      <c r="F146" t="str">
        <f>TRIM(MID(Table15[[#This Row],[CONCERN.UNIQUEPATH]], IF( ISNUMBER( SEARCH("/",Table15[[#This Row],[CONCERN.UNIQUEPATH]])),SEARCH("/",Table15[[#This Row],[CONCERN.UNIQUEPATH]])+1,1),255))</f>
        <v>Functionality/Completeness/Capabilities/Route Handling</v>
      </c>
    </row>
    <row r="147" spans="1:6">
      <c r="A147" t="s">
        <v>1969</v>
      </c>
      <c r="B147" t="s">
        <v>2246</v>
      </c>
      <c r="C147" s="36" t="s">
        <v>3743</v>
      </c>
      <c r="D147" s="26" t="s">
        <v>3744</v>
      </c>
      <c r="E147" s="45" t="str">
        <f xml:space="preserve"> CONCATENATE( MID(Table15[[#This Row],[PHASE]],2,3), MID(Table15[[#This Row],[DELIVERABLE]],2,4), TRIM(SUBSTITUTE(MID(Table15[[#This Row],[CONCERN.ID]],2,20),"","") )  )</f>
        <v>08.461.5222.18.1000</v>
      </c>
      <c r="F147" t="str">
        <f>TRIM(MID(Table15[[#This Row],[CONCERN.UNIQUEPATH]], IF( ISNUMBER( SEARCH("/",Table15[[#This Row],[CONCERN.UNIQUEPATH]])),SEARCH("/",Table15[[#This Row],[CONCERN.UNIQUEPATH]])+1,1),255))</f>
        <v>Functionality/Completeness/Capabilities/Route Handling/Permit multiple routes</v>
      </c>
    </row>
    <row r="148" spans="1:6">
      <c r="A148" t="s">
        <v>1969</v>
      </c>
      <c r="B148" t="s">
        <v>2246</v>
      </c>
      <c r="C148" s="33" t="s">
        <v>3745</v>
      </c>
      <c r="D148" s="27" t="s">
        <v>3746</v>
      </c>
      <c r="E148" t="str">
        <f xml:space="preserve"> CONCATENATE( MID(Table15[[#This Row],[PHASE]],2,3), MID(Table15[[#This Row],[DELIVERABLE]],2,4), TRIM(SUBSTITUTE(MID(Table15[[#This Row],[CONCERN.ID]],2,20),"","") )  )</f>
        <v>08.461.5222.18.2000</v>
      </c>
      <c r="F148" t="str">
        <f>TRIM(MID(Table15[[#This Row],[CONCERN.UNIQUEPATH]], IF( ISNUMBER( SEARCH("/",Table15[[#This Row],[CONCERN.UNIQUEPATH]])),SEARCH("/",Table15[[#This Row],[CONCERN.UNIQUEPATH]])+1,1),255))</f>
        <v>Functionality/Completeness/Capabilities/Route Handling/Permit legacy redirection</v>
      </c>
    </row>
    <row r="149" spans="1:6">
      <c r="A149" t="s">
        <v>1969</v>
      </c>
      <c r="B149" t="s">
        <v>2246</v>
      </c>
      <c r="C149" s="31" t="s">
        <v>3747</v>
      </c>
      <c r="D149" s="26" t="s">
        <v>3748</v>
      </c>
      <c r="E149" s="45" t="str">
        <f xml:space="preserve"> CONCATENATE( MID(Table15[[#This Row],[PHASE]],2,3), MID(Table15[[#This Row],[DELIVERABLE]],2,4), TRIM(SUBSTITUTE(MID(Table15[[#This Row],[CONCERN.ID]],2,20),"","") )  )</f>
        <v>08.461.5222.19.0000</v>
      </c>
      <c r="F149" t="str">
        <f>TRIM(MID(Table15[[#This Row],[CONCERN.UNIQUEPATH]], IF( ISNUMBER( SEARCH("/",Table15[[#This Row],[CONCERN.UNIQUEPATH]])),SEARCH("/",Table15[[#This Row],[CONCERN.UNIQUEPATH]])+1,1),255))</f>
        <v>Functionality/Completeness/Capabilities/Module Handling</v>
      </c>
    </row>
    <row r="150" spans="1:6">
      <c r="A150" t="s">
        <v>1969</v>
      </c>
      <c r="B150" t="s">
        <v>2246</v>
      </c>
      <c r="C150" s="35" t="s">
        <v>3749</v>
      </c>
      <c r="D150" s="27" t="s">
        <v>3750</v>
      </c>
      <c r="E150" t="str">
        <f xml:space="preserve"> CONCATENATE( MID(Table15[[#This Row],[PHASE]],2,3), MID(Table15[[#This Row],[DELIVERABLE]],2,4), TRIM(SUBSTITUTE(MID(Table15[[#This Row],[CONCERN.ID]],2,20),"","") )  )</f>
        <v>08.461.5222.19.1000</v>
      </c>
      <c r="F150" t="str">
        <f>TRIM(MID(Table15[[#This Row],[CONCERN.UNIQUEPATH]], IF( ISNUMBER( SEARCH("/",Table15[[#This Row],[CONCERN.UNIQUEPATH]])),SEARCH("/",Table15[[#This Row],[CONCERN.UNIQUEPATH]])+1,1),255))</f>
        <v>Functionality/Completeness/Capabilities/Custom/Module Handling/Blob Stored</v>
      </c>
    </row>
    <row r="151" spans="1:6">
      <c r="A151" t="s">
        <v>1969</v>
      </c>
      <c r="B151" t="s">
        <v>2246</v>
      </c>
      <c r="C151" s="34" t="s">
        <v>3751</v>
      </c>
      <c r="D151" s="26" t="s">
        <v>3752</v>
      </c>
      <c r="E151" s="45" t="str">
        <f xml:space="preserve"> CONCATENATE( MID(Table15[[#This Row],[PHASE]],2,3), MID(Table15[[#This Row],[DELIVERABLE]],2,4), TRIM(SUBSTITUTE(MID(Table15[[#This Row],[CONCERN.ID]],2,20),"","") )  )</f>
        <v>08.461.5222.19.2000</v>
      </c>
      <c r="F151" t="str">
        <f>TRIM(MID(Table15[[#This Row],[CONCERN.UNIQUEPATH]], IF( ISNUMBER( SEARCH("/",Table15[[#This Row],[CONCERN.UNIQUEPATH]])),SEARCH("/",Table15[[#This Row],[CONCERN.UNIQUEPATH]])+1,1),255))</f>
        <v>Functionality/Completeness/Capabilities/Custom/Module Handling/Permission Listing</v>
      </c>
    </row>
    <row r="152" spans="1:6">
      <c r="A152" t="s">
        <v>1969</v>
      </c>
      <c r="B152" t="s">
        <v>2246</v>
      </c>
      <c r="C152" s="32" t="s">
        <v>3753</v>
      </c>
      <c r="D152" s="27" t="s">
        <v>3754</v>
      </c>
      <c r="E152" t="str">
        <f xml:space="preserve"> CONCATENATE( MID(Table15[[#This Row],[PHASE]],2,3), MID(Table15[[#This Row],[DELIVERABLE]],2,4), TRIM(SUBSTITUTE(MID(Table15[[#This Row],[CONCERN.ID]],2,20),"","") )  )</f>
        <v>08.461.5222.20.0000</v>
      </c>
      <c r="F152" t="str">
        <f>TRIM(MID(Table15[[#This Row],[CONCERN.UNIQUEPATH]], IF( ISNUMBER( SEARCH("/",Table15[[#This Row],[CONCERN.UNIQUEPATH]])),SEARCH("/",Table15[[#This Row],[CONCERN.UNIQUEPATH]])+1,1),255))</f>
        <v>Functionality/Completeness/Capabilities/Search</v>
      </c>
    </row>
    <row r="153" spans="1:6">
      <c r="A153" t="s">
        <v>1969</v>
      </c>
      <c r="B153" t="s">
        <v>2246</v>
      </c>
      <c r="C153" s="36" t="s">
        <v>3755</v>
      </c>
      <c r="D153" s="26" t="s">
        <v>3756</v>
      </c>
      <c r="E153" s="45" t="str">
        <f xml:space="preserve"> CONCATENATE( MID(Table15[[#This Row],[PHASE]],2,3), MID(Table15[[#This Row],[DELIVERABLE]],2,4), TRIM(SUBSTITUTE(MID(Table15[[#This Row],[CONCERN.ID]],2,20),"","") )  )</f>
        <v>08.461.5222.20.1000</v>
      </c>
      <c r="F153" t="str">
        <f>TRIM(MID(Table15[[#This Row],[CONCERN.UNIQUEPATH]], IF( ISNUMBER( SEARCH("/",Table15[[#This Row],[CONCERN.UNIQUEPATH]])),SEARCH("/",Table15[[#This Row],[CONCERN.UNIQUEPATH]])+1,1),255))</f>
        <v>Functionality/Completeness/Capabilities/Search/Filterable</v>
      </c>
    </row>
    <row r="154" spans="1:6">
      <c r="A154" t="s">
        <v>1969</v>
      </c>
      <c r="B154" t="s">
        <v>2246</v>
      </c>
      <c r="C154" s="35" t="s">
        <v>3757</v>
      </c>
      <c r="D154" s="27" t="s">
        <v>3758</v>
      </c>
      <c r="E154" t="str">
        <f xml:space="preserve"> CONCATENATE( MID(Table15[[#This Row],[PHASE]],2,3), MID(Table15[[#This Row],[DELIVERABLE]],2,4), TRIM(SUBSTITUTE(MID(Table15[[#This Row],[CONCERN.ID]],2,20),"","") )  )</f>
        <v>08.461.5222.20.1100</v>
      </c>
      <c r="F154" t="str">
        <f>TRIM(MID(Table15[[#This Row],[CONCERN.UNIQUEPATH]], IF( ISNUMBER( SEARCH("/",Table15[[#This Row],[CONCERN.UNIQUEPATH]])),SEARCH("/",Table15[[#This Row],[CONCERN.UNIQUEPATH]])+1,1),255))</f>
        <v>Functionality/Completeness/Capabilities/Search/Filterable/Metadata</v>
      </c>
    </row>
    <row r="155" spans="1:6">
      <c r="A155" t="s">
        <v>1969</v>
      </c>
      <c r="B155" t="s">
        <v>2246</v>
      </c>
      <c r="C155" s="34" t="s">
        <v>3757</v>
      </c>
      <c r="D155" s="26" t="s">
        <v>3759</v>
      </c>
      <c r="E155" s="45" t="str">
        <f xml:space="preserve"> CONCATENATE( MID(Table15[[#This Row],[PHASE]],2,3), MID(Table15[[#This Row],[DELIVERABLE]],2,4), TRIM(SUBSTITUTE(MID(Table15[[#This Row],[CONCERN.ID]],2,20),"","") )  )</f>
        <v>08.461.5222.20.1100</v>
      </c>
      <c r="F155" t="str">
        <f>TRIM(MID(Table15[[#This Row],[CONCERN.UNIQUEPATH]], IF( ISNUMBER( SEARCH("/",Table15[[#This Row],[CONCERN.UNIQUEPATH]])),SEARCH("/",Table15[[#This Row],[CONCERN.UNIQUEPATH]])+1,1),255))</f>
        <v>Functionality/Completeness/Capabilities/Search/Filterable/Type</v>
      </c>
    </row>
    <row r="156" spans="1:6">
      <c r="A156" t="s">
        <v>1969</v>
      </c>
      <c r="B156" t="s">
        <v>2246</v>
      </c>
      <c r="C156" s="33" t="s">
        <v>3760</v>
      </c>
      <c r="D156" s="27" t="s">
        <v>3761</v>
      </c>
      <c r="E156" t="str">
        <f xml:space="preserve"> CONCATENATE( MID(Table15[[#This Row],[PHASE]],2,3), MID(Table15[[#This Row],[DELIVERABLE]],2,4), TRIM(SUBSTITUTE(MID(Table15[[#This Row],[CONCERN.ID]],2,20),"","") )  )</f>
        <v>08.461.5222.20.2000</v>
      </c>
      <c r="F156" t="str">
        <f>TRIM(MID(Table15[[#This Row],[CONCERN.UNIQUEPATH]], IF( ISNUMBER( SEARCH("/",Table15[[#This Row],[CONCERN.UNIQUEPATH]])),SEARCH("/",Table15[[#This Row],[CONCERN.UNIQUEPATH]])+1,1),255))</f>
        <v>Functionality/Completeness/Capabilities/Search/Forgiving</v>
      </c>
    </row>
    <row r="157" spans="1:6">
      <c r="A157" t="s">
        <v>1969</v>
      </c>
      <c r="B157" t="s">
        <v>2246</v>
      </c>
      <c r="C157" s="34" t="s">
        <v>3762</v>
      </c>
      <c r="D157" s="26" t="s">
        <v>3763</v>
      </c>
      <c r="E157" s="45" t="str">
        <f xml:space="preserve"> CONCATENATE( MID(Table15[[#This Row],[PHASE]],2,3), MID(Table15[[#This Row],[DELIVERABLE]],2,4), TRIM(SUBSTITUTE(MID(Table15[[#This Row],[CONCERN.ID]],2,20),"","") )  )</f>
        <v>08.461.5222.20.2100</v>
      </c>
      <c r="F157" t="str">
        <f>TRIM(MID(Table15[[#This Row],[CONCERN.UNIQUEPATH]], IF( ISNUMBER( SEARCH("/",Table15[[#This Row],[CONCERN.UNIQUEPATH]])),SEARCH("/",Table15[[#This Row],[CONCERN.UNIQUEPATH]])+1,1),255))</f>
        <v>Functionality/Completeness/Capabilities/Search/Forgiving/Spelling</v>
      </c>
    </row>
    <row r="158" spans="1:6">
      <c r="A158" t="s">
        <v>1969</v>
      </c>
      <c r="B158" t="s">
        <v>2246</v>
      </c>
      <c r="C158" s="35" t="s">
        <v>3764</v>
      </c>
      <c r="D158" s="27" t="s">
        <v>3765</v>
      </c>
      <c r="E158" t="str">
        <f xml:space="preserve"> CONCATENATE( MID(Table15[[#This Row],[PHASE]],2,3), MID(Table15[[#This Row],[DELIVERABLE]],2,4), TRIM(SUBSTITUTE(MID(Table15[[#This Row],[CONCERN.ID]],2,20),"","") )  )</f>
        <v>08.461.5222.20.2200</v>
      </c>
      <c r="F158" t="str">
        <f>TRIM(MID(Table15[[#This Row],[CONCERN.UNIQUEPATH]], IF( ISNUMBER( SEARCH("/",Table15[[#This Row],[CONCERN.UNIQUEPATH]])),SEARCH("/",Table15[[#This Row],[CONCERN.UNIQUEPATH]])+1,1),255))</f>
        <v>Functionality/Completeness/Capabilities/Search/Forgiving/Diacritics</v>
      </c>
    </row>
    <row r="159" spans="1:6">
      <c r="A159" t="s">
        <v>1969</v>
      </c>
      <c r="B159" t="s">
        <v>2246</v>
      </c>
      <c r="C159" s="34" t="s">
        <v>3766</v>
      </c>
      <c r="D159" s="26" t="s">
        <v>3767</v>
      </c>
      <c r="E159" s="45" t="str">
        <f xml:space="preserve"> CONCATENATE( MID(Table15[[#This Row],[PHASE]],2,3), MID(Table15[[#This Row],[DELIVERABLE]],2,4), TRIM(SUBSTITUTE(MID(Table15[[#This Row],[CONCERN.ID]],2,20),"","") )  )</f>
        <v>08.461.5222.20.2300</v>
      </c>
      <c r="F159" t="str">
        <f>TRIM(MID(Table15[[#This Row],[CONCERN.UNIQUEPATH]], IF( ISNUMBER( SEARCH("/",Table15[[#This Row],[CONCERN.UNIQUEPATH]])),SEARCH("/",Table15[[#This Row],[CONCERN.UNIQUEPATH]])+1,1),255))</f>
        <v>Functionality/Completeness/Capabilities/Search/Forgiving/Phonetic</v>
      </c>
    </row>
    <row r="160" spans="1:6">
      <c r="A160" t="s">
        <v>1969</v>
      </c>
      <c r="B160" t="s">
        <v>2246</v>
      </c>
      <c r="C160" s="35" t="s">
        <v>3768</v>
      </c>
      <c r="D160" s="27" t="s">
        <v>3769</v>
      </c>
      <c r="E160" t="str">
        <f xml:space="preserve"> CONCATENATE( MID(Table15[[#This Row],[PHASE]],2,3), MID(Table15[[#This Row],[DELIVERABLE]],2,4), TRIM(SUBSTITUTE(MID(Table15[[#This Row],[CONCERN.ID]],2,20),"","") )  )</f>
        <v>08.461.5222.20.2400</v>
      </c>
      <c r="F160" t="str">
        <f>TRIM(MID(Table15[[#This Row],[CONCERN.UNIQUEPATH]], IF( ISNUMBER( SEARCH("/",Table15[[#This Row],[CONCERN.UNIQUEPATH]])),SEARCH("/",Table15[[#This Row],[CONCERN.UNIQUEPATH]])+1,1),255))</f>
        <v>Functionality/Completeness/Capabilities/Search/Forgiving/Synonyms</v>
      </c>
    </row>
    <row r="161" spans="1:6">
      <c r="A161" t="s">
        <v>1969</v>
      </c>
      <c r="B161" t="s">
        <v>2246</v>
      </c>
      <c r="C161" s="36" t="s">
        <v>3770</v>
      </c>
      <c r="D161" s="26" t="s">
        <v>3771</v>
      </c>
      <c r="E161" s="45" t="str">
        <f xml:space="preserve"> CONCATENATE( MID(Table15[[#This Row],[PHASE]],2,3), MID(Table15[[#This Row],[DELIVERABLE]],2,4), TRIM(SUBSTITUTE(MID(Table15[[#This Row],[CONCERN.ID]],2,20),"","") )  )</f>
        <v>08.461.5222.20.3000</v>
      </c>
      <c r="F161" t="str">
        <f>TRIM(MID(Table15[[#This Row],[CONCERN.UNIQUEPATH]], IF( ISNUMBER( SEARCH("/",Table15[[#This Row],[CONCERN.UNIQUEPATH]])),SEARCH("/",Table15[[#This Row],[CONCERN.UNIQUEPATH]])+1,1),255))</f>
        <v>Functionality/Completeness/Capabilities/Search/On Content</v>
      </c>
    </row>
    <row r="162" spans="1:6">
      <c r="A162" t="s">
        <v>1969</v>
      </c>
      <c r="B162" t="s">
        <v>2246</v>
      </c>
      <c r="C162" s="33" t="s">
        <v>3772</v>
      </c>
      <c r="D162" s="27" t="s">
        <v>3773</v>
      </c>
      <c r="E162" t="str">
        <f xml:space="preserve"> CONCATENATE( MID(Table15[[#This Row],[PHASE]],2,3), MID(Table15[[#This Row],[DELIVERABLE]],2,4), TRIM(SUBSTITUTE(MID(Table15[[#This Row],[CONCERN.ID]],2,20),"","") )  )</f>
        <v>08.461.5222.20.4000</v>
      </c>
      <c r="F162" t="str">
        <f>TRIM(MID(Table15[[#This Row],[CONCERN.UNIQUEPATH]], IF( ISNUMBER( SEARCH("/",Table15[[#This Row],[CONCERN.UNIQUEPATH]])),SEARCH("/",Table15[[#This Row],[CONCERN.UNIQUEPATH]])+1,1),255))</f>
        <v>Functionality/Completeness/Capabilities/Search/On Metadata</v>
      </c>
    </row>
    <row r="163" spans="1:6">
      <c r="A163" t="s">
        <v>1969</v>
      </c>
      <c r="B163" t="s">
        <v>2246</v>
      </c>
      <c r="C163" s="36" t="s">
        <v>3774</v>
      </c>
      <c r="D163" s="26" t="s">
        <v>3775</v>
      </c>
      <c r="E163" s="45" t="str">
        <f xml:space="preserve"> CONCATENATE( MID(Table15[[#This Row],[PHASE]],2,3), MID(Table15[[#This Row],[DELIVERABLE]],2,4), TRIM(SUBSTITUTE(MID(Table15[[#This Row],[CONCERN.ID]],2,20),"","") )  )</f>
        <v>08.461.5222.20.5000</v>
      </c>
      <c r="F163" t="str">
        <f>TRIM(MID(Table15[[#This Row],[CONCERN.UNIQUEPATH]], IF( ISNUMBER( SEARCH("/",Table15[[#This Row],[CONCERN.UNIQUEPATH]])),SEARCH("/",Table15[[#This Row],[CONCERN.UNIQUEPATH]])+1,1),255))</f>
        <v>Functionality/Completeness/Capabilities/Search/Related</v>
      </c>
    </row>
    <row r="164" spans="1:6">
      <c r="A164" t="s">
        <v>1969</v>
      </c>
      <c r="B164" t="s">
        <v>2246</v>
      </c>
      <c r="C164" s="35" t="s">
        <v>3776</v>
      </c>
      <c r="D164" s="27" t="s">
        <v>3777</v>
      </c>
      <c r="E164" t="str">
        <f xml:space="preserve"> CONCATENATE( MID(Table15[[#This Row],[PHASE]],2,3), MID(Table15[[#This Row],[DELIVERABLE]],2,4), TRIM(SUBSTITUTE(MID(Table15[[#This Row],[CONCERN.ID]],2,20),"","") )  )</f>
        <v>08.461.5222.20.5100</v>
      </c>
      <c r="F164" t="str">
        <f>TRIM(MID(Table15[[#This Row],[CONCERN.UNIQUEPATH]], IF( ISNUMBER( SEARCH("/",Table15[[#This Row],[CONCERN.UNIQUEPATH]])),SEARCH("/",Table15[[#This Row],[CONCERN.UNIQUEPATH]])+1,1),255))</f>
        <v>Functionality/Completeness/Capabilities/Search/Related/Linked</v>
      </c>
    </row>
    <row r="165" spans="1:6">
      <c r="A165" t="s">
        <v>1969</v>
      </c>
      <c r="B165" t="s">
        <v>2246</v>
      </c>
      <c r="C165" s="34" t="s">
        <v>3778</v>
      </c>
      <c r="D165" s="26" t="s">
        <v>3779</v>
      </c>
      <c r="E165" s="45" t="str">
        <f xml:space="preserve"> CONCATENATE( MID(Table15[[#This Row],[PHASE]],2,3), MID(Table15[[#This Row],[DELIVERABLE]],2,4), TRIM(SUBSTITUTE(MID(Table15[[#This Row],[CONCERN.ID]],2,20),"","") )  )</f>
        <v>08.461.5222.20.5200</v>
      </c>
      <c r="F165" t="str">
        <f>TRIM(MID(Table15[[#This Row],[CONCERN.UNIQUEPATH]], IF( ISNUMBER( SEARCH("/",Table15[[#This Row],[CONCERN.UNIQUEPATH]])),SEARCH("/",Table15[[#This Row],[CONCERN.UNIQUEPATH]])+1,1),255))</f>
        <v>Functionality/Completeness/Capabilities/Search/Related/Pattern Matched</v>
      </c>
    </row>
    <row r="166" spans="1:6">
      <c r="A166" t="s">
        <v>1969</v>
      </c>
      <c r="B166" t="s">
        <v>2246</v>
      </c>
      <c r="C166" s="32" t="s">
        <v>3780</v>
      </c>
      <c r="D166" s="27" t="s">
        <v>3781</v>
      </c>
      <c r="E166" t="str">
        <f xml:space="preserve"> CONCATENATE( MID(Table15[[#This Row],[PHASE]],2,3), MID(Table15[[#This Row],[DELIVERABLE]],2,4), TRIM(SUBSTITUTE(MID(Table15[[#This Row],[CONCERN.ID]],2,20),"","") )  )</f>
        <v>08.461.5222.22.0000</v>
      </c>
      <c r="F166" t="str">
        <f>TRIM(MID(Table15[[#This Row],[CONCERN.UNIQUEPATH]], IF( ISNUMBER( SEARCH("/",Table15[[#This Row],[CONCERN.UNIQUEPATH]])),SEARCH("/",Table15[[#This Row],[CONCERN.UNIQUEPATH]])+1,1),255))</f>
        <v>Functionality/Completeness/Capabilities/Async Task Eecution</v>
      </c>
    </row>
    <row r="167" spans="1:6">
      <c r="A167" t="s">
        <v>1969</v>
      </c>
      <c r="B167" t="s">
        <v>2246</v>
      </c>
      <c r="C167" s="31" t="s">
        <v>3782</v>
      </c>
      <c r="D167" s="26" t="s">
        <v>3783</v>
      </c>
      <c r="E167" s="45" t="str">
        <f xml:space="preserve"> CONCATENATE( MID(Table15[[#This Row],[PHASE]],2,3), MID(Table15[[#This Row],[DELIVERABLE]],2,4), TRIM(SUBSTITUTE(MID(Table15[[#This Row],[CONCERN.ID]],2,20),"","") )  )</f>
        <v>08.461.5222.23.0000</v>
      </c>
      <c r="F167" t="str">
        <f>TRIM(MID(Table15[[#This Row],[CONCERN.UNIQUEPATH]], IF( ISNUMBER( SEARCH("/",Table15[[#This Row],[CONCERN.UNIQUEPATH]])),SEARCH("/",Table15[[#This Row],[CONCERN.UNIQUEPATH]])+1,1),255))</f>
        <v>Functionality/Completeness/Capabilities/Async Handling</v>
      </c>
    </row>
    <row r="168" spans="1:6">
      <c r="A168" t="s">
        <v>1969</v>
      </c>
      <c r="B168" t="s">
        <v>2246</v>
      </c>
      <c r="C168" s="33" t="s">
        <v>3784</v>
      </c>
      <c r="D168" s="27" t="s">
        <v>3785</v>
      </c>
      <c r="E168" t="str">
        <f xml:space="preserve"> CONCATENATE( MID(Table15[[#This Row],[PHASE]],2,3), MID(Table15[[#This Row],[DELIVERABLE]],2,4), TRIM(SUBSTITUTE(MID(Table15[[#This Row],[CONCERN.ID]],2,20),"","") )  )</f>
        <v>08.461.5222.23.1000</v>
      </c>
      <c r="F168" t="str">
        <f>TRIM(MID(Table15[[#This Row],[CONCERN.UNIQUEPATH]], IF( ISNUMBER( SEARCH("/",Table15[[#This Row],[CONCERN.UNIQUEPATH]])),SEARCH("/",Table15[[#This Row],[CONCERN.UNIQUEPATH]])+1,1),255))</f>
        <v>Functionality/Completeness/Capabilities/Async Handling/Queue Processing</v>
      </c>
    </row>
    <row r="169" spans="1:6">
      <c r="A169" t="s">
        <v>1969</v>
      </c>
      <c r="B169" t="s">
        <v>2246</v>
      </c>
      <c r="C169" s="36" t="s">
        <v>3786</v>
      </c>
      <c r="D169" s="26" t="s">
        <v>3787</v>
      </c>
      <c r="E169" s="45" t="str">
        <f xml:space="preserve"> CONCATENATE( MID(Table15[[#This Row],[PHASE]],2,3), MID(Table15[[#This Row],[DELIVERABLE]],2,4), TRIM(SUBSTITUTE(MID(Table15[[#This Row],[CONCERN.ID]],2,20),"","") )  )</f>
        <v>08.461.5222.23.2000</v>
      </c>
      <c r="F169" t="str">
        <f>TRIM(MID(Table15[[#This Row],[CONCERN.UNIQUEPATH]], IF( ISNUMBER( SEARCH("/",Table15[[#This Row],[CONCERN.UNIQUEPATH]])),SEARCH("/",Table15[[#This Row],[CONCERN.UNIQUEPATH]])+1,1),255))</f>
        <v>Functionality/Completeness/Capabilities/Async Handling/After work hour Processing</v>
      </c>
    </row>
    <row r="170" spans="1:6">
      <c r="A170" t="s">
        <v>1969</v>
      </c>
      <c r="B170" t="s">
        <v>2246</v>
      </c>
      <c r="C170" s="32" t="s">
        <v>3788</v>
      </c>
      <c r="D170" s="27" t="s">
        <v>3789</v>
      </c>
      <c r="E170" t="str">
        <f xml:space="preserve"> CONCATENATE( MID(Table15[[#This Row],[PHASE]],2,3), MID(Table15[[#This Row],[DELIVERABLE]],2,4), TRIM(SUBSTITUTE(MID(Table15[[#This Row],[CONCERN.ID]],2,20),"","") )  )</f>
        <v>08.461.5222.26.0000</v>
      </c>
      <c r="F170" t="str">
        <f>TRIM(MID(Table15[[#This Row],[CONCERN.UNIQUEPATH]], IF( ISNUMBER( SEARCH("/",Table15[[#This Row],[CONCERN.UNIQUEPATH]])),SEARCH("/",Table15[[#This Row],[CONCERN.UNIQUEPATH]])+1,1),255))</f>
        <v>Functionality/Completeness/Capabilities/Workflow Handling</v>
      </c>
    </row>
    <row r="171" spans="1:6">
      <c r="A171" t="s">
        <v>1969</v>
      </c>
      <c r="B171" t="s">
        <v>2246</v>
      </c>
      <c r="C171" s="36" t="s">
        <v>3790</v>
      </c>
      <c r="D171" s="26" t="s">
        <v>3791</v>
      </c>
      <c r="E171" s="45" t="str">
        <f xml:space="preserve"> CONCATENATE( MID(Table15[[#This Row],[PHASE]],2,3), MID(Table15[[#This Row],[DELIVERABLE]],2,4), TRIM(SUBSTITUTE(MID(Table15[[#This Row],[CONCERN.ID]],2,20),"","") )  )</f>
        <v>08.461.5222.26.1000</v>
      </c>
      <c r="F171" t="str">
        <f>TRIM(MID(Table15[[#This Row],[CONCERN.UNIQUEPATH]], IF( ISNUMBER( SEARCH("/",Table15[[#This Row],[CONCERN.UNIQUEPATH]])),SEARCH("/",Table15[[#This Row],[CONCERN.UNIQUEPATH]])+1,1),255))</f>
        <v>Functionality/Completeness/Capabilities/Workflow Handling/Can Custom Develop Workflows</v>
      </c>
    </row>
    <row r="172" spans="1:6">
      <c r="A172" t="s">
        <v>1969</v>
      </c>
      <c r="B172" t="s">
        <v>2246</v>
      </c>
      <c r="C172" s="33" t="s">
        <v>3792</v>
      </c>
      <c r="D172" s="27" t="s">
        <v>3793</v>
      </c>
      <c r="E172" t="str">
        <f xml:space="preserve"> CONCATENATE( MID(Table15[[#This Row],[PHASE]],2,3), MID(Table15[[#This Row],[DELIVERABLE]],2,4), TRIM(SUBSTITUTE(MID(Table15[[#This Row],[CONCERN.ID]],2,20),"","") )  )</f>
        <v>08.461.5222.26.2000</v>
      </c>
      <c r="F172" t="str">
        <f>TRIM(MID(Table15[[#This Row],[CONCERN.UNIQUEPATH]], IF( ISNUMBER( SEARCH("/",Table15[[#This Row],[CONCERN.UNIQUEPATH]])),SEARCH("/",Table15[[#This Row],[CONCERN.UNIQUEPATH]])+1,1),255))</f>
        <v>Functionality/Completeness/Capabilities/Workflow Handling/Can Eecute Asynchronously</v>
      </c>
    </row>
    <row r="173" spans="1:6">
      <c r="A173" t="s">
        <v>1969</v>
      </c>
      <c r="B173" t="s">
        <v>2246</v>
      </c>
      <c r="C173" s="36" t="s">
        <v>3794</v>
      </c>
      <c r="D173" s="26" t="s">
        <v>3795</v>
      </c>
      <c r="E173" s="45" t="str">
        <f xml:space="preserve"> CONCATENATE( MID(Table15[[#This Row],[PHASE]],2,3), MID(Table15[[#This Row],[DELIVERABLE]],2,4), TRIM(SUBSTITUTE(MID(Table15[[#This Row],[CONCERN.ID]],2,20),"","") )  )</f>
        <v>08.461.5222.26.3000</v>
      </c>
      <c r="F173" t="str">
        <f>TRIM(MID(Table15[[#This Row],[CONCERN.UNIQUEPATH]], IF( ISNUMBER( SEARCH("/",Table15[[#This Row],[CONCERN.UNIQUEPATH]])),SEARCH("/",Table15[[#This Row],[CONCERN.UNIQUEPATH]])+1,1),255))</f>
        <v>Functionality/Completeness/Capabilities/Workflow Handling/Can Notify</v>
      </c>
    </row>
    <row r="174" spans="1:6">
      <c r="A174" t="s">
        <v>1969</v>
      </c>
      <c r="B174" t="s">
        <v>2246</v>
      </c>
      <c r="C174" s="33" t="s">
        <v>3796</v>
      </c>
      <c r="D174" s="27" t="s">
        <v>3797</v>
      </c>
      <c r="E174" t="str">
        <f xml:space="preserve"> CONCATENATE( MID(Table15[[#This Row],[PHASE]],2,3), MID(Table15[[#This Row],[DELIVERABLE]],2,4), TRIM(SUBSTITUTE(MID(Table15[[#This Row],[CONCERN.ID]],2,20),"","") )  )</f>
        <v>08.461.5222.26.4000</v>
      </c>
      <c r="F174" t="str">
        <f>TRIM(MID(Table15[[#This Row],[CONCERN.UNIQUEPATH]], IF( ISNUMBER( SEARCH("/",Table15[[#This Row],[CONCERN.UNIQUEPATH]])),SEARCH("/",Table15[[#This Row],[CONCERN.UNIQUEPATH]])+1,1),255))</f>
        <v>Functionality/Completeness/Capabilities/Workflow Handling/Can Escalate</v>
      </c>
    </row>
    <row r="175" spans="1:6">
      <c r="A175" t="s">
        <v>1969</v>
      </c>
      <c r="B175" t="s">
        <v>2246</v>
      </c>
      <c r="C175" s="36" t="s">
        <v>3798</v>
      </c>
      <c r="D175" s="26" t="s">
        <v>3799</v>
      </c>
      <c r="E175" s="45" t="str">
        <f xml:space="preserve"> CONCATENATE( MID(Table15[[#This Row],[PHASE]],2,3), MID(Table15[[#This Row],[DELIVERABLE]],2,4), TRIM(SUBSTITUTE(MID(Table15[[#This Row],[CONCERN.ID]],2,20),"","") )  )</f>
        <v>08.461.5222.26.5000</v>
      </c>
      <c r="F175" t="str">
        <f>TRIM(MID(Table15[[#This Row],[CONCERN.UNIQUEPATH]], IF( ISNUMBER( SEARCH("/",Table15[[#This Row],[CONCERN.UNIQUEPATH]])),SEARCH("/",Table15[[#This Row],[CONCERN.UNIQUEPATH]])+1,1),255))</f>
        <v>Functionality/Completeness/Capabilities/Workflow Handling/Can Assign to Groups</v>
      </c>
    </row>
    <row r="176" spans="1:6">
      <c r="A176" t="s">
        <v>1969</v>
      </c>
      <c r="B176" t="s">
        <v>2246</v>
      </c>
      <c r="C176" s="33" t="s">
        <v>3800</v>
      </c>
      <c r="D176" s="27" t="s">
        <v>3801</v>
      </c>
      <c r="E176" t="str">
        <f xml:space="preserve"> CONCATENATE( MID(Table15[[#This Row],[PHASE]],2,3), MID(Table15[[#This Row],[DELIVERABLE]],2,4), TRIM(SUBSTITUTE(MID(Table15[[#This Row],[CONCERN.ID]],2,20),"","") )  )</f>
        <v>08.461.5222.26.6000</v>
      </c>
      <c r="F176" t="str">
        <f>TRIM(MID(Table15[[#This Row],[CONCERN.UNIQUEPATH]], IF( ISNUMBER( SEARCH("/",Table15[[#This Row],[CONCERN.UNIQUEPATH]])),SEARCH("/",Table15[[#This Row],[CONCERN.UNIQUEPATH]])+1,1),255))</f>
        <v>Functionality/Completeness/Capabilities/Workflow Handling/Can Conditionally Branch</v>
      </c>
    </row>
    <row r="177" spans="1:6">
      <c r="A177" t="s">
        <v>1969</v>
      </c>
      <c r="B177" t="s">
        <v>2246</v>
      </c>
      <c r="C177" s="36" t="s">
        <v>3802</v>
      </c>
      <c r="D177" s="26" t="s">
        <v>3803</v>
      </c>
      <c r="E177" s="45" t="str">
        <f xml:space="preserve"> CONCATENATE( MID(Table15[[#This Row],[PHASE]],2,3), MID(Table15[[#This Row],[DELIVERABLE]],2,4), TRIM(SUBSTITUTE(MID(Table15[[#This Row],[CONCERN.ID]],2,20),"","") )  )</f>
        <v>08.461.5222.26.7000</v>
      </c>
      <c r="F177" t="str">
        <f>TRIM(MID(Table15[[#This Row],[CONCERN.UNIQUEPATH]], IF( ISNUMBER( SEARCH("/",Table15[[#This Row],[CONCERN.UNIQUEPATH]])),SEARCH("/",Table15[[#This Row],[CONCERN.UNIQUEPATH]])+1,1),255))</f>
        <v>Functionality/Completeness/Capabilities/Workflow Handling/Can Run Parallel Branches</v>
      </c>
    </row>
    <row r="178" spans="1:6">
      <c r="A178" t="s">
        <v>1969</v>
      </c>
      <c r="B178" t="s">
        <v>2246</v>
      </c>
      <c r="C178" s="33" t="s">
        <v>3804</v>
      </c>
      <c r="D178" s="27" t="s">
        <v>3805</v>
      </c>
      <c r="E178" t="str">
        <f xml:space="preserve"> CONCATENATE( MID(Table15[[#This Row],[PHASE]],2,3), MID(Table15[[#This Row],[DELIVERABLE]],2,4), TRIM(SUBSTITUTE(MID(Table15[[#This Row],[CONCERN.ID]],2,20),"","") )  )</f>
        <v>08.461.5222.26.8000</v>
      </c>
      <c r="F178" t="str">
        <f>TRIM(MID(Table15[[#This Row],[CONCERN.UNIQUEPATH]], IF( ISNUMBER( SEARCH("/",Table15[[#This Row],[CONCERN.UNIQUEPATH]])),SEARCH("/",Table15[[#This Row],[CONCERN.UNIQUEPATH]])+1,1),255))</f>
        <v>Functionality/Completeness/Capabilities/Workflow Handling/Any users may participate</v>
      </c>
    </row>
    <row r="179" spans="1:6">
      <c r="A179" t="s">
        <v>1969</v>
      </c>
      <c r="B179" t="s">
        <v>2246</v>
      </c>
      <c r="C179" s="34" t="s">
        <v>3806</v>
      </c>
      <c r="D179" s="26" t="s">
        <v>3807</v>
      </c>
      <c r="E179" s="45" t="str">
        <f xml:space="preserve"> CONCATENATE( MID(Table15[[#This Row],[PHASE]],2,3), MID(Table15[[#This Row],[DELIVERABLE]],2,4), TRIM(SUBSTITUTE(MID(Table15[[#This Row],[CONCERN.ID]],2,20),"","") )  )</f>
        <v>08.461.5222.26.8100</v>
      </c>
      <c r="F179" t="str">
        <f>TRIM(MID(Table15[[#This Row],[CONCERN.UNIQUEPATH]], IF( ISNUMBER( SEARCH("/",Table15[[#This Row],[CONCERN.UNIQUEPATH]])),SEARCH("/",Table15[[#This Row],[CONCERN.UNIQUEPATH]])+1,1),255))</f>
        <v>Functionality/Completeness/Capabilities/Workflow Handling/Eternal Consultants can approve</v>
      </c>
    </row>
    <row r="180" spans="1:6">
      <c r="A180" t="s">
        <v>1969</v>
      </c>
      <c r="B180" t="s">
        <v>2246</v>
      </c>
      <c r="C180" s="35" t="s">
        <v>3808</v>
      </c>
      <c r="D180" s="27" t="s">
        <v>3809</v>
      </c>
      <c r="E180" t="str">
        <f xml:space="preserve"> CONCATENATE( MID(Table15[[#This Row],[PHASE]],2,3), MID(Table15[[#This Row],[DELIVERABLE]],2,4), TRIM(SUBSTITUTE(MID(Table15[[#This Row],[CONCERN.ID]],2,20),"","") )  )</f>
        <v>08.461.5222.26.8200</v>
      </c>
      <c r="F180" t="str">
        <f>TRIM(MID(Table15[[#This Row],[CONCERN.UNIQUEPATH]], IF( ISNUMBER( SEARCH("/",Table15[[#This Row],[CONCERN.UNIQUEPATH]])),SEARCH("/",Table15[[#This Row],[CONCERN.UNIQUEPATH]])+1,1),255))</f>
        <v>Functionality/Completeness/Capabilities/Workflow Handling/Partners can be delegated work</v>
      </c>
    </row>
    <row r="181" spans="1:6">
      <c r="A181" t="s">
        <v>1969</v>
      </c>
      <c r="B181" t="s">
        <v>2246</v>
      </c>
      <c r="C181" s="34" t="s">
        <v>3810</v>
      </c>
      <c r="D181" s="26" t="s">
        <v>3811</v>
      </c>
      <c r="E181" s="45" t="str">
        <f xml:space="preserve"> CONCATENATE( MID(Table15[[#This Row],[PHASE]],2,3), MID(Table15[[#This Row],[DELIVERABLE]],2,4), TRIM(SUBSTITUTE(MID(Table15[[#This Row],[CONCERN.ID]],2,20),"","") )  )</f>
        <v>08.461.5222.26.8300</v>
      </c>
      <c r="F181" t="str">
        <f>TRIM(MID(Table15[[#This Row],[CONCERN.UNIQUEPATH]], IF( ISNUMBER( SEARCH("/",Table15[[#This Row],[CONCERN.UNIQUEPATH]])),SEARCH("/",Table15[[#This Row],[CONCERN.UNIQUEPATH]])+1,1),255))</f>
        <v>Functionality/Completeness/Capabilities/Workflow Handling/Customers can participate</v>
      </c>
    </row>
    <row r="182" spans="1:6">
      <c r="A182" t="s">
        <v>1969</v>
      </c>
      <c r="B182" t="s">
        <v>2246</v>
      </c>
      <c r="C182" s="32" t="s">
        <v>3812</v>
      </c>
      <c r="D182" s="27" t="s">
        <v>3813</v>
      </c>
      <c r="E182" t="str">
        <f xml:space="preserve"> CONCATENATE( MID(Table15[[#This Row],[PHASE]],2,3), MID(Table15[[#This Row],[DELIVERABLE]],2,4), TRIM(SUBSTITUTE(MID(Table15[[#This Row],[CONCERN.ID]],2,20),"","") )  )</f>
        <v>08.461.5222.27.0000</v>
      </c>
      <c r="F182" t="str">
        <f>TRIM(MID(Table15[[#This Row],[CONCERN.UNIQUEPATH]], IF( ISNUMBER( SEARCH("/",Table15[[#This Row],[CONCERN.UNIQUEPATH]])),SEARCH("/",Table15[[#This Row],[CONCERN.UNIQUEPATH]])+1,1),255))</f>
        <v>Functionality/Completeness/Capabilities/Rule Management</v>
      </c>
    </row>
    <row r="183" spans="1:6">
      <c r="A183" t="s">
        <v>1969</v>
      </c>
      <c r="B183" t="s">
        <v>2246</v>
      </c>
      <c r="C183" s="36" t="s">
        <v>3814</v>
      </c>
      <c r="D183" s="26" t="s">
        <v>3815</v>
      </c>
      <c r="E183" s="45" t="str">
        <f xml:space="preserve"> CONCATENATE( MID(Table15[[#This Row],[PHASE]],2,3), MID(Table15[[#This Row],[DELIVERABLE]],2,4), TRIM(SUBSTITUTE(MID(Table15[[#This Row],[CONCERN.ID]],2,20),"","") )  )</f>
        <v>08.461.5222.27.1000</v>
      </c>
      <c r="F183" t="str">
        <f>TRIM(MID(Table15[[#This Row],[CONCERN.UNIQUEPATH]], IF( ISNUMBER( SEARCH("/",Table15[[#This Row],[CONCERN.UNIQUEPATH]])),SEARCH("/",Table15[[#This Row],[CONCERN.UNIQUEPATH]])+1,1),255))</f>
        <v>Functionality/Completeness/Capabilities/Rule Management/Authorisation</v>
      </c>
    </row>
    <row r="184" spans="1:6">
      <c r="A184" t="s">
        <v>1969</v>
      </c>
      <c r="B184" t="s">
        <v>2246</v>
      </c>
      <c r="C184" s="35" t="s">
        <v>3816</v>
      </c>
      <c r="D184" s="27" t="s">
        <v>3817</v>
      </c>
      <c r="E184" t="str">
        <f xml:space="preserve"> CONCATENATE( MID(Table15[[#This Row],[PHASE]],2,3), MID(Table15[[#This Row],[DELIVERABLE]],2,4), TRIM(SUBSTITUTE(MID(Table15[[#This Row],[CONCERN.ID]],2,20),"","") )  )</f>
        <v>08.461.5222.27.1100</v>
      </c>
      <c r="F184" t="str">
        <f>TRIM(MID(Table15[[#This Row],[CONCERN.UNIQUEPATH]], IF( ISNUMBER( SEARCH("/",Table15[[#This Row],[CONCERN.UNIQUEPATH]])),SEARCH("/",Table15[[#This Row],[CONCERN.UNIQUEPATH]])+1,1),255))</f>
        <v>Functionality/Completeness/Capabilities/Rule Management/Authorisation/By Source Time</v>
      </c>
    </row>
    <row r="185" spans="1:6">
      <c r="A185" t="s">
        <v>1969</v>
      </c>
      <c r="B185" t="s">
        <v>2246</v>
      </c>
      <c r="C185" s="34" t="s">
        <v>3818</v>
      </c>
      <c r="D185" s="26" t="s">
        <v>3819</v>
      </c>
      <c r="E185" s="45" t="str">
        <f xml:space="preserve"> CONCATENATE( MID(Table15[[#This Row],[PHASE]],2,3), MID(Table15[[#This Row],[DELIVERABLE]],2,4), TRIM(SUBSTITUTE(MID(Table15[[#This Row],[CONCERN.ID]],2,20),"","") )  )</f>
        <v>08.461.5222.27.1200</v>
      </c>
      <c r="F185" t="str">
        <f>TRIM(MID(Table15[[#This Row],[CONCERN.UNIQUEPATH]], IF( ISNUMBER( SEARCH("/",Table15[[#This Row],[CONCERN.UNIQUEPATH]])),SEARCH("/",Table15[[#This Row],[CONCERN.UNIQUEPATH]])+1,1),255))</f>
        <v>Functionality/Completeness/Capabilities/Rule Management/Authorisation/By Source Location</v>
      </c>
    </row>
    <row r="186" spans="1:6">
      <c r="A186" t="s">
        <v>1969</v>
      </c>
      <c r="B186" t="s">
        <v>2246</v>
      </c>
      <c r="C186" s="35" t="s">
        <v>3820</v>
      </c>
      <c r="D186" s="27" t="s">
        <v>3821</v>
      </c>
      <c r="E186" t="str">
        <f xml:space="preserve"> CONCATENATE( MID(Table15[[#This Row],[PHASE]],2,3), MID(Table15[[#This Row],[DELIVERABLE]],2,4), TRIM(SUBSTITUTE(MID(Table15[[#This Row],[CONCERN.ID]],2,20),"","") )  )</f>
        <v>08.461.5222.27.1300</v>
      </c>
      <c r="F186" t="str">
        <f>TRIM(MID(Table15[[#This Row],[CONCERN.UNIQUEPATH]], IF( ISNUMBER( SEARCH("/",Table15[[#This Row],[CONCERN.UNIQUEPATH]])),SEARCH("/",Table15[[#This Row],[CONCERN.UNIQUEPATH]])+1,1),255))</f>
        <v>Functionality/Completeness/Capabilities/Rule Management/Authorisation/By Resource Requested</v>
      </c>
    </row>
    <row r="187" spans="1:6">
      <c r="A187" t="s">
        <v>1969</v>
      </c>
      <c r="B187" t="s">
        <v>2246</v>
      </c>
      <c r="C187" s="31" t="s">
        <v>3822</v>
      </c>
      <c r="D187" s="26" t="s">
        <v>3823</v>
      </c>
      <c r="E187" s="45" t="str">
        <f xml:space="preserve"> CONCATENATE( MID(Table15[[#This Row],[PHASE]],2,3), MID(Table15[[#This Row],[DELIVERABLE]],2,4), TRIM(SUBSTITUTE(MID(Table15[[#This Row],[CONCERN.ID]],2,20),"","") )  )</f>
        <v>08.461.5222.30.0000</v>
      </c>
      <c r="F187" t="str">
        <f>TRIM(MID(Table15[[#This Row],[CONCERN.UNIQUEPATH]], IF( ISNUMBER( SEARCH("/",Table15[[#This Row],[CONCERN.UNIQUEPATH]])),SEARCH("/",Table15[[#This Row],[CONCERN.UNIQUEPATH]])+1,1),255))</f>
        <v>Functionality/Completeness/Capabilities/Reporting</v>
      </c>
    </row>
    <row r="188" spans="1:6">
      <c r="A188" t="s">
        <v>1969</v>
      </c>
      <c r="B188" t="s">
        <v>2246</v>
      </c>
      <c r="C188" s="33" t="s">
        <v>3824</v>
      </c>
      <c r="D188" s="27" t="s">
        <v>3825</v>
      </c>
      <c r="E188" t="str">
        <f xml:space="preserve"> CONCATENATE( MID(Table15[[#This Row],[PHASE]],2,3), MID(Table15[[#This Row],[DELIVERABLE]],2,4), TRIM(SUBSTITUTE(MID(Table15[[#This Row],[CONCERN.ID]],2,20),"","") )  )</f>
        <v>08.461.5222.30.1000</v>
      </c>
      <c r="F188" t="str">
        <f>TRIM(MID(Table15[[#This Row],[CONCERN.UNIQUEPATH]], IF( ISNUMBER( SEARCH("/",Table15[[#This Row],[CONCERN.UNIQUEPATH]])),SEARCH("/",Table15[[#This Row],[CONCERN.UNIQUEPATH]])+1,1),255))</f>
        <v>Functionality/Completeness/Capabilities/Reporting/Resources</v>
      </c>
    </row>
    <row r="189" spans="1:6">
      <c r="A189" t="s">
        <v>1969</v>
      </c>
      <c r="B189" t="s">
        <v>2246</v>
      </c>
      <c r="C189" s="34" t="s">
        <v>3826</v>
      </c>
      <c r="D189" s="26" t="s">
        <v>3827</v>
      </c>
      <c r="E189" s="45" t="str">
        <f xml:space="preserve"> CONCATENATE( MID(Table15[[#This Row],[PHASE]],2,3), MID(Table15[[#This Row],[DELIVERABLE]],2,4), TRIM(SUBSTITUTE(MID(Table15[[#This Row],[CONCERN.ID]],2,20),"","") )  )</f>
        <v>08.461.5222.30.1100</v>
      </c>
      <c r="F189" t="str">
        <f>TRIM(MID(Table15[[#This Row],[CONCERN.UNIQUEPATH]], IF( ISNUMBER( SEARCH("/",Table15[[#This Row],[CONCERN.UNIQUEPATH]])),SEARCH("/",Table15[[#This Row],[CONCERN.UNIQUEPATH]])+1,1),255))</f>
        <v>Functionality/Completeness/Capabilities/Reporting/Resources/Time</v>
      </c>
    </row>
    <row r="190" spans="1:6">
      <c r="A190" t="s">
        <v>1969</v>
      </c>
      <c r="B190" t="s">
        <v>2246</v>
      </c>
      <c r="C190" s="35" t="s">
        <v>3828</v>
      </c>
      <c r="D190" s="27" t="s">
        <v>3829</v>
      </c>
      <c r="E190" t="str">
        <f xml:space="preserve"> CONCATENATE( MID(Table15[[#This Row],[PHASE]],2,3), MID(Table15[[#This Row],[DELIVERABLE]],2,4), TRIM(SUBSTITUTE(MID(Table15[[#This Row],[CONCERN.ID]],2,20),"","") )  )</f>
        <v>08.461.5222.30.1200</v>
      </c>
      <c r="F190" t="str">
        <f>TRIM(MID(Table15[[#This Row],[CONCERN.UNIQUEPATH]], IF( ISNUMBER( SEARCH("/",Table15[[#This Row],[CONCERN.UNIQUEPATH]])),SEARCH("/",Table15[[#This Row],[CONCERN.UNIQUEPATH]])+1,1),255))</f>
        <v>Functionality/Completeness/Capabilities/Reporting/Resources/Devices</v>
      </c>
    </row>
    <row r="191" spans="1:6">
      <c r="A191" t="s">
        <v>1969</v>
      </c>
      <c r="B191" t="s">
        <v>2246</v>
      </c>
      <c r="C191" s="34" t="s">
        <v>3830</v>
      </c>
      <c r="D191" s="26" t="s">
        <v>3831</v>
      </c>
      <c r="E191" s="45" t="str">
        <f xml:space="preserve"> CONCATENATE( MID(Table15[[#This Row],[PHASE]],2,3), MID(Table15[[#This Row],[DELIVERABLE]],2,4), TRIM(SUBSTITUTE(MID(Table15[[#This Row],[CONCERN.ID]],2,20),"","") )  )</f>
        <v>08.461.5222.30.1300</v>
      </c>
      <c r="F191" t="str">
        <f>TRIM(MID(Table15[[#This Row],[CONCERN.UNIQUEPATH]], IF( ISNUMBER( SEARCH("/",Table15[[#This Row],[CONCERN.UNIQUEPATH]])),SEARCH("/",Table15[[#This Row],[CONCERN.UNIQUEPATH]])+1,1),255))</f>
        <v>Functionality/Completeness/Capabilities/Reporting/Resources/IO</v>
      </c>
    </row>
    <row r="192" spans="1:6">
      <c r="A192" t="s">
        <v>1969</v>
      </c>
      <c r="B192" t="s">
        <v>2246</v>
      </c>
      <c r="C192" s="35" t="s">
        <v>3832</v>
      </c>
      <c r="D192" s="27" t="s">
        <v>3833</v>
      </c>
      <c r="E192" t="str">
        <f xml:space="preserve"> CONCATENATE( MID(Table15[[#This Row],[PHASE]],2,3), MID(Table15[[#This Row],[DELIVERABLE]],2,4), TRIM(SUBSTITUTE(MID(Table15[[#This Row],[CONCERN.ID]],2,20),"","") )  )</f>
        <v>08.461.5222.30.1400</v>
      </c>
      <c r="F192" t="str">
        <f>TRIM(MID(Table15[[#This Row],[CONCERN.UNIQUEPATH]], IF( ISNUMBER( SEARCH("/",Table15[[#This Row],[CONCERN.UNIQUEPATH]])),SEARCH("/",Table15[[#This Row],[CONCERN.UNIQUEPATH]])+1,1),255))</f>
        <v>Functionality/Completeness/Capabilities/Reporting/Resources/Storage</v>
      </c>
    </row>
    <row r="193" spans="1:6">
      <c r="A193" t="s">
        <v>1969</v>
      </c>
      <c r="B193" t="s">
        <v>2246</v>
      </c>
      <c r="C193" s="34" t="s">
        <v>3834</v>
      </c>
      <c r="D193" s="26" t="s">
        <v>3835</v>
      </c>
      <c r="E193" s="45" t="str">
        <f xml:space="preserve"> CONCATENATE( MID(Table15[[#This Row],[PHASE]],2,3), MID(Table15[[#This Row],[DELIVERABLE]],2,4), TRIM(SUBSTITUTE(MID(Table15[[#This Row],[CONCERN.ID]],2,20),"","") )  )</f>
        <v>08.461.5222.30.1500</v>
      </c>
      <c r="F193" t="str">
        <f>TRIM(MID(Table15[[#This Row],[CONCERN.UNIQUEPATH]], IF( ISNUMBER( SEARCH("/",Table15[[#This Row],[CONCERN.UNIQUEPATH]])),SEARCH("/",Table15[[#This Row],[CONCERN.UNIQUEPATH]])+1,1),255))</f>
        <v>Functionality/Completeness/Capabilities/Reporting/Resources/Services</v>
      </c>
    </row>
    <row r="194" spans="1:6">
      <c r="A194" t="s">
        <v>1969</v>
      </c>
      <c r="B194" t="s">
        <v>2246</v>
      </c>
      <c r="C194" s="35" t="s">
        <v>3836</v>
      </c>
      <c r="D194" s="27" t="s">
        <v>3837</v>
      </c>
      <c r="E194" t="str">
        <f xml:space="preserve"> CONCATENATE( MID(Table15[[#This Row],[PHASE]],2,3), MID(Table15[[#This Row],[DELIVERABLE]],2,4), TRIM(SUBSTITUTE(MID(Table15[[#This Row],[CONCERN.ID]],2,20),"","") )  )</f>
        <v>08.461.5222.30.1510</v>
      </c>
      <c r="F194" t="str">
        <f>TRIM(MID(Table15[[#This Row],[CONCERN.UNIQUEPATH]], IF( ISNUMBER( SEARCH("/",Table15[[#This Row],[CONCERN.UNIQUEPATH]])),SEARCH("/",Table15[[#This Row],[CONCERN.UNIQUEPATH]])+1,1),255))</f>
        <v>Functionality/Completeness/Capabilities/Reporting/Resources/Services/Down Since</v>
      </c>
    </row>
    <row r="195" spans="1:6">
      <c r="A195" t="s">
        <v>1969</v>
      </c>
      <c r="B195" t="s">
        <v>2246</v>
      </c>
      <c r="C195" s="34" t="s">
        <v>3836</v>
      </c>
      <c r="D195" s="26" t="s">
        <v>3838</v>
      </c>
      <c r="E195" s="45" t="str">
        <f xml:space="preserve"> CONCATENATE( MID(Table15[[#This Row],[PHASE]],2,3), MID(Table15[[#This Row],[DELIVERABLE]],2,4), TRIM(SUBSTITUTE(MID(Table15[[#This Row],[CONCERN.ID]],2,20),"","") )  )</f>
        <v>08.461.5222.30.1510</v>
      </c>
      <c r="F195" t="str">
        <f>TRIM(MID(Table15[[#This Row],[CONCERN.UNIQUEPATH]], IF( ISNUMBER( SEARCH("/",Table15[[#This Row],[CONCERN.UNIQUEPATH]])),SEARCH("/",Table15[[#This Row],[CONCERN.UNIQUEPATH]])+1,1),255))</f>
        <v>Functionality/Completeness/Capabilities/Reporting/Resources/Services/Last Accessed</v>
      </c>
    </row>
    <row r="196" spans="1:6">
      <c r="A196" t="s">
        <v>1969</v>
      </c>
      <c r="B196" t="s">
        <v>2246</v>
      </c>
      <c r="C196" s="35" t="s">
        <v>3839</v>
      </c>
      <c r="D196" s="27" t="s">
        <v>3840</v>
      </c>
      <c r="E196" t="str">
        <f xml:space="preserve"> CONCATENATE( MID(Table15[[#This Row],[PHASE]],2,3), MID(Table15[[#This Row],[DELIVERABLE]],2,4), TRIM(SUBSTITUTE(MID(Table15[[#This Row],[CONCERN.ID]],2,20),"","") )  )</f>
        <v>08.461.5222.30.1600</v>
      </c>
      <c r="F196" t="str">
        <f>TRIM(MID(Table15[[#This Row],[CONCERN.UNIQUEPATH]], IF( ISNUMBER( SEARCH("/",Table15[[#This Row],[CONCERN.UNIQUEPATH]])),SEARCH("/",Table15[[#This Row],[CONCERN.UNIQUEPATH]])+1,1),255))</f>
        <v>Functionality/Completeness/Capabilities/Reporting/Resources/Custom/Components</v>
      </c>
    </row>
    <row r="197" spans="1:6">
      <c r="A197" t="s">
        <v>1969</v>
      </c>
      <c r="B197" t="s">
        <v>2246</v>
      </c>
      <c r="C197" s="34" t="s">
        <v>3841</v>
      </c>
      <c r="D197" s="26" t="s">
        <v>3842</v>
      </c>
      <c r="E197" s="45" t="str">
        <f xml:space="preserve"> CONCATENATE( MID(Table15[[#This Row],[PHASE]],2,3), MID(Table15[[#This Row],[DELIVERABLE]],2,4), TRIM(SUBSTITUTE(MID(Table15[[#This Row],[CONCERN.ID]],2,20),"","") )  )</f>
        <v>08.461.5222.30.1610</v>
      </c>
      <c r="F197" t="str">
        <f>TRIM(MID(Table15[[#This Row],[CONCERN.UNIQUEPATH]], IF( ISNUMBER( SEARCH("/",Table15[[#This Row],[CONCERN.UNIQUEPATH]])),SEARCH("/",Table15[[#This Row],[CONCERN.UNIQUEPATH]])+1,1),255))</f>
        <v>Functionality/Completeness/Capabilities/Reporting/Resources/Custom/Components/Version &amp; Age</v>
      </c>
    </row>
    <row r="198" spans="1:6">
      <c r="A198" t="s">
        <v>1969</v>
      </c>
      <c r="B198" t="s">
        <v>2246</v>
      </c>
      <c r="C198" s="35" t="s">
        <v>3843</v>
      </c>
      <c r="D198" s="27" t="s">
        <v>3844</v>
      </c>
      <c r="E198" t="str">
        <f xml:space="preserve"> CONCATENATE( MID(Table15[[#This Row],[PHASE]],2,3), MID(Table15[[#This Row],[DELIVERABLE]],2,4), TRIM(SUBSTITUTE(MID(Table15[[#This Row],[CONCERN.ID]],2,20),"","") )  )</f>
        <v>08.461.5222.30.1700</v>
      </c>
      <c r="F198" t="str">
        <f>TRIM(MID(Table15[[#This Row],[CONCERN.UNIQUEPATH]], IF( ISNUMBER( SEARCH("/",Table15[[#This Row],[CONCERN.UNIQUEPATH]])),SEARCH("/",Table15[[#This Row],[CONCERN.UNIQUEPATH]])+1,1),255))</f>
        <v>Functionality/Completeness/Capabilities/Reporting/Resources/Cost</v>
      </c>
    </row>
    <row r="199" spans="1:6">
      <c r="A199" t="s">
        <v>1969</v>
      </c>
      <c r="B199" t="s">
        <v>2246</v>
      </c>
      <c r="C199" s="34" t="s">
        <v>3845</v>
      </c>
      <c r="D199" s="26" t="s">
        <v>3846</v>
      </c>
      <c r="E199" s="45" t="str">
        <f xml:space="preserve"> CONCATENATE( MID(Table15[[#This Row],[PHASE]],2,3), MID(Table15[[#This Row],[DELIVERABLE]],2,4), TRIM(SUBSTITUTE(MID(Table15[[#This Row],[CONCERN.ID]],2,20),"","") )  )</f>
        <v>08.461.5222.30.1710</v>
      </c>
      <c r="F199" t="str">
        <f>TRIM(MID(Table15[[#This Row],[CONCERN.UNIQUEPATH]], IF( ISNUMBER( SEARCH("/",Table15[[#This Row],[CONCERN.UNIQUEPATH]])),SEARCH("/",Table15[[#This Row],[CONCERN.UNIQUEPATH]])+1,1),255))</f>
        <v>Functionality/Completeness/Capabilities/Reporting/Resources/Cost/PerRequest</v>
      </c>
    </row>
    <row r="200" spans="1:6">
      <c r="A200" t="s">
        <v>1969</v>
      </c>
      <c r="B200" t="s">
        <v>2246</v>
      </c>
      <c r="C200" s="35" t="s">
        <v>3847</v>
      </c>
      <c r="D200" s="27" t="s">
        <v>3848</v>
      </c>
      <c r="E200" t="str">
        <f xml:space="preserve"> CONCATENATE( MID(Table15[[#This Row],[PHASE]],2,3), MID(Table15[[#This Row],[DELIVERABLE]],2,4), TRIM(SUBSTITUTE(MID(Table15[[#This Row],[CONCERN.ID]],2,20),"","") )  )</f>
        <v>08.461.5222.30.1720</v>
      </c>
      <c r="F200" t="str">
        <f>TRIM(MID(Table15[[#This Row],[CONCERN.UNIQUEPATH]], IF( ISNUMBER( SEARCH("/",Table15[[#This Row],[CONCERN.UNIQUEPATH]])),SEARCH("/",Table15[[#This Row],[CONCERN.UNIQUEPATH]])+1,1),255))</f>
        <v>Functionality/Completeness/Capabilities/Reporting/Resources/Cost/PerMember</v>
      </c>
    </row>
    <row r="201" spans="1:6">
      <c r="A201" t="s">
        <v>1969</v>
      </c>
      <c r="B201" t="s">
        <v>2246</v>
      </c>
      <c r="C201" s="34" t="s">
        <v>3849</v>
      </c>
      <c r="D201" s="26" t="s">
        <v>3850</v>
      </c>
      <c r="E201" s="45" t="str">
        <f xml:space="preserve"> CONCATENATE( MID(Table15[[#This Row],[PHASE]],2,3), MID(Table15[[#This Row],[DELIVERABLE]],2,4), TRIM(SUBSTITUTE(MID(Table15[[#This Row],[CONCERN.ID]],2,20),"","") )  )</f>
        <v>08.461.5222.30.1730</v>
      </c>
      <c r="F201" t="str">
        <f>TRIM(MID(Table15[[#This Row],[CONCERN.UNIQUEPATH]], IF( ISNUMBER( SEARCH("/",Table15[[#This Row],[CONCERN.UNIQUEPATH]])),SEARCH("/",Table15[[#This Row],[CONCERN.UNIQUEPATH]])+1,1),255))</f>
        <v>Functionality/Completeness/Capabilities/Reporting/Resources/Cost/PerResource</v>
      </c>
    </row>
    <row r="202" spans="1:6">
      <c r="A202" t="s">
        <v>1969</v>
      </c>
      <c r="B202" t="s">
        <v>2246</v>
      </c>
      <c r="C202" s="33" t="s">
        <v>3851</v>
      </c>
      <c r="D202" s="27" t="s">
        <v>3852</v>
      </c>
      <c r="E202" t="str">
        <f xml:space="preserve"> CONCATENATE( MID(Table15[[#This Row],[PHASE]],2,3), MID(Table15[[#This Row],[DELIVERABLE]],2,4), TRIM(SUBSTITUTE(MID(Table15[[#This Row],[CONCERN.ID]],2,20),"","") )  )</f>
        <v>08.461.5222.30.2000</v>
      </c>
      <c r="F202" t="str">
        <f>TRIM(MID(Table15[[#This Row],[CONCERN.UNIQUEPATH]], IF( ISNUMBER( SEARCH("/",Table15[[#This Row],[CONCERN.UNIQUEPATH]])),SEARCH("/",Table15[[#This Row],[CONCERN.UNIQUEPATH]])+1,1),255))</f>
        <v>Functionality/Completeness/Capabilities/Reporting/Sessions</v>
      </c>
    </row>
    <row r="203" spans="1:6">
      <c r="A203" t="s">
        <v>1969</v>
      </c>
      <c r="B203" t="s">
        <v>2246</v>
      </c>
      <c r="C203" s="34" t="s">
        <v>3853</v>
      </c>
      <c r="D203" s="26" t="s">
        <v>3854</v>
      </c>
      <c r="E203" s="45" t="str">
        <f xml:space="preserve"> CONCATENATE( MID(Table15[[#This Row],[PHASE]],2,3), MID(Table15[[#This Row],[DELIVERABLE]],2,4), TRIM(SUBSTITUTE(MID(Table15[[#This Row],[CONCERN.ID]],2,20),"","") )  )</f>
        <v>08.461.5222.30.2100</v>
      </c>
      <c r="F203" t="str">
        <f>TRIM(MID(Table15[[#This Row],[CONCERN.UNIQUEPATH]], IF( ISNUMBER( SEARCH("/",Table15[[#This Row],[CONCERN.UNIQUEPATH]])),SEARCH("/",Table15[[#This Row],[CONCERN.UNIQUEPATH]])+1,1),255))</f>
        <v>Functionality/Completeness/Capabilities/Reporting/Sessions/AccessDeviceCapabilities</v>
      </c>
    </row>
    <row r="204" spans="1:6">
      <c r="A204" t="s">
        <v>1969</v>
      </c>
      <c r="B204" t="s">
        <v>2246</v>
      </c>
      <c r="C204" s="35" t="s">
        <v>3855</v>
      </c>
      <c r="D204" s="27" t="s">
        <v>3856</v>
      </c>
      <c r="E204" t="str">
        <f xml:space="preserve"> CONCATENATE( MID(Table15[[#This Row],[PHASE]],2,3), MID(Table15[[#This Row],[DELIVERABLE]],2,4), TRIM(SUBSTITUTE(MID(Table15[[#This Row],[CONCERN.ID]],2,20),"","") )  )</f>
        <v>08.461.5222.30.2200</v>
      </c>
      <c r="F204" t="str">
        <f>TRIM(MID(Table15[[#This Row],[CONCERN.UNIQUEPATH]], IF( ISNUMBER( SEARCH("/",Table15[[#This Row],[CONCERN.UNIQUEPATH]])),SEARCH("/",Table15[[#This Row],[CONCERN.UNIQUEPATH]])+1,1),255))</f>
        <v>Functionality/Completeness/Capabilities/Reporting/Sessions/Source</v>
      </c>
    </row>
    <row r="205" spans="1:6">
      <c r="A205" t="s">
        <v>1969</v>
      </c>
      <c r="B205" t="s">
        <v>2246</v>
      </c>
      <c r="C205" s="34" t="s">
        <v>3857</v>
      </c>
      <c r="D205" s="26" t="s">
        <v>3858</v>
      </c>
      <c r="E205" s="45" t="str">
        <f xml:space="preserve"> CONCATENATE( MID(Table15[[#This Row],[PHASE]],2,3), MID(Table15[[#This Row],[DELIVERABLE]],2,4), TRIM(SUBSTITUTE(MID(Table15[[#This Row],[CONCERN.ID]],2,20),"","") )  )</f>
        <v>08.461.5222.30.2300</v>
      </c>
      <c r="F205" t="str">
        <f>TRIM(MID(Table15[[#This Row],[CONCERN.UNIQUEPATH]], IF( ISNUMBER( SEARCH("/",Table15[[#This Row],[CONCERN.UNIQUEPATH]])),SEARCH("/",Table15[[#This Row],[CONCERN.UNIQUEPATH]])+1,1),255))</f>
        <v>Functionality/Completeness/Capabilities/Reporting/Sessions/Location</v>
      </c>
    </row>
    <row r="206" spans="1:6">
      <c r="A206" t="s">
        <v>1969</v>
      </c>
      <c r="B206" t="s">
        <v>2246</v>
      </c>
      <c r="C206" s="35" t="s">
        <v>3859</v>
      </c>
      <c r="D206" s="27" t="s">
        <v>3860</v>
      </c>
      <c r="E206" t="str">
        <f xml:space="preserve"> CONCATENATE( MID(Table15[[#This Row],[PHASE]],2,3), MID(Table15[[#This Row],[DELIVERABLE]],2,4), TRIM(SUBSTITUTE(MID(Table15[[#This Row],[CONCERN.ID]],2,20),"","") )  )</f>
        <v>08.461.5222.30.2400</v>
      </c>
      <c r="F206" t="str">
        <f>TRIM(MID(Table15[[#This Row],[CONCERN.UNIQUEPATH]], IF( ISNUMBER( SEARCH("/",Table15[[#This Row],[CONCERN.UNIQUEPATH]])),SEARCH("/",Table15[[#This Row],[CONCERN.UNIQUEPATH]])+1,1),255))</f>
        <v>Functionality/Completeness/Capabilities/Reporting/Sessions/Active</v>
      </c>
    </row>
    <row r="207" spans="1:6">
      <c r="A207" t="s">
        <v>1969</v>
      </c>
      <c r="B207" t="s">
        <v>2246</v>
      </c>
      <c r="C207" s="34" t="s">
        <v>3861</v>
      </c>
      <c r="D207" s="26" t="s">
        <v>3862</v>
      </c>
      <c r="E207" s="45" t="str">
        <f xml:space="preserve"> CONCATENATE( MID(Table15[[#This Row],[PHASE]],2,3), MID(Table15[[#This Row],[DELIVERABLE]],2,4), TRIM(SUBSTITUTE(MID(Table15[[#This Row],[CONCERN.ID]],2,20),"","") )  )</f>
        <v>08.461.5222.30.2500</v>
      </c>
      <c r="F207" t="str">
        <f>TRIM(MID(Table15[[#This Row],[CONCERN.UNIQUEPATH]], IF( ISNUMBER( SEARCH("/",Table15[[#This Row],[CONCERN.UNIQUEPATH]])),SEARCH("/",Table15[[#This Row],[CONCERN.UNIQUEPATH]])+1,1),255))</f>
        <v>Functionality/Completeness/Capabilities/Reporting/Sessions/Operations</v>
      </c>
    </row>
    <row r="208" spans="1:6">
      <c r="A208" t="s">
        <v>1969</v>
      </c>
      <c r="B208" t="s">
        <v>2246</v>
      </c>
      <c r="C208" s="35" t="s">
        <v>3863</v>
      </c>
      <c r="D208" s="27" t="s">
        <v>3864</v>
      </c>
      <c r="E208" t="str">
        <f xml:space="preserve"> CONCATENATE( MID(Table15[[#This Row],[PHASE]],2,3), MID(Table15[[#This Row],[DELIVERABLE]],2,4), TRIM(SUBSTITUTE(MID(Table15[[#This Row],[CONCERN.ID]],2,20),"","") )  )</f>
        <v>08.461.5222.30.2610</v>
      </c>
      <c r="F208" t="str">
        <f>TRIM(MID(Table15[[#This Row],[CONCERN.UNIQUEPATH]], IF( ISNUMBER( SEARCH("/",Table15[[#This Row],[CONCERN.UNIQUEPATH]])),SEARCH("/",Table15[[#This Row],[CONCERN.UNIQUEPATH]])+1,1),255))</f>
        <v>Functionality/Completeness/Capabilities/Reporting/Sessions/Membership/Currency</v>
      </c>
    </row>
    <row r="209" spans="1:6">
      <c r="A209" t="s">
        <v>1969</v>
      </c>
      <c r="B209" t="s">
        <v>2246</v>
      </c>
      <c r="C209" s="34" t="s">
        <v>3865</v>
      </c>
      <c r="D209" s="26" t="s">
        <v>3866</v>
      </c>
      <c r="E209" s="45" t="str">
        <f xml:space="preserve"> CONCATENATE( MID(Table15[[#This Row],[PHASE]],2,3), MID(Table15[[#This Row],[DELIVERABLE]],2,4), TRIM(SUBSTITUTE(MID(Table15[[#This Row],[CONCERN.ID]],2,20),"","") )  )</f>
        <v>08.461.5222.30.2620</v>
      </c>
      <c r="F209" t="str">
        <f>TRIM(MID(Table15[[#This Row],[CONCERN.UNIQUEPATH]], IF( ISNUMBER( SEARCH("/",Table15[[#This Row],[CONCERN.UNIQUEPATH]])),SEARCH("/",Table15[[#This Row],[CONCERN.UNIQUEPATH]])+1,1),255))</f>
        <v>Functionality/Completeness/Capabilities/Reporting/Sessions/Membership/ConversionAbandonment</v>
      </c>
    </row>
    <row r="210" spans="1:6">
      <c r="A210" t="s">
        <v>1969</v>
      </c>
      <c r="B210" t="s">
        <v>2246</v>
      </c>
      <c r="C210" s="33" t="s">
        <v>3867</v>
      </c>
      <c r="D210" s="27" t="s">
        <v>3868</v>
      </c>
      <c r="E210" t="str">
        <f xml:space="preserve"> CONCATENATE( MID(Table15[[#This Row],[PHASE]],2,3), MID(Table15[[#This Row],[DELIVERABLE]],2,4), TRIM(SUBSTITUTE(MID(Table15[[#This Row],[CONCERN.ID]],2,20),"","") )  )</f>
        <v>08.461.5222.30.3000</v>
      </c>
      <c r="F210" t="str">
        <f>TRIM(MID(Table15[[#This Row],[CONCERN.UNIQUEPATH]], IF( ISNUMBER( SEARCH("/",Table15[[#This Row],[CONCERN.UNIQUEPATH]])),SEARCH("/",Table15[[#This Row],[CONCERN.UNIQUEPATH]])+1,1),255))</f>
        <v>Functionality/Completeness/Capabilities/Reporting/Tenancy Users</v>
      </c>
    </row>
    <row r="211" spans="1:6">
      <c r="A211" t="s">
        <v>1969</v>
      </c>
      <c r="B211" t="s">
        <v>2246</v>
      </c>
      <c r="C211" s="34" t="s">
        <v>3869</v>
      </c>
      <c r="D211" s="26" t="s">
        <v>3870</v>
      </c>
      <c r="E211" s="45" t="str">
        <f xml:space="preserve"> CONCATENATE( MID(Table15[[#This Row],[PHASE]],2,3), MID(Table15[[#This Row],[DELIVERABLE]],2,4), TRIM(SUBSTITUTE(MID(Table15[[#This Row],[CONCERN.ID]],2,20),"","") )  )</f>
        <v>08.461.5222.30.3100</v>
      </c>
      <c r="F211" t="str">
        <f>TRIM(MID(Table15[[#This Row],[CONCERN.UNIQUEPATH]], IF( ISNUMBER( SEARCH("/",Table15[[#This Row],[CONCERN.UNIQUEPATH]])),SEARCH("/",Table15[[#This Row],[CONCERN.UNIQUEPATH]])+1,1),255))</f>
        <v>Functionality/Completeness/Capabilities/Reporting/Tenancy Users/Permissions</v>
      </c>
    </row>
    <row r="212" spans="1:6">
      <c r="A212" t="s">
        <v>1969</v>
      </c>
      <c r="B212" t="s">
        <v>2246</v>
      </c>
      <c r="C212" s="35" t="s">
        <v>3871</v>
      </c>
      <c r="D212" s="27" t="s">
        <v>3872</v>
      </c>
      <c r="E212" t="str">
        <f xml:space="preserve"> CONCATENATE( MID(Table15[[#This Row],[PHASE]],2,3), MID(Table15[[#This Row],[DELIVERABLE]],2,4), TRIM(SUBSTITUTE(MID(Table15[[#This Row],[CONCERN.ID]],2,20),"","") )  )</f>
        <v>08.461.5222.30.3200</v>
      </c>
      <c r="F212" t="str">
        <f>TRIM(MID(Table15[[#This Row],[CONCERN.UNIQUEPATH]], IF( ISNUMBER( SEARCH("/",Table15[[#This Row],[CONCERN.UNIQUEPATH]])),SEARCH("/",Table15[[#This Row],[CONCERN.UNIQUEPATH]])+1,1),255))</f>
        <v>Functionality/Completeness/Capabilities/Reporting/Tenancy Users/Operations</v>
      </c>
    </row>
    <row r="213" spans="1:6">
      <c r="A213" t="s">
        <v>1969</v>
      </c>
      <c r="B213" t="s">
        <v>2246</v>
      </c>
      <c r="C213" s="34" t="s">
        <v>3873</v>
      </c>
      <c r="D213" s="26" t="s">
        <v>3874</v>
      </c>
      <c r="E213" s="45" t="str">
        <f xml:space="preserve"> CONCATENATE( MID(Table15[[#This Row],[PHASE]],2,3), MID(Table15[[#This Row],[DELIVERABLE]],2,4), TRIM(SUBSTITUTE(MID(Table15[[#This Row],[CONCERN.ID]],2,20),"","") )  )</f>
        <v>08.461.5222.30.3300</v>
      </c>
      <c r="F213" t="str">
        <f>TRIM(MID(Table15[[#This Row],[CONCERN.UNIQUEPATH]], IF( ISNUMBER( SEARCH("/",Table15[[#This Row],[CONCERN.UNIQUEPATH]])),SEARCH("/",Table15[[#This Row],[CONCERN.UNIQUEPATH]])+1,1),255))</f>
        <v>Functionality/Completeness/Capabilities/Reporting/Tenancy Users/Group Membership</v>
      </c>
    </row>
    <row r="214" spans="1:6">
      <c r="A214" t="s">
        <v>1969</v>
      </c>
      <c r="B214" t="s">
        <v>2246</v>
      </c>
      <c r="C214" s="33" t="s">
        <v>3875</v>
      </c>
      <c r="D214" s="27" t="s">
        <v>3876</v>
      </c>
      <c r="E214" t="str">
        <f xml:space="preserve"> CONCATENATE( MID(Table15[[#This Row],[PHASE]],2,3), MID(Table15[[#This Row],[DELIVERABLE]],2,4), TRIM(SUBSTITUTE(MID(Table15[[#This Row],[CONCERN.ID]],2,20),"","") )  )</f>
        <v>08.461.5222.30.4000</v>
      </c>
      <c r="F214" t="str">
        <f>TRIM(MID(Table15[[#This Row],[CONCERN.UNIQUEPATH]], IF( ISNUMBER( SEARCH("/",Table15[[#This Row],[CONCERN.UNIQUEPATH]])),SEARCH("/",Table15[[#This Row],[CONCERN.UNIQUEPATH]])+1,1),255))</f>
        <v>Functionality/Completeness/Capabilities/Reporting/Tenancy Groups</v>
      </c>
    </row>
    <row r="215" spans="1:6">
      <c r="A215" t="s">
        <v>1969</v>
      </c>
      <c r="B215" t="s">
        <v>2246</v>
      </c>
      <c r="C215" s="34" t="s">
        <v>3877</v>
      </c>
      <c r="D215" s="26" t="s">
        <v>3878</v>
      </c>
      <c r="E215" s="45" t="str">
        <f xml:space="preserve"> CONCATENATE( MID(Table15[[#This Row],[PHASE]],2,3), MID(Table15[[#This Row],[DELIVERABLE]],2,4), TRIM(SUBSTITUTE(MID(Table15[[#This Row],[CONCERN.ID]],2,20),"","") )  )</f>
        <v>08.461.5222.30.4100</v>
      </c>
      <c r="F215" t="str">
        <f>TRIM(MID(Table15[[#This Row],[CONCERN.UNIQUEPATH]], IF( ISNUMBER( SEARCH("/",Table15[[#This Row],[CONCERN.UNIQUEPATH]])),SEARCH("/",Table15[[#This Row],[CONCERN.UNIQUEPATH]])+1,1),255))</f>
        <v>Functionality/Completeness/Capabilities/Reporting/Tenancy Groups/Member Roles</v>
      </c>
    </row>
    <row r="216" spans="1:6">
      <c r="A216" t="s">
        <v>1969</v>
      </c>
      <c r="B216" t="s">
        <v>2246</v>
      </c>
      <c r="C216" s="33" t="s">
        <v>3879</v>
      </c>
      <c r="D216" s="27" t="s">
        <v>3880</v>
      </c>
      <c r="E216" t="str">
        <f xml:space="preserve"> CONCATENATE( MID(Table15[[#This Row],[PHASE]],2,3), MID(Table15[[#This Row],[DELIVERABLE]],2,4), TRIM(SUBSTITUTE(MID(Table15[[#This Row],[CONCERN.ID]],2,20),"","") )  )</f>
        <v>08.461.5222.30.5000</v>
      </c>
      <c r="F216" t="str">
        <f>TRIM(MID(Table15[[#This Row],[CONCERN.UNIQUEPATH]], IF( ISNUMBER( SEARCH("/",Table15[[#This Row],[CONCERN.UNIQUEPATH]])),SEARCH("/",Table15[[#This Row],[CONCERN.UNIQUEPATH]])+1,1),255))</f>
        <v>Functionality/Completeness/Capabilities/Reporting/Search</v>
      </c>
    </row>
    <row r="217" spans="1:6">
      <c r="A217" t="s">
        <v>1969</v>
      </c>
      <c r="B217" t="s">
        <v>2246</v>
      </c>
      <c r="C217" s="34" t="s">
        <v>3881</v>
      </c>
      <c r="D217" s="26" t="s">
        <v>3882</v>
      </c>
      <c r="E217" s="45" t="str">
        <f xml:space="preserve"> CONCATENATE( MID(Table15[[#This Row],[PHASE]],2,3), MID(Table15[[#This Row],[DELIVERABLE]],2,4), TRIM(SUBSTITUTE(MID(Table15[[#This Row],[CONCERN.ID]],2,20),"","") )  )</f>
        <v>08.461.5222.30.5100</v>
      </c>
      <c r="F217" t="str">
        <f>TRIM(MID(Table15[[#This Row],[CONCERN.UNIQUEPATH]], IF( ISNUMBER( SEARCH("/",Table15[[#This Row],[CONCERN.UNIQUEPATH]])),SEARCH("/",Table15[[#This Row],[CONCERN.UNIQUEPATH]])+1,1),255))</f>
        <v>Functionality/Completeness/Capabilities/Reporting/Search/Most Searched For</v>
      </c>
    </row>
    <row r="218" spans="1:6">
      <c r="A218" t="s">
        <v>1969</v>
      </c>
      <c r="B218" t="s">
        <v>2246</v>
      </c>
      <c r="C218" s="35" t="s">
        <v>3883</v>
      </c>
      <c r="D218" s="27" t="s">
        <v>3884</v>
      </c>
      <c r="E218" t="str">
        <f xml:space="preserve"> CONCATENATE( MID(Table15[[#This Row],[PHASE]],2,3), MID(Table15[[#This Row],[DELIVERABLE]],2,4), TRIM(SUBSTITUTE(MID(Table15[[#This Row],[CONCERN.ID]],2,20),"","") )  )</f>
        <v>08.461.5222.30.5200</v>
      </c>
      <c r="F218" t="str">
        <f>TRIM(MID(Table15[[#This Row],[CONCERN.UNIQUEPATH]], IF( ISNUMBER( SEARCH("/",Table15[[#This Row],[CONCERN.UNIQUEPATH]])),SEARCH("/",Table15[[#This Row],[CONCERN.UNIQUEPATH]])+1,1),255))</f>
        <v>Functionality/Completeness/Capabilities/Reporting/Search/Abandonment</v>
      </c>
    </row>
    <row r="219" spans="1:6">
      <c r="A219" t="s">
        <v>1969</v>
      </c>
      <c r="B219" t="s">
        <v>2246</v>
      </c>
      <c r="C219" s="34" t="s">
        <v>3885</v>
      </c>
      <c r="D219" s="26" t="s">
        <v>3886</v>
      </c>
      <c r="E219" s="45" t="str">
        <f xml:space="preserve"> CONCATENATE( MID(Table15[[#This Row],[PHASE]],2,3), MID(Table15[[#This Row],[DELIVERABLE]],2,4), TRIM(SUBSTITUTE(MID(Table15[[#This Row],[CONCERN.ID]],2,20),"","") )  )</f>
        <v>08.461.5222.30.5300</v>
      </c>
      <c r="F219" t="str">
        <f>TRIM(MID(Table15[[#This Row],[CONCERN.UNIQUEPATH]], IF( ISNUMBER( SEARCH("/",Table15[[#This Row],[CONCERN.UNIQUEPATH]])),SEARCH("/",Table15[[#This Row],[CONCERN.UNIQUEPATH]])+1,1),255))</f>
        <v>Functionality/Completeness/Capabilities/Reporting/Search/Navigation Importance</v>
      </c>
    </row>
    <row r="220" spans="1:6">
      <c r="A220" t="s">
        <v>1969</v>
      </c>
      <c r="B220" t="s">
        <v>2246</v>
      </c>
      <c r="C220" s="35" t="s">
        <v>3885</v>
      </c>
      <c r="D220" s="27" t="s">
        <v>3887</v>
      </c>
      <c r="E220" t="str">
        <f xml:space="preserve"> CONCATENATE( MID(Table15[[#This Row],[PHASE]],2,3), MID(Table15[[#This Row],[DELIVERABLE]],2,4), TRIM(SUBSTITUTE(MID(Table15[[#This Row],[CONCERN.ID]],2,20),"","") )  )</f>
        <v>08.461.5222.30.5300</v>
      </c>
      <c r="F220" t="str">
        <f>TRIM(MID(Table15[[#This Row],[CONCERN.UNIQUEPATH]], IF( ISNUMBER( SEARCH("/",Table15[[#This Row],[CONCERN.UNIQUEPATH]])),SEARCH("/",Table15[[#This Row],[CONCERN.UNIQUEPATH]])+1,1),255))</f>
        <v>Functionality/Completeness/Capabilities/Reporting/Search/Navigation Paths</v>
      </c>
    </row>
    <row r="221" spans="1:6">
      <c r="A221" t="s">
        <v>1969</v>
      </c>
      <c r="B221" t="s">
        <v>2246</v>
      </c>
      <c r="C221" s="36" t="s">
        <v>3888</v>
      </c>
      <c r="D221" s="26" t="s">
        <v>3889</v>
      </c>
      <c r="E221" s="45" t="str">
        <f xml:space="preserve"> CONCATENATE( MID(Table15[[#This Row],[PHASE]],2,3), MID(Table15[[#This Row],[DELIVERABLE]],2,4), TRIM(SUBSTITUTE(MID(Table15[[#This Row],[CONCERN.ID]],2,20),"","") )  )</f>
        <v>08.461.5222.30.8000</v>
      </c>
      <c r="F221" t="str">
        <f>TRIM(MID(Table15[[#This Row],[CONCERN.UNIQUEPATH]], IF( ISNUMBER( SEARCH("/",Table15[[#This Row],[CONCERN.UNIQUEPATH]])),SEARCH("/",Table15[[#This Row],[CONCERN.UNIQUEPATH]])+1,1),255))</f>
        <v>Functionality/Completeness/Capabilities/Reporting/Operations</v>
      </c>
    </row>
    <row r="222" spans="1:6">
      <c r="A222" t="s">
        <v>1969</v>
      </c>
      <c r="B222" t="s">
        <v>2246</v>
      </c>
      <c r="C222" s="35" t="s">
        <v>3890</v>
      </c>
      <c r="D222" s="27" t="s">
        <v>3891</v>
      </c>
      <c r="E222" t="str">
        <f xml:space="preserve"> CONCATENATE( MID(Table15[[#This Row],[PHASE]],2,3), MID(Table15[[#This Row],[DELIVERABLE]],2,4), TRIM(SUBSTITUTE(MID(Table15[[#This Row],[CONCERN.ID]],2,20),"","") )  )</f>
        <v>08.461.5222.30.8100</v>
      </c>
      <c r="F222" t="str">
        <f>TRIM(MID(Table15[[#This Row],[CONCERN.UNIQUEPATH]], IF( ISNUMBER( SEARCH("/",Table15[[#This Row],[CONCERN.UNIQUEPATH]])),SEARCH("/",Table15[[#This Row],[CONCERN.UNIQUEPATH]])+1,1),255))</f>
        <v>Functionality/Completeness/Capabilities/Reporting/Operations/Abandoment</v>
      </c>
    </row>
    <row r="223" spans="1:6">
      <c r="A223" t="s">
        <v>1969</v>
      </c>
      <c r="B223" t="s">
        <v>2246</v>
      </c>
      <c r="C223" s="34" t="s">
        <v>3892</v>
      </c>
      <c r="D223" s="26" t="s">
        <v>3893</v>
      </c>
      <c r="E223" s="45" t="str">
        <f xml:space="preserve"> CONCATENATE( MID(Table15[[#This Row],[PHASE]],2,3), MID(Table15[[#This Row],[DELIVERABLE]],2,4), TRIM(SUBSTITUTE(MID(Table15[[#This Row],[CONCERN.ID]],2,20),"","") )  )</f>
        <v>08.461.5222.30.8200</v>
      </c>
      <c r="F223" t="str">
        <f>TRIM(MID(Table15[[#This Row],[CONCERN.UNIQUEPATH]], IF( ISNUMBER( SEARCH("/",Table15[[#This Row],[CONCERN.UNIQUEPATH]])),SEARCH("/",Table15[[#This Row],[CONCERN.UNIQUEPATH]])+1,1),255))</f>
        <v>Functionality/Completeness/Capabilities/Reporting/Operations/On A Product</v>
      </c>
    </row>
    <row r="224" spans="1:6">
      <c r="A224" t="s">
        <v>1969</v>
      </c>
      <c r="B224" t="s">
        <v>2246</v>
      </c>
      <c r="C224" s="33" t="s">
        <v>3894</v>
      </c>
      <c r="D224" s="27" t="s">
        <v>3895</v>
      </c>
      <c r="E224" t="str">
        <f xml:space="preserve"> CONCATENATE( MID(Table15[[#This Row],[PHASE]],2,3), MID(Table15[[#This Row],[DELIVERABLE]],2,4), TRIM(SUBSTITUTE(MID(Table15[[#This Row],[CONCERN.ID]],2,20),"","") )  )</f>
        <v>08.461.5222.30.9000</v>
      </c>
      <c r="F224" t="str">
        <f>TRIM(MID(Table15[[#This Row],[CONCERN.UNIQUEPATH]], IF( ISNUMBER( SEARCH("/",Table15[[#This Row],[CONCERN.UNIQUEPATH]])),SEARCH("/",Table15[[#This Row],[CONCERN.UNIQUEPATH]])+1,1),255))</f>
        <v>Functionality/Completeness/Capabilities/Reporting/Products</v>
      </c>
    </row>
    <row r="225" spans="1:6">
      <c r="A225" t="s">
        <v>1969</v>
      </c>
      <c r="B225" t="s">
        <v>2246</v>
      </c>
      <c r="C225" s="34" t="s">
        <v>3896</v>
      </c>
      <c r="D225" s="26" t="s">
        <v>3897</v>
      </c>
      <c r="E225" s="45" t="str">
        <f xml:space="preserve"> CONCATENATE( MID(Table15[[#This Row],[PHASE]],2,3), MID(Table15[[#This Row],[DELIVERABLE]],2,4), TRIM(SUBSTITUTE(MID(Table15[[#This Row],[CONCERN.ID]],2,20),"","") )  )</f>
        <v>08.461.5222.30.9100</v>
      </c>
      <c r="F225" t="str">
        <f>TRIM(MID(Table15[[#This Row],[CONCERN.UNIQUEPATH]], IF( ISNUMBER( SEARCH("/",Table15[[#This Row],[CONCERN.UNIQUEPATH]])),SEARCH("/",Table15[[#This Row],[CONCERN.UNIQUEPATH]])+1,1),255))</f>
        <v>Functionality/Completeness/Capabilities/Reporting/Products/Currency</v>
      </c>
    </row>
    <row r="226" spans="1:6">
      <c r="A226" t="s">
        <v>1969</v>
      </c>
      <c r="B226" t="s">
        <v>2246</v>
      </c>
      <c r="C226" s="35" t="s">
        <v>3898</v>
      </c>
      <c r="D226" s="27" t="s">
        <v>3899</v>
      </c>
      <c r="E226" t="str">
        <f xml:space="preserve"> CONCATENATE( MID(Table15[[#This Row],[PHASE]],2,3), MID(Table15[[#This Row],[DELIVERABLE]],2,4), TRIM(SUBSTITUTE(MID(Table15[[#This Row],[CONCERN.ID]],2,20),"","") )  )</f>
        <v>08.461.5222.30.9200</v>
      </c>
      <c r="F226" t="str">
        <f>TRIM(MID(Table15[[#This Row],[CONCERN.UNIQUEPATH]], IF( ISNUMBER( SEARCH("/",Table15[[#This Row],[CONCERN.UNIQUEPATH]])),SEARCH("/",Table15[[#This Row],[CONCERN.UNIQUEPATH]])+1,1),255))</f>
        <v>Functionality/Completeness/Capabilities/Reporting/Products/Reviewable</v>
      </c>
    </row>
    <row r="227" spans="1:6">
      <c r="A227" t="s">
        <v>1969</v>
      </c>
      <c r="B227" t="s">
        <v>2246</v>
      </c>
      <c r="C227" s="34" t="s">
        <v>3900</v>
      </c>
      <c r="D227" s="26" t="s">
        <v>3901</v>
      </c>
      <c r="E227" s="45" t="str">
        <f xml:space="preserve"> CONCATENATE( MID(Table15[[#This Row],[PHASE]],2,3), MID(Table15[[#This Row],[DELIVERABLE]],2,4), TRIM(SUBSTITUTE(MID(Table15[[#This Row],[CONCERN.ID]],2,20),"","") )  )</f>
        <v>08.461.5222.30.9300</v>
      </c>
      <c r="F227" t="str">
        <f>TRIM(MID(Table15[[#This Row],[CONCERN.UNIQUEPATH]], IF( ISNUMBER( SEARCH("/",Table15[[#This Row],[CONCERN.UNIQUEPATH]])),SEARCH("/",Table15[[#This Row],[CONCERN.UNIQUEPATH]])+1,1),255))</f>
        <v>Functionality/Completeness/Capabilities/Reporting/Products/ByMetadata</v>
      </c>
    </row>
    <row r="228" spans="1:6">
      <c r="A228" t="s">
        <v>1969</v>
      </c>
      <c r="B228" t="s">
        <v>2246</v>
      </c>
      <c r="C228" s="35" t="s">
        <v>3902</v>
      </c>
      <c r="D228" s="27" t="s">
        <v>3903</v>
      </c>
      <c r="E228" t="str">
        <f xml:space="preserve"> CONCATENATE( MID(Table15[[#This Row],[PHASE]],2,3), MID(Table15[[#This Row],[DELIVERABLE]],2,4), TRIM(SUBSTITUTE(MID(Table15[[#This Row],[CONCERN.ID]],2,20),"","") )  )</f>
        <v>08.461.5222.30.9400</v>
      </c>
      <c r="F228" t="str">
        <f>TRIM(MID(Table15[[#This Row],[CONCERN.UNIQUEPATH]], IF( ISNUMBER( SEARCH("/",Table15[[#This Row],[CONCERN.UNIQUEPATH]])),SEARCH("/",Table15[[#This Row],[CONCERN.UNIQUEPATH]])+1,1),255))</f>
        <v>Functionality/Completeness/Capabilities/Reporting/Products/ByAccess</v>
      </c>
    </row>
    <row r="229" spans="1:6">
      <c r="A229" t="s">
        <v>1969</v>
      </c>
      <c r="B229" t="s">
        <v>2246</v>
      </c>
      <c r="C229" s="34" t="s">
        <v>3904</v>
      </c>
      <c r="D229" s="26" t="s">
        <v>3905</v>
      </c>
      <c r="E229" s="45" t="str">
        <f xml:space="preserve"> CONCATENATE( MID(Table15[[#This Row],[PHASE]],2,3), MID(Table15[[#This Row],[DELIVERABLE]],2,4), TRIM(SUBSTITUTE(MID(Table15[[#This Row],[CONCERN.ID]],2,20),"","") )  )</f>
        <v>08.461.5222.30.9500</v>
      </c>
      <c r="F229" t="str">
        <f>TRIM(MID(Table15[[#This Row],[CONCERN.UNIQUEPATH]], IF( ISNUMBER( SEARCH("/",Table15[[#This Row],[CONCERN.UNIQUEPATH]])),SEARCH("/",Table15[[#This Row],[CONCERN.UNIQUEPATH]])+1,1),255))</f>
        <v>Functionality/Completeness/Capabilities/Reporting/Products/Source</v>
      </c>
    </row>
    <row r="230" spans="1:6">
      <c r="A230" t="s">
        <v>1969</v>
      </c>
      <c r="B230" t="s">
        <v>2246</v>
      </c>
      <c r="C230" s="32" t="s">
        <v>3906</v>
      </c>
      <c r="D230" s="27" t="s">
        <v>3907</v>
      </c>
      <c r="E230" t="str">
        <f xml:space="preserve"> CONCATENATE( MID(Table15[[#This Row],[PHASE]],2,3), MID(Table15[[#This Row],[DELIVERABLE]],2,4), TRIM(SUBSTITUTE(MID(Table15[[#This Row],[CONCERN.ID]],2,20),"","") )  )</f>
        <v>08.461.5222.40.0000</v>
      </c>
      <c r="F230" t="str">
        <f>TRIM(MID(Table15[[#This Row],[CONCERN.UNIQUEPATH]], IF( ISNUMBER( SEARCH("/",Table15[[#This Row],[CONCERN.UNIQUEPATH]])),SEARCH("/",Table15[[#This Row],[CONCERN.UNIQUEPATH]])+1,1),255))</f>
        <v>Functionality/Completeness/Capabilities/User Profile</v>
      </c>
    </row>
    <row r="231" spans="1:6">
      <c r="A231" t="s">
        <v>1969</v>
      </c>
      <c r="B231" t="s">
        <v>2246</v>
      </c>
      <c r="C231" s="36" t="s">
        <v>3908</v>
      </c>
      <c r="D231" s="26" t="s">
        <v>3909</v>
      </c>
      <c r="E231" s="45" t="str">
        <f xml:space="preserve"> CONCATENATE( MID(Table15[[#This Row],[PHASE]],2,3), MID(Table15[[#This Row],[DELIVERABLE]],2,4), TRIM(SUBSTITUTE(MID(Table15[[#This Row],[CONCERN.ID]],2,20),"","") )  )</f>
        <v>08.461.5222.40.1000</v>
      </c>
      <c r="F231" t="str">
        <f>TRIM(MID(Table15[[#This Row],[CONCERN.UNIQUEPATH]], IF( ISNUMBER( SEARCH("/",Table15[[#This Row],[CONCERN.UNIQUEPATH]])),SEARCH("/",Table15[[#This Row],[CONCERN.UNIQUEPATH]])+1,1),255))</f>
        <v>Functionality/Completeness/Capabilities/User Profile/Default Name</v>
      </c>
    </row>
    <row r="232" spans="1:6">
      <c r="A232" t="s">
        <v>1969</v>
      </c>
      <c r="B232" t="s">
        <v>2246</v>
      </c>
      <c r="C232" s="33" t="s">
        <v>3910</v>
      </c>
      <c r="D232" s="27" t="s">
        <v>3911</v>
      </c>
      <c r="E232" t="str">
        <f xml:space="preserve"> CONCATENATE( MID(Table15[[#This Row],[PHASE]],2,3), MID(Table15[[#This Row],[DELIVERABLE]],2,4), TRIM(SUBSTITUTE(MID(Table15[[#This Row],[CONCERN.ID]],2,20),"","") )  )</f>
        <v>08.461.5222.40.2000</v>
      </c>
      <c r="F232" t="str">
        <f>TRIM(MID(Table15[[#This Row],[CONCERN.UNIQUEPATH]], IF( ISNUMBER( SEARCH("/",Table15[[#This Row],[CONCERN.UNIQUEPATH]])),SEARCH("/",Table15[[#This Row],[CONCERN.UNIQUEPATH]])+1,1),255))</f>
        <v>Functionality/Completeness/Capabilities/User Profile/Avatar</v>
      </c>
    </row>
    <row r="233" spans="1:6">
      <c r="A233" t="s">
        <v>1969</v>
      </c>
      <c r="B233" t="s">
        <v>2246</v>
      </c>
      <c r="C233" s="36" t="s">
        <v>3912</v>
      </c>
      <c r="D233" s="26" t="s">
        <v>3913</v>
      </c>
      <c r="E233" s="45" t="str">
        <f xml:space="preserve"> CONCATENATE( MID(Table15[[#This Row],[PHASE]],2,3), MID(Table15[[#This Row],[DELIVERABLE]],2,4), TRIM(SUBSTITUTE(MID(Table15[[#This Row],[CONCERN.ID]],2,20),"","") )  )</f>
        <v>08.461.5222.40.3000</v>
      </c>
      <c r="F233" t="str">
        <f>TRIM(MID(Table15[[#This Row],[CONCERN.UNIQUEPATH]], IF( ISNUMBER( SEARCH("/",Table15[[#This Row],[CONCERN.UNIQUEPATH]])),SEARCH("/",Table15[[#This Row],[CONCERN.UNIQUEPATH]])+1,1),255))</f>
        <v>Functionality/Completeness/Capabilities/User Profile/Bio</v>
      </c>
    </row>
    <row r="234" spans="1:6">
      <c r="A234" t="s">
        <v>1969</v>
      </c>
      <c r="B234" t="s">
        <v>2246</v>
      </c>
      <c r="C234" s="32" t="s">
        <v>3914</v>
      </c>
      <c r="D234" s="27" t="s">
        <v>3915</v>
      </c>
      <c r="E234" t="str">
        <f xml:space="preserve"> CONCATENATE( MID(Table15[[#This Row],[PHASE]],2,3), MID(Table15[[#This Row],[DELIVERABLE]],2,4), TRIM(SUBSTITUTE(MID(Table15[[#This Row],[CONCERN.ID]],2,20),"","") )  )</f>
        <v>08.461.5222.99.0000</v>
      </c>
      <c r="F234" t="str">
        <f>TRIM(MID(Table15[[#This Row],[CONCERN.UNIQUEPATH]], IF( ISNUMBER( SEARCH("/",Table15[[#This Row],[CONCERN.UNIQUEPATH]])),SEARCH("/",Table15[[#This Row],[CONCERN.UNIQUEPATH]])+1,1),255))</f>
        <v>Functionality/Completeness/Capabilities/Custom</v>
      </c>
    </row>
    <row r="235" spans="1:6">
      <c r="A235" t="s">
        <v>1969</v>
      </c>
      <c r="B235" t="s">
        <v>2246</v>
      </c>
      <c r="C235" s="36" t="s">
        <v>3916</v>
      </c>
      <c r="D235" s="26" t="s">
        <v>3917</v>
      </c>
      <c r="E235" s="45" t="str">
        <f xml:space="preserve"> CONCATENATE( MID(Table15[[#This Row],[PHASE]],2,3), MID(Table15[[#This Row],[DELIVERABLE]],2,4), TRIM(SUBSTITUTE(MID(Table15[[#This Row],[CONCERN.ID]],2,20),"","") )  )</f>
        <v>08.461.5222.99.1000</v>
      </c>
      <c r="F235" t="str">
        <f>TRIM(MID(Table15[[#This Row],[CONCERN.UNIQUEPATH]], IF( ISNUMBER( SEARCH("/",Table15[[#This Row],[CONCERN.UNIQUEPATH]])),SEARCH("/",Table15[[#This Row],[CONCERN.UNIQUEPATH]])+1,1),255))</f>
        <v>Functionality/Completeness/Capabilities/Custom/Contet Handling</v>
      </c>
    </row>
    <row r="236" spans="1:6">
      <c r="A236" t="s">
        <v>1969</v>
      </c>
      <c r="B236" t="s">
        <v>2246</v>
      </c>
      <c r="C236" s="33" t="s">
        <v>3918</v>
      </c>
      <c r="D236" s="27" t="s">
        <v>3919</v>
      </c>
      <c r="E236" t="str">
        <f xml:space="preserve"> CONCATENATE( MID(Table15[[#This Row],[PHASE]],2,3), MID(Table15[[#This Row],[DELIVERABLE]],2,4), TRIM(SUBSTITUTE(MID(Table15[[#This Row],[CONCERN.ID]],2,20),"","") )  )</f>
        <v>08.461.5222.99.2000</v>
      </c>
      <c r="F236" t="str">
        <f>TRIM(MID(Table15[[#This Row],[CONCERN.UNIQUEPATH]], IF( ISNUMBER( SEARCH("/",Table15[[#This Row],[CONCERN.UNIQUEPATH]])),SEARCH("/",Table15[[#This Row],[CONCERN.UNIQUEPATH]])+1,1),255))</f>
        <v>Functionality/Completeness/Capabilities/Custom/Module Handling</v>
      </c>
    </row>
    <row r="237" spans="1:6">
      <c r="A237" t="s">
        <v>1969</v>
      </c>
      <c r="B237" t="s">
        <v>2246</v>
      </c>
      <c r="C237" s="34" t="s">
        <v>3920</v>
      </c>
      <c r="D237" s="26" t="s">
        <v>3921</v>
      </c>
      <c r="E237" s="45" t="str">
        <f xml:space="preserve"> CONCATENATE( MID(Table15[[#This Row],[PHASE]],2,3), MID(Table15[[#This Row],[DELIVERABLE]],2,4), TRIM(SUBSTITUTE(MID(Table15[[#This Row],[CONCERN.ID]],2,20),"","") )  )</f>
        <v>08.461.5222.99.2100</v>
      </c>
      <c r="F237" t="str">
        <f>TRIM(MID(Table15[[#This Row],[CONCERN.UNIQUEPATH]], IF( ISNUMBER( SEARCH("/",Table15[[#This Row],[CONCERN.UNIQUEPATH]])),SEARCH("/",Table15[[#This Row],[CONCERN.UNIQUEPATH]])+1,1),255))</f>
        <v>Functionality/Completeness/Capabilities/Custom/Contet Handling/Host</v>
      </c>
    </row>
    <row r="238" spans="1:6">
      <c r="A238" t="s">
        <v>1969</v>
      </c>
      <c r="B238" t="s">
        <v>2246</v>
      </c>
      <c r="C238" s="33" t="s">
        <v>3922</v>
      </c>
      <c r="D238" s="27" t="s">
        <v>3923</v>
      </c>
      <c r="E238" t="str">
        <f xml:space="preserve"> CONCATENATE( MID(Table15[[#This Row],[PHASE]],2,3), MID(Table15[[#This Row],[DELIVERABLE]],2,4), TRIM(SUBSTITUTE(MID(Table15[[#This Row],[CONCERN.ID]],2,20),"","") )  )</f>
        <v>08.461.5222.99.3000</v>
      </c>
      <c r="F238" t="str">
        <f>TRIM(MID(Table15[[#This Row],[CONCERN.UNIQUEPATH]], IF( ISNUMBER( SEARCH("/",Table15[[#This Row],[CONCERN.UNIQUEPATH]])),SEARCH("/",Table15[[#This Row],[CONCERN.UNIQUEPATH]])+1,1),255))</f>
        <v>Functionality/Completeness/Capabilities/Custom/Message Mapping Management</v>
      </c>
    </row>
    <row r="239" spans="1:6">
      <c r="A239" t="s">
        <v>1969</v>
      </c>
      <c r="B239" t="s">
        <v>2246</v>
      </c>
      <c r="C239" s="36" t="s">
        <v>3924</v>
      </c>
      <c r="D239" s="26" t="s">
        <v>3925</v>
      </c>
      <c r="E239" s="45" t="str">
        <f xml:space="preserve"> CONCATENATE( MID(Table15[[#This Row],[PHASE]],2,3), MID(Table15[[#This Row],[DELIVERABLE]],2,4), TRIM(SUBSTITUTE(MID(Table15[[#This Row],[CONCERN.ID]],2,20),"","") )  )</f>
        <v>08.461.5222.99.4000</v>
      </c>
      <c r="F239" t="str">
        <f>TRIM(MID(Table15[[#This Row],[CONCERN.UNIQUEPATH]], IF( ISNUMBER( SEARCH("/",Table15[[#This Row],[CONCERN.UNIQUEPATH]])),SEARCH("/",Table15[[#This Row],[CONCERN.UNIQUEPATH]])+1,1),255))</f>
        <v>Functionality/Completeness/Capabilities/Custom/Caching</v>
      </c>
    </row>
    <row r="240" spans="1:6">
      <c r="A240" t="s">
        <v>1969</v>
      </c>
      <c r="B240" t="s">
        <v>2246</v>
      </c>
      <c r="C240" s="35" t="s">
        <v>3926</v>
      </c>
      <c r="D240" s="27" t="s">
        <v>3927</v>
      </c>
      <c r="E240" t="str">
        <f xml:space="preserve"> CONCATENATE( MID(Table15[[#This Row],[PHASE]],2,3), MID(Table15[[#This Row],[DELIVERABLE]],2,4), TRIM(SUBSTITUTE(MID(Table15[[#This Row],[CONCERN.ID]],2,20),"","") )  )</f>
        <v>08.461.5222.99.4100</v>
      </c>
      <c r="F240" t="str">
        <f>TRIM(MID(Table15[[#This Row],[CONCERN.UNIQUEPATH]], IF( ISNUMBER( SEARCH("/",Table15[[#This Row],[CONCERN.UNIQUEPATH]])),SEARCH("/",Table15[[#This Row],[CONCERN.UNIQUEPATH]])+1,1),255))</f>
        <v>Functionality/Completeness/Capabilities/Custom/Caching/Cache closest to use</v>
      </c>
    </row>
    <row r="241" spans="1:6">
      <c r="A241" t="s">
        <v>1969</v>
      </c>
      <c r="B241" t="s">
        <v>2246</v>
      </c>
      <c r="C241" s="34" t="s">
        <v>3926</v>
      </c>
      <c r="D241" s="26" t="s">
        <v>3928</v>
      </c>
      <c r="E241" s="45" t="str">
        <f xml:space="preserve"> CONCATENATE( MID(Table15[[#This Row],[PHASE]],2,3), MID(Table15[[#This Row],[DELIVERABLE]],2,4), TRIM(SUBSTITUTE(MID(Table15[[#This Row],[CONCERN.ID]],2,20),"","") )  )</f>
        <v>08.461.5222.99.4100</v>
      </c>
      <c r="F241" t="str">
        <f>TRIM(MID(Table15[[#This Row],[CONCERN.UNIQUEPATH]], IF( ISNUMBER( SEARCH("/",Table15[[#This Row],[CONCERN.UNIQUEPATH]])),SEARCH("/",Table15[[#This Row],[CONCERN.UNIQUEPATH]])+1,1),255))</f>
        <v>Functionality/Completeness/Capabilities/Custom/Caching/Cache in format for use</v>
      </c>
    </row>
    <row r="242" spans="1:6">
      <c r="A242" t="s">
        <v>1969</v>
      </c>
      <c r="B242" t="s">
        <v>2246</v>
      </c>
      <c r="C242" s="35" t="s">
        <v>3926</v>
      </c>
      <c r="D242" s="27" t="s">
        <v>3929</v>
      </c>
      <c r="E242" t="str">
        <f xml:space="preserve"> CONCATENATE( MID(Table15[[#This Row],[PHASE]],2,3), MID(Table15[[#This Row],[DELIVERABLE]],2,4), TRIM(SUBSTITUTE(MID(Table15[[#This Row],[CONCERN.ID]],2,20),"","") )  )</f>
        <v>08.461.5222.99.4100</v>
      </c>
      <c r="F242" t="str">
        <f>TRIM(MID(Table15[[#This Row],[CONCERN.UNIQUEPATH]], IF( ISNUMBER( SEARCH("/",Table15[[#This Row],[CONCERN.UNIQUEPATH]])),SEARCH("/",Table15[[#This Row],[CONCERN.UNIQUEPATH]])+1,1),255))</f>
        <v>Functionality/Completeness/Capabilities/Custom/Caching/Configurable S,M,L Cache Durations</v>
      </c>
    </row>
    <row r="243" spans="1:6">
      <c r="A243" t="s">
        <v>1969</v>
      </c>
      <c r="B243" t="s">
        <v>2246</v>
      </c>
      <c r="C243" s="36" t="s">
        <v>3930</v>
      </c>
      <c r="D243" s="26" t="s">
        <v>3931</v>
      </c>
      <c r="E243" s="45" t="str">
        <f xml:space="preserve"> CONCATENATE( MID(Table15[[#This Row],[PHASE]],2,3), MID(Table15[[#This Row],[DELIVERABLE]],2,4), TRIM(SUBSTITUTE(MID(Table15[[#This Row],[CONCERN.ID]],2,20),"","") )  )</f>
        <v>08.461.5222.99.5000</v>
      </c>
      <c r="F243" t="str">
        <f>TRIM(MID(Table15[[#This Row],[CONCERN.UNIQUEPATH]], IF( ISNUMBER( SEARCH("/",Table15[[#This Row],[CONCERN.UNIQUEPATH]])),SEARCH("/",Table15[[#This Row],[CONCERN.UNIQUEPATH]])+1,1),255))</f>
        <v>Functionality/Completeness/Capabilities/Custom/Storage Handling</v>
      </c>
    </row>
    <row r="244" spans="1:6">
      <c r="A244" t="s">
        <v>1969</v>
      </c>
      <c r="B244" t="s">
        <v>2246</v>
      </c>
      <c r="C244" s="35" t="s">
        <v>3932</v>
      </c>
      <c r="D244" s="27" t="s">
        <v>3933</v>
      </c>
      <c r="E244" t="str">
        <f xml:space="preserve"> CONCATENATE( MID(Table15[[#This Row],[PHASE]],2,3), MID(Table15[[#This Row],[DELIVERABLE]],2,4), TRIM(SUBSTITUTE(MID(Table15[[#This Row],[CONCERN.ID]],2,20),"","") )  )</f>
        <v>08.461.5222.99.5100</v>
      </c>
      <c r="F244" t="str">
        <f>TRIM(MID(Table15[[#This Row],[CONCERN.UNIQUEPATH]], IF( ISNUMBER( SEARCH("/",Table15[[#This Row],[CONCERN.UNIQUEPATH]])),SEARCH("/",Table15[[#This Row],[CONCERN.UNIQUEPATH]])+1,1),255))</f>
        <v>Functionality/Completeness/Capabilities/Custom/Storage Handling/CredentialStorage</v>
      </c>
    </row>
    <row r="245" spans="1:6">
      <c r="A245" t="s">
        <v>1969</v>
      </c>
      <c r="B245" t="s">
        <v>2246</v>
      </c>
      <c r="C245" s="34" t="s">
        <v>3934</v>
      </c>
      <c r="D245" s="26" t="s">
        <v>3935</v>
      </c>
      <c r="E245" s="45" t="str">
        <f xml:space="preserve"> CONCATENATE( MID(Table15[[#This Row],[PHASE]],2,3), MID(Table15[[#This Row],[DELIVERABLE]],2,4), TRIM(SUBSTITUTE(MID(Table15[[#This Row],[CONCERN.ID]],2,20),"","") )  )</f>
        <v>08.461.5222.99.5200</v>
      </c>
      <c r="F245" t="str">
        <f>TRIM(MID(Table15[[#This Row],[CONCERN.UNIQUEPATH]], IF( ISNUMBER( SEARCH("/",Table15[[#This Row],[CONCERN.UNIQUEPATH]])),SEARCH("/",Table15[[#This Row],[CONCERN.UNIQUEPATH]])+1,1),255))</f>
        <v>Functionality/Completeness/Capabilities/Custom/Storage Handling/Blob</v>
      </c>
    </row>
    <row r="246" spans="1:6">
      <c r="A246" t="s">
        <v>1969</v>
      </c>
      <c r="B246" t="s">
        <v>2246</v>
      </c>
      <c r="C246" s="35" t="s">
        <v>3936</v>
      </c>
      <c r="D246" s="27" t="s">
        <v>3937</v>
      </c>
      <c r="E246" t="str">
        <f xml:space="preserve"> CONCATENATE( MID(Table15[[#This Row],[PHASE]],2,3), MID(Table15[[#This Row],[DELIVERABLE]],2,4), TRIM(SUBSTITUTE(MID(Table15[[#This Row],[CONCERN.ID]],2,20),"","") )  )</f>
        <v>08.461.5222.99.5210</v>
      </c>
      <c r="F246" t="str">
        <f>TRIM(MID(Table15[[#This Row],[CONCERN.UNIQUEPATH]], IF( ISNUMBER( SEARCH("/",Table15[[#This Row],[CONCERN.UNIQUEPATH]])),SEARCH("/",Table15[[#This Row],[CONCERN.UNIQUEPATH]])+1,1),255))</f>
        <v>Functionality/Completeness/Capabilities/Custom/Storage Handling/Blob/For Diagnostics</v>
      </c>
    </row>
    <row r="247" spans="1:6">
      <c r="A247" t="s">
        <v>1969</v>
      </c>
      <c r="B247" t="s">
        <v>2246</v>
      </c>
      <c r="C247" s="34" t="s">
        <v>3938</v>
      </c>
      <c r="D247" s="26" t="s">
        <v>3939</v>
      </c>
      <c r="E247" s="45" t="str">
        <f xml:space="preserve"> CONCATENATE( MID(Table15[[#This Row],[PHASE]],2,3), MID(Table15[[#This Row],[DELIVERABLE]],2,4), TRIM(SUBSTITUTE(MID(Table15[[#This Row],[CONCERN.ID]],2,20),"","") )  )</f>
        <v>08.461.5222.99.5230</v>
      </c>
      <c r="F247" t="str">
        <f>TRIM(MID(Table15[[#This Row],[CONCERN.UNIQUEPATH]], IF( ISNUMBER( SEARCH("/",Table15[[#This Row],[CONCERN.UNIQUEPATH]])),SEARCH("/",Table15[[#This Row],[CONCERN.UNIQUEPATH]])+1,1),255))</f>
        <v>Functionality/Completeness/Capabilities/Custom/Storage Handling/Blob/For Media</v>
      </c>
    </row>
    <row r="248" spans="1:6">
      <c r="A248" t="s">
        <v>1969</v>
      </c>
      <c r="B248" t="s">
        <v>2246</v>
      </c>
      <c r="C248" s="35" t="s">
        <v>3940</v>
      </c>
      <c r="D248" s="27" t="s">
        <v>3941</v>
      </c>
      <c r="E248" t="str">
        <f xml:space="preserve"> CONCATENATE( MID(Table15[[#This Row],[PHASE]],2,3), MID(Table15[[#This Row],[DELIVERABLE]],2,4), TRIM(SUBSTITUTE(MID(Table15[[#This Row],[CONCERN.ID]],2,20),"","") )  )</f>
        <v>08.461.5222.99.5240</v>
      </c>
      <c r="F248" t="str">
        <f>TRIM(MID(Table15[[#This Row],[CONCERN.UNIQUEPATH]], IF( ISNUMBER( SEARCH("/",Table15[[#This Row],[CONCERN.UNIQUEPATH]])),SEARCH("/",Table15[[#This Row],[CONCERN.UNIQUEPATH]])+1,1),255))</f>
        <v>Functionality/Completeness/Capabilities/Custom/Storage Handling/Blob/For Messages</v>
      </c>
    </row>
    <row r="249" spans="1:6">
      <c r="A249" t="s">
        <v>1969</v>
      </c>
      <c r="B249" t="s">
        <v>2246</v>
      </c>
      <c r="C249" s="34" t="s">
        <v>3942</v>
      </c>
      <c r="D249" s="26" t="s">
        <v>3943</v>
      </c>
      <c r="E249" s="45" t="str">
        <f xml:space="preserve"> CONCATENATE( MID(Table15[[#This Row],[PHASE]],2,3), MID(Table15[[#This Row],[DELIVERABLE]],2,4), TRIM(SUBSTITUTE(MID(Table15[[#This Row],[CONCERN.ID]],2,20),"","") )  )</f>
        <v>08.461.5222.99.5250</v>
      </c>
      <c r="F249" t="str">
        <f>TRIM(MID(Table15[[#This Row],[CONCERN.UNIQUEPATH]], IF( ISNUMBER( SEARCH("/",Table15[[#This Row],[CONCERN.UNIQUEPATH]])),SEARCH("/",Table15[[#This Row],[CONCERN.UNIQUEPATH]])+1,1),255))</f>
        <v>Functionality/Completeness/Capabilities/Custom/Storage Handling/Blob/For Modules</v>
      </c>
    </row>
    <row r="250" spans="1:6">
      <c r="A250" t="s">
        <v>1969</v>
      </c>
      <c r="B250" t="s">
        <v>2246</v>
      </c>
      <c r="C250" s="35" t="s">
        <v>3944</v>
      </c>
      <c r="D250" s="27" t="s">
        <v>3945</v>
      </c>
      <c r="E250" t="str">
        <f xml:space="preserve"> CONCATENATE( MID(Table15[[#This Row],[PHASE]],2,3), MID(Table15[[#This Row],[DELIVERABLE]],2,4), TRIM(SUBSTITUTE(MID(Table15[[#This Row],[CONCERN.ID]],2,20),"","") )  )</f>
        <v>08.461.5222.99.5300</v>
      </c>
      <c r="F250" t="str">
        <f>TRIM(MID(Table15[[#This Row],[CONCERN.UNIQUEPATH]], IF( ISNUMBER( SEARCH("/",Table15[[#This Row],[CONCERN.UNIQUEPATH]])),SEARCH("/",Table15[[#This Row],[CONCERN.UNIQUEPATH]])+1,1),255))</f>
        <v>Functionality/Completeness/Capabilities/Custom/Storage Handling/RelationalDB</v>
      </c>
    </row>
    <row r="251" spans="1:6">
      <c r="A251" t="s">
        <v>1969</v>
      </c>
      <c r="B251" t="s">
        <v>2246</v>
      </c>
      <c r="C251" s="34" t="s">
        <v>3946</v>
      </c>
      <c r="D251" s="26" t="s">
        <v>3947</v>
      </c>
      <c r="E251" s="45" t="str">
        <f xml:space="preserve"> CONCATENATE( MID(Table15[[#This Row],[PHASE]],2,3), MID(Table15[[#This Row],[DELIVERABLE]],2,4), TRIM(SUBSTITUTE(MID(Table15[[#This Row],[CONCERN.ID]],2,20),"","") )  )</f>
        <v>08.461.5222.99.5400</v>
      </c>
      <c r="F251" t="str">
        <f>TRIM(MID(Table15[[#This Row],[CONCERN.UNIQUEPATH]], IF( ISNUMBER( SEARCH("/",Table15[[#This Row],[CONCERN.UNIQUEPATH]])),SEARCH("/",Table15[[#This Row],[CONCERN.UNIQUEPATH]])+1,1),255))</f>
        <v>Functionality/Completeness/Capabilities/Custom/Storage Handling/DocumentDB</v>
      </c>
    </row>
    <row r="252" spans="1:6">
      <c r="A252" t="s">
        <v>1969</v>
      </c>
      <c r="B252" t="s">
        <v>2246</v>
      </c>
      <c r="C252" s="35" t="s">
        <v>3948</v>
      </c>
      <c r="D252" s="27" t="s">
        <v>3949</v>
      </c>
      <c r="E252" t="str">
        <f xml:space="preserve"> CONCATENATE( MID(Table15[[#This Row],[PHASE]],2,3), MID(Table15[[#This Row],[DELIVERABLE]],2,4), TRIM(SUBSTITUTE(MID(Table15[[#This Row],[CONCERN.ID]],2,20),"","") )  )</f>
        <v>08.461.5222.99.5410</v>
      </c>
      <c r="F252" t="str">
        <f>TRIM(MID(Table15[[#This Row],[CONCERN.UNIQUEPATH]], IF( ISNUMBER( SEARCH("/",Table15[[#This Row],[CONCERN.UNIQUEPATH]])),SEARCH("/",Table15[[#This Row],[CONCERN.UNIQUEPATH]])+1,1),255))</f>
        <v>Functionality/Completeness/Capabilities/Custom/Storage Handling/DocumentDB/Schemed Docs</v>
      </c>
    </row>
    <row r="253" spans="1:6">
      <c r="A253" t="s">
        <v>1969</v>
      </c>
      <c r="B253" t="s">
        <v>2246</v>
      </c>
      <c r="C253" s="34" t="s">
        <v>3950</v>
      </c>
      <c r="D253" s="26" t="s">
        <v>3951</v>
      </c>
      <c r="E253" s="45" t="str">
        <f xml:space="preserve"> CONCATENATE( MID(Table15[[#This Row],[PHASE]],2,3), MID(Table15[[#This Row],[DELIVERABLE]],2,4), TRIM(SUBSTITUTE(MID(Table15[[#This Row],[CONCERN.ID]],2,20),"","") )  )</f>
        <v>08.461.5222.99.5500</v>
      </c>
      <c r="F253" t="str">
        <f>TRIM(MID(Table15[[#This Row],[CONCERN.UNIQUEPATH]], IF( ISNUMBER( SEARCH("/",Table15[[#This Row],[CONCERN.UNIQUEPATH]])),SEARCH("/",Table15[[#This Row],[CONCERN.UNIQUEPATH]])+1,1),255))</f>
        <v>Functionality/Completeness/Capabilities/Custom/Storage Handling/GraphDB</v>
      </c>
    </row>
    <row r="254" spans="1:6">
      <c r="A254" t="s">
        <v>1969</v>
      </c>
      <c r="B254" t="s">
        <v>2246</v>
      </c>
      <c r="C254" s="35" t="s">
        <v>3952</v>
      </c>
      <c r="D254" s="27" t="s">
        <v>3953</v>
      </c>
      <c r="E254" t="str">
        <f xml:space="preserve"> CONCATENATE( MID(Table15[[#This Row],[PHASE]],2,3), MID(Table15[[#This Row],[DELIVERABLE]],2,4), TRIM(SUBSTITUTE(MID(Table15[[#This Row],[CONCERN.ID]],2,20),"","") )  )</f>
        <v>08.461.5222.99.5510</v>
      </c>
      <c r="F254" t="str">
        <f>TRIM(MID(Table15[[#This Row],[CONCERN.UNIQUEPATH]], IF( ISNUMBER( SEARCH("/",Table15[[#This Row],[CONCERN.UNIQUEPATH]])),SEARCH("/",Table15[[#This Row],[CONCERN.UNIQUEPATH]])+1,1),255))</f>
        <v>Functionality/Completeness/Capabilities/Custom/Storage Handling/GraphDB/Related Links</v>
      </c>
    </row>
    <row r="255" spans="1:6">
      <c r="A255" t="s">
        <v>1969</v>
      </c>
      <c r="B255" t="s">
        <v>2246</v>
      </c>
      <c r="C255" s="34" t="s">
        <v>3954</v>
      </c>
      <c r="D255" s="26" t="s">
        <v>3955</v>
      </c>
      <c r="E255" s="45" t="str">
        <f xml:space="preserve"> CONCATENATE( MID(Table15[[#This Row],[PHASE]],2,3), MID(Table15[[#This Row],[DELIVERABLE]],2,4), TRIM(SUBSTITUTE(MID(Table15[[#This Row],[CONCERN.ID]],2,20),"","") )  )</f>
        <v>08.461.5222.99.5520</v>
      </c>
      <c r="F255" t="str">
        <f>TRIM(MID(Table15[[#This Row],[CONCERN.UNIQUEPATH]], IF( ISNUMBER( SEARCH("/",Table15[[#This Row],[CONCERN.UNIQUEPATH]])),SEARCH("/",Table15[[#This Row],[CONCERN.UNIQUEPATH]])+1,1),255))</f>
        <v>Functionality/Completeness/Capabilities/Custom/Storage Handling/GraphDB/Version Links</v>
      </c>
    </row>
    <row r="256" spans="1:6">
      <c r="A256" t="s">
        <v>1969</v>
      </c>
      <c r="B256" t="s">
        <v>2246</v>
      </c>
      <c r="C256" s="35" t="s">
        <v>3956</v>
      </c>
      <c r="D256" s="27" t="s">
        <v>3957</v>
      </c>
      <c r="E256" t="str">
        <f xml:space="preserve"> CONCATENATE( MID(Table15[[#This Row],[PHASE]],2,3), MID(Table15[[#This Row],[DELIVERABLE]],2,4), TRIM(SUBSTITUTE(MID(Table15[[#This Row],[CONCERN.ID]],2,20),"","") )  )</f>
        <v>08.461.5222.99.5530</v>
      </c>
      <c r="F256" t="str">
        <f>TRIM(MID(Table15[[#This Row],[CONCERN.UNIQUEPATH]], IF( ISNUMBER( SEARCH("/",Table15[[#This Row],[CONCERN.UNIQUEPATH]])),SEARCH("/",Table15[[#This Row],[CONCERN.UNIQUEPATH]])+1,1),255))</f>
        <v>Functionality/Completeness/Capabilities/Custom/Storage Handling/GraphDB/Usage Links</v>
      </c>
    </row>
    <row r="257" spans="1:7">
      <c r="A257" t="s">
        <v>1969</v>
      </c>
      <c r="B257" t="s">
        <v>2246</v>
      </c>
      <c r="C257" s="30" t="s">
        <v>3958</v>
      </c>
      <c r="D257" s="26" t="s">
        <v>989</v>
      </c>
      <c r="E257" s="45" t="str">
        <f xml:space="preserve"> CONCATENATE( MID(Table15[[#This Row],[PHASE]],2,3), MID(Table15[[#This Row],[DELIVERABLE]],2,4), TRIM(SUBSTITUTE(MID(Table15[[#This Row],[CONCERN.ID]],2,20),"","") )  )</f>
        <v>08.461.5230.00.0000</v>
      </c>
      <c r="F257" t="str">
        <f>TRIM(MID(Table15[[#This Row],[CONCERN.UNIQUEPATH]], IF( ISNUMBER( SEARCH("/",Table15[[#This Row],[CONCERN.UNIQUEPATH]])),SEARCH("/",Table15[[#This Row],[CONCERN.UNIQUEPATH]])+1,1),255))</f>
        <v>Functionality/Correctness</v>
      </c>
    </row>
    <row r="258" spans="1:7">
      <c r="A258" t="s">
        <v>1969</v>
      </c>
      <c r="B258" t="s">
        <v>2246</v>
      </c>
      <c r="C258" s="29" t="s">
        <v>3959</v>
      </c>
      <c r="D258" s="27" t="s">
        <v>3960</v>
      </c>
      <c r="E258" t="str">
        <f xml:space="preserve"> CONCATENATE( MID(Table15[[#This Row],[PHASE]],2,3), MID(Table15[[#This Row],[DELIVERABLE]],2,4), TRIM(SUBSTITUTE(MID(Table15[[#This Row],[CONCERN.ID]],2,20),"","") )  )</f>
        <v>08.461.5233.01.0000</v>
      </c>
      <c r="F258" t="str">
        <f>TRIM(MID(Table15[[#This Row],[CONCERN.UNIQUEPATH]], IF( ISNUMBER( SEARCH("/",Table15[[#This Row],[CONCERN.UNIQUEPATH]])),SEARCH("/",Table15[[#This Row],[CONCERN.UNIQUEPATH]])+1,1),255))</f>
        <v>Functionality/Correctness/Instructions</v>
      </c>
    </row>
    <row r="259" spans="1:7">
      <c r="A259" t="s">
        <v>1969</v>
      </c>
      <c r="B259" t="s">
        <v>2246</v>
      </c>
      <c r="C259" s="31" t="s">
        <v>3959</v>
      </c>
      <c r="D259" s="26" t="s">
        <v>3961</v>
      </c>
      <c r="E259" s="45" t="str">
        <f xml:space="preserve"> CONCATENATE( MID(Table15[[#This Row],[PHASE]],2,3), MID(Table15[[#This Row],[DELIVERABLE]],2,4), TRIM(SUBSTITUTE(MID(Table15[[#This Row],[CONCERN.ID]],2,20),"","") )  )</f>
        <v>08.461.5233.01.0000</v>
      </c>
      <c r="F259" t="str">
        <f>TRIM(MID(Table15[[#This Row],[CONCERN.UNIQUEPATH]], IF( ISNUMBER( SEARCH("/",Table15[[#This Row],[CONCERN.UNIQUEPATH]])),SEARCH("/",Table15[[#This Row],[CONCERN.UNIQUEPATH]])+1,1),255))</f>
        <v>Functionality/Correctness/Instructions/Current</v>
      </c>
    </row>
    <row r="260" spans="1:7">
      <c r="A260" t="s">
        <v>1969</v>
      </c>
      <c r="B260" t="s">
        <v>2246</v>
      </c>
      <c r="C260" s="33" t="s">
        <v>3962</v>
      </c>
      <c r="D260" s="27" t="s">
        <v>3963</v>
      </c>
      <c r="E260" t="str">
        <f xml:space="preserve"> CONCATENATE( MID(Table15[[#This Row],[PHASE]],2,3), MID(Table15[[#This Row],[DELIVERABLE]],2,4), TRIM(SUBSTITUTE(MID(Table15[[#This Row],[CONCERN.ID]],2,20),"","") )  )</f>
        <v>08.461.5233.02.1000</v>
      </c>
      <c r="F260" t="str">
        <f>TRIM(MID(Table15[[#This Row],[CONCERN.UNIQUEPATH]], IF( ISNUMBER( SEARCH("/",Table15[[#This Row],[CONCERN.UNIQUEPATH]])),SEARCH("/",Table15[[#This Row],[CONCERN.UNIQUEPATH]])+1,1),255))</f>
        <v>Functionality/Correctness/Instructions/Current/Role Responsibility Required</v>
      </c>
    </row>
    <row r="261" spans="1:7">
      <c r="A261" t="s">
        <v>1969</v>
      </c>
      <c r="B261" t="s">
        <v>2246</v>
      </c>
      <c r="C261" s="34" t="s">
        <v>3964</v>
      </c>
      <c r="D261" s="26" t="s">
        <v>3965</v>
      </c>
      <c r="E261" s="45" t="str">
        <f xml:space="preserve"> CONCATENATE( MID(Table15[[#This Row],[PHASE]],2,3), MID(Table15[[#This Row],[DELIVERABLE]],2,4), TRIM(SUBSTITUTE(MID(Table15[[#This Row],[CONCERN.ID]],2,20),"","") )  )</f>
        <v>08.461.5233.02.1100</v>
      </c>
      <c r="F261" t="str">
        <f>TRIM(MID(Table15[[#This Row],[CONCERN.UNIQUEPATH]], IF( ISNUMBER( SEARCH("/",Table15[[#This Row],[CONCERN.UNIQUEPATH]])),SEARCH("/",Table15[[#This Row],[CONCERN.UNIQUEPATH]])+1,1),255))</f>
        <v>Functionality/Correctness/Instructions/Current/Role Responsibility Required/Regularly Maintain</v>
      </c>
    </row>
    <row r="262" spans="1:7">
      <c r="A262" t="s">
        <v>1969</v>
      </c>
      <c r="B262" t="s">
        <v>2246</v>
      </c>
      <c r="C262" s="29" t="s">
        <v>3966</v>
      </c>
      <c r="D262" s="27" t="s">
        <v>3967</v>
      </c>
      <c r="E262" t="str">
        <f xml:space="preserve"> CONCATENATE( MID(Table15[[#This Row],[PHASE]],2,3), MID(Table15[[#This Row],[DELIVERABLE]],2,4), TRIM(SUBSTITUTE(MID(Table15[[#This Row],[CONCERN.ID]],2,20),"","") )  )</f>
        <v>08.461.5252.00.0000</v>
      </c>
      <c r="F262" t="str">
        <f>TRIM(MID(Table15[[#This Row],[CONCERN.UNIQUEPATH]], IF( ISNUMBER( SEARCH("/",Table15[[#This Row],[CONCERN.UNIQUEPATH]])),SEARCH("/",Table15[[#This Row],[CONCERN.UNIQUEPATH]])+1,1),255))</f>
        <v>Functionality/Appropriateness/Evenly distributed across Stakeholders</v>
      </c>
      <c r="G262" t="s">
        <v>3968</v>
      </c>
    </row>
    <row r="263" spans="1:7">
      <c r="A263" t="s">
        <v>1969</v>
      </c>
      <c r="B263" t="s">
        <v>2246</v>
      </c>
      <c r="C263" s="30" t="s">
        <v>3969</v>
      </c>
      <c r="D263" s="26" t="s">
        <v>3970</v>
      </c>
      <c r="E263" s="45" t="str">
        <f xml:space="preserve"> CONCATENATE( MID(Table15[[#This Row],[PHASE]],2,3), MID(Table15[[#This Row],[DELIVERABLE]],2,4), TRIM(SUBSTITUTE(MID(Table15[[#This Row],[CONCERN.ID]],2,20),"","") )  )</f>
        <v>08.461.5300.00.0000</v>
      </c>
      <c r="F263" t="str">
        <f>TRIM(MID(Table15[[#This Row],[CONCERN.UNIQUEPATH]], IF( ISNUMBER( SEARCH("/",Table15[[#This Row],[CONCERN.UNIQUEPATH]])),SEARCH("/",Table15[[#This Row],[CONCERN.UNIQUEPATH]])+1,1),255))</f>
        <v>Maintainability</v>
      </c>
    </row>
    <row r="264" spans="1:7">
      <c r="A264" t="s">
        <v>1969</v>
      </c>
      <c r="B264" t="s">
        <v>2246</v>
      </c>
      <c r="C264" s="29" t="s">
        <v>3971</v>
      </c>
      <c r="D264" s="27" t="s">
        <v>3972</v>
      </c>
      <c r="E264" t="str">
        <f xml:space="preserve"> CONCATENATE( MID(Table15[[#This Row],[PHASE]],2,3), MID(Table15[[#This Row],[DELIVERABLE]],2,4), TRIM(SUBSTITUTE(MID(Table15[[#This Row],[CONCERN.ID]],2,20),"","") )  )</f>
        <v>08.461.5310.00.0000</v>
      </c>
      <c r="F264" t="str">
        <f>TRIM(MID(Table15[[#This Row],[CONCERN.UNIQUEPATH]], IF( ISNUMBER( SEARCH("/",Table15[[#This Row],[CONCERN.UNIQUEPATH]])),SEARCH("/",Table15[[#This Row],[CONCERN.UNIQUEPATH]])+1,1),255))</f>
        <v>Maintainability/Cost</v>
      </c>
    </row>
    <row r="265" spans="1:7">
      <c r="A265" t="s">
        <v>1969</v>
      </c>
      <c r="B265" t="s">
        <v>2246</v>
      </c>
      <c r="C265" s="30" t="s">
        <v>3973</v>
      </c>
      <c r="D265" s="26" t="s">
        <v>114</v>
      </c>
      <c r="E265" s="45" t="str">
        <f xml:space="preserve"> CONCATENATE( MID(Table15[[#This Row],[PHASE]],2,3), MID(Table15[[#This Row],[DELIVERABLE]],2,4), TRIM(SUBSTITUTE(MID(Table15[[#This Row],[CONCERN.ID]],2,20),"","") )  )</f>
        <v>08.461.5320.00.0000</v>
      </c>
      <c r="F265" t="str">
        <f>TRIM(MID(Table15[[#This Row],[CONCERN.UNIQUEPATH]], IF( ISNUMBER( SEARCH("/",Table15[[#This Row],[CONCERN.UNIQUEPATH]])),SEARCH("/",Table15[[#This Row],[CONCERN.UNIQUEPATH]])+1,1),255))</f>
        <v>Maintainability/Analysability</v>
      </c>
    </row>
    <row r="266" spans="1:7">
      <c r="A266" t="s">
        <v>1969</v>
      </c>
      <c r="B266" t="s">
        <v>2246</v>
      </c>
      <c r="C266" s="29" t="s">
        <v>3974</v>
      </c>
      <c r="D266" s="27" t="s">
        <v>3975</v>
      </c>
      <c r="E266" t="str">
        <f xml:space="preserve"> CONCATENATE( MID(Table15[[#This Row],[PHASE]],2,3), MID(Table15[[#This Row],[DELIVERABLE]],2,4), TRIM(SUBSTITUTE(MID(Table15[[#This Row],[CONCERN.ID]],2,20),"","") )  )</f>
        <v>08.461.5321.00.0000</v>
      </c>
      <c r="F266" t="str">
        <f>TRIM(MID(Table15[[#This Row],[CONCERN.UNIQUEPATH]], IF( ISNUMBER( SEARCH("/",Table15[[#This Row],[CONCERN.UNIQUEPATH]])),SEARCH("/",Table15[[#This Row],[CONCERN.UNIQUEPATH]])+1,1),255))</f>
        <v>Maintainability/Analysability/Diagnostics</v>
      </c>
      <c r="G266" t="s">
        <v>3976</v>
      </c>
    </row>
    <row r="267" spans="1:7">
      <c r="A267" t="s">
        <v>1969</v>
      </c>
      <c r="B267" t="s">
        <v>2246</v>
      </c>
      <c r="C267" s="30" t="s">
        <v>3977</v>
      </c>
      <c r="D267" s="26" t="s">
        <v>3978</v>
      </c>
      <c r="E267" s="45" t="str">
        <f xml:space="preserve"> CONCATENATE( MID(Table15[[#This Row],[PHASE]],2,3), MID(Table15[[#This Row],[DELIVERABLE]],2,4), TRIM(SUBSTITUTE(MID(Table15[[#This Row],[CONCERN.ID]],2,20),"","") )  )</f>
        <v>08.461.5322.00.0000</v>
      </c>
      <c r="F267" t="str">
        <f>TRIM(MID(Table15[[#This Row],[CONCERN.UNIQUEPATH]], IF( ISNUMBER( SEARCH("/",Table15[[#This Row],[CONCERN.UNIQUEPATH]])),SEARCH("/",Table15[[#This Row],[CONCERN.UNIQUEPATH]])+1,1),255))</f>
        <v>Maintainability/Analysability/Errors</v>
      </c>
      <c r="G267" t="s">
        <v>3979</v>
      </c>
    </row>
    <row r="268" spans="1:7">
      <c r="A268" t="s">
        <v>1969</v>
      </c>
      <c r="B268" t="s">
        <v>2246</v>
      </c>
      <c r="C268" s="29" t="s">
        <v>3980</v>
      </c>
      <c r="D268" s="27" t="s">
        <v>3981</v>
      </c>
      <c r="E268" t="str">
        <f xml:space="preserve"> CONCATENATE( MID(Table15[[#This Row],[PHASE]],2,3), MID(Table15[[#This Row],[DELIVERABLE]],2,4), TRIM(SUBSTITUTE(MID(Table15[[#This Row],[CONCERN.ID]],2,20),"","") )  )</f>
        <v>08.461.5323.00.0000</v>
      </c>
      <c r="F268" t="str">
        <f>TRIM(MID(Table15[[#This Row],[CONCERN.UNIQUEPATH]], IF( ISNUMBER( SEARCH("/",Table15[[#This Row],[CONCERN.UNIQUEPATH]])),SEARCH("/",Table15[[#This Row],[CONCERN.UNIQUEPATH]])+1,1),255))</f>
        <v>Maintainability/Analysability/Notifications</v>
      </c>
      <c r="G268" t="s">
        <v>3982</v>
      </c>
    </row>
    <row r="269" spans="1:7">
      <c r="A269" t="s">
        <v>1969</v>
      </c>
      <c r="B269" t="s">
        <v>2246</v>
      </c>
      <c r="C269" s="31" t="s">
        <v>3983</v>
      </c>
      <c r="D269" s="26" t="s">
        <v>3984</v>
      </c>
      <c r="E269" s="45" t="str">
        <f xml:space="preserve"> CONCATENATE( MID(Table15[[#This Row],[PHASE]],2,3), MID(Table15[[#This Row],[DELIVERABLE]],2,4), TRIM(SUBSTITUTE(MID(Table15[[#This Row],[CONCERN.ID]],2,20),"","") )  )</f>
        <v>08.461.5323.01.0000</v>
      </c>
      <c r="F269" t="str">
        <f>TRIM(MID(Table15[[#This Row],[CONCERN.UNIQUEPATH]], IF( ISNUMBER( SEARCH("/",Table15[[#This Row],[CONCERN.UNIQUEPATH]])),SEARCH("/",Table15[[#This Row],[CONCERN.UNIQUEPATH]])+1,1),255))</f>
        <v>Maintainability/Analysability/Notifications/Devices</v>
      </c>
    </row>
    <row r="270" spans="1:7">
      <c r="A270" t="s">
        <v>1969</v>
      </c>
      <c r="B270" t="s">
        <v>2246</v>
      </c>
      <c r="C270" s="32" t="s">
        <v>3985</v>
      </c>
      <c r="D270" s="27" t="s">
        <v>3986</v>
      </c>
      <c r="E270" t="str">
        <f xml:space="preserve"> CONCATENATE( MID(Table15[[#This Row],[PHASE]],2,3), MID(Table15[[#This Row],[DELIVERABLE]],2,4), TRIM(SUBSTITUTE(MID(Table15[[#This Row],[CONCERN.ID]],2,20),"","") )  )</f>
        <v>08.461.5323.02.0000</v>
      </c>
      <c r="F270" t="str">
        <f>TRIM(MID(Table15[[#This Row],[CONCERN.UNIQUEPATH]], IF( ISNUMBER( SEARCH("/",Table15[[#This Row],[CONCERN.UNIQUEPATH]])),SEARCH("/",Table15[[#This Row],[CONCERN.UNIQUEPATH]])+1,1),255))</f>
        <v>Maintainability/Analysability/Notifications/Storage</v>
      </c>
    </row>
    <row r="271" spans="1:7">
      <c r="A271" t="s">
        <v>1969</v>
      </c>
      <c r="B271" t="s">
        <v>2246</v>
      </c>
      <c r="C271" s="31" t="s">
        <v>3987</v>
      </c>
      <c r="D271" s="26" t="s">
        <v>3988</v>
      </c>
      <c r="E271" s="45" t="str">
        <f xml:space="preserve"> CONCATENATE( MID(Table15[[#This Row],[PHASE]],2,3), MID(Table15[[#This Row],[DELIVERABLE]],2,4), TRIM(SUBSTITUTE(MID(Table15[[#This Row],[CONCERN.ID]],2,20),"","") )  )</f>
        <v>08.461.5323.03.0000</v>
      </c>
      <c r="F271" t="str">
        <f>TRIM(MID(Table15[[#This Row],[CONCERN.UNIQUEPATH]], IF( ISNUMBER( SEARCH("/",Table15[[#This Row],[CONCERN.UNIQUEPATH]])),SEARCH("/",Table15[[#This Row],[CONCERN.UNIQUEPATH]])+1,1),255))</f>
        <v>Maintainability/Analysability/Notifications/Epirations</v>
      </c>
    </row>
    <row r="272" spans="1:7">
      <c r="A272" t="s">
        <v>1969</v>
      </c>
      <c r="B272" t="s">
        <v>2246</v>
      </c>
      <c r="C272" s="32" t="s">
        <v>3989</v>
      </c>
      <c r="D272" s="27" t="s">
        <v>3990</v>
      </c>
      <c r="E272" t="str">
        <f xml:space="preserve"> CONCATENATE( MID(Table15[[#This Row],[PHASE]],2,3), MID(Table15[[#This Row],[DELIVERABLE]],2,4), TRIM(SUBSTITUTE(MID(Table15[[#This Row],[CONCERN.ID]],2,20),"","") )  )</f>
        <v>08.461.5323.04.0000</v>
      </c>
      <c r="F272" t="str">
        <f>TRIM(MID(Table15[[#This Row],[CONCERN.UNIQUEPATH]], IF( ISNUMBER( SEARCH("/",Table15[[#This Row],[CONCERN.UNIQUEPATH]])),SEARCH("/",Table15[[#This Row],[CONCERN.UNIQUEPATH]])+1,1),255))</f>
        <v>Maintainability/Analysability/Notifications/Traffic</v>
      </c>
    </row>
    <row r="273" spans="1:7">
      <c r="A273" t="s">
        <v>1969</v>
      </c>
      <c r="B273" t="s">
        <v>2246</v>
      </c>
      <c r="C273" s="31" t="s">
        <v>3991</v>
      </c>
      <c r="D273" s="26" t="s">
        <v>3992</v>
      </c>
      <c r="E273" s="45" t="str">
        <f xml:space="preserve"> CONCATENATE( MID(Table15[[#This Row],[PHASE]],2,3), MID(Table15[[#This Row],[DELIVERABLE]],2,4), TRIM(SUBSTITUTE(MID(Table15[[#This Row],[CONCERN.ID]],2,20),"","") )  )</f>
        <v>08.461.5323.05.0000</v>
      </c>
      <c r="F273" t="str">
        <f>TRIM(MID(Table15[[#This Row],[CONCERN.UNIQUEPATH]], IF( ISNUMBER( SEARCH("/",Table15[[#This Row],[CONCERN.UNIQUEPATH]])),SEARCH("/",Table15[[#This Row],[CONCERN.UNIQUEPATH]])+1,1),255))</f>
        <v>Maintainability/Analysability/Notifications/Services</v>
      </c>
    </row>
    <row r="274" spans="1:7">
      <c r="A274" t="s">
        <v>1969</v>
      </c>
      <c r="B274" t="s">
        <v>2246</v>
      </c>
      <c r="C274" s="32" t="s">
        <v>3993</v>
      </c>
      <c r="D274" s="27" t="s">
        <v>3994</v>
      </c>
      <c r="E274" t="str">
        <f xml:space="preserve"> CONCATENATE( MID(Table15[[#This Row],[PHASE]],2,3), MID(Table15[[#This Row],[DELIVERABLE]],2,4), TRIM(SUBSTITUTE(MID(Table15[[#This Row],[CONCERN.ID]],2,20),"","") )  )</f>
        <v>08.461.5323.06.0000</v>
      </c>
      <c r="F274" t="str">
        <f>TRIM(MID(Table15[[#This Row],[CONCERN.UNIQUEPATH]], IF( ISNUMBER( SEARCH("/",Table15[[#This Row],[CONCERN.UNIQUEPATH]])),SEARCH("/",Table15[[#This Row],[CONCERN.UNIQUEPATH]])+1,1),255))</f>
        <v>Maintainability/Analysability/Notifications/Eceptions</v>
      </c>
    </row>
    <row r="275" spans="1:7">
      <c r="A275" t="s">
        <v>1969</v>
      </c>
      <c r="B275" t="s">
        <v>2246</v>
      </c>
      <c r="C275" s="30" t="s">
        <v>3995</v>
      </c>
      <c r="D275" s="26" t="s">
        <v>989</v>
      </c>
      <c r="E275" s="45" t="str">
        <f xml:space="preserve"> CONCATENATE( MID(Table15[[#This Row],[PHASE]],2,3), MID(Table15[[#This Row],[DELIVERABLE]],2,4), TRIM(SUBSTITUTE(MID(Table15[[#This Row],[CONCERN.ID]],2,20),"","") )  )</f>
        <v>08.461.5330.00.0000</v>
      </c>
      <c r="F275" t="str">
        <f>TRIM(MID(Table15[[#This Row],[CONCERN.UNIQUEPATH]], IF( ISNUMBER( SEARCH("/",Table15[[#This Row],[CONCERN.UNIQUEPATH]])),SEARCH("/",Table15[[#This Row],[CONCERN.UNIQUEPATH]])+1,1),255))</f>
        <v>Functionality/Correctness</v>
      </c>
    </row>
    <row r="276" spans="1:7">
      <c r="A276" t="s">
        <v>1969</v>
      </c>
      <c r="B276" t="s">
        <v>2246</v>
      </c>
      <c r="C276" s="29" t="s">
        <v>3996</v>
      </c>
      <c r="D276" s="27" t="s">
        <v>3997</v>
      </c>
      <c r="E276" t="str">
        <f xml:space="preserve"> CONCATENATE( MID(Table15[[#This Row],[PHASE]],2,3), MID(Table15[[#This Row],[DELIVERABLE]],2,4), TRIM(SUBSTITUTE(MID(Table15[[#This Row],[CONCERN.ID]],2,20),"","") )  )</f>
        <v>08.461.5331.00.0000</v>
      </c>
      <c r="F276" t="str">
        <f>TRIM(MID(Table15[[#This Row],[CONCERN.UNIQUEPATH]], IF( ISNUMBER( SEARCH("/",Table15[[#This Row],[CONCERN.UNIQUEPATH]])),SEARCH("/",Table15[[#This Row],[CONCERN.UNIQUEPATH]])+1,1),255))</f>
        <v>Functionality/Correctness/Validations</v>
      </c>
      <c r="G276" t="s">
        <v>3998</v>
      </c>
    </row>
    <row r="277" spans="1:7">
      <c r="A277" t="s">
        <v>1969</v>
      </c>
      <c r="B277" t="s">
        <v>2246</v>
      </c>
      <c r="C277" s="31" t="s">
        <v>3999</v>
      </c>
      <c r="D277" s="26" t="s">
        <v>4000</v>
      </c>
      <c r="E277" s="45" t="str">
        <f xml:space="preserve"> CONCATENATE( MID(Table15[[#This Row],[PHASE]],2,3), MID(Table15[[#This Row],[DELIVERABLE]],2,4), TRIM(SUBSTITUTE(MID(Table15[[#This Row],[CONCERN.ID]],2,20),"","") )  )</f>
        <v>08.461.5331.01.0000</v>
      </c>
      <c r="F277" t="str">
        <f>TRIM(MID(Table15[[#This Row],[CONCERN.UNIQUEPATH]], IF( ISNUMBER( SEARCH("/",Table15[[#This Row],[CONCERN.UNIQUEPATH]])),SEARCH("/",Table15[[#This Row],[CONCERN.UNIQUEPATH]])+1,1),255))</f>
        <v>Functionality/Correctness/Validations/At Perimeter in Controllers</v>
      </c>
    </row>
    <row r="278" spans="1:7">
      <c r="A278" t="s">
        <v>1969</v>
      </c>
      <c r="B278" t="s">
        <v>2246</v>
      </c>
      <c r="C278" s="32" t="s">
        <v>3999</v>
      </c>
      <c r="D278" s="27" t="s">
        <v>4001</v>
      </c>
      <c r="E278" t="str">
        <f xml:space="preserve"> CONCATENATE( MID(Table15[[#This Row],[PHASE]],2,3), MID(Table15[[#This Row],[DELIVERABLE]],2,4), TRIM(SUBSTITUTE(MID(Table15[[#This Row],[CONCERN.ID]],2,20),"","") )  )</f>
        <v>08.461.5331.01.0000</v>
      </c>
      <c r="F278" t="str">
        <f>TRIM(MID(Table15[[#This Row],[CONCERN.UNIQUEPATH]], IF( ISNUMBER( SEARCH("/",Table15[[#This Row],[CONCERN.UNIQUEPATH]])),SEARCH("/",Table15[[#This Row],[CONCERN.UNIQUEPATH]])+1,1),255))</f>
        <v>Functionality/Correctness/Validations/Rules Management</v>
      </c>
    </row>
    <row r="279" spans="1:7">
      <c r="A279" t="s">
        <v>1969</v>
      </c>
      <c r="B279" t="s">
        <v>2246</v>
      </c>
      <c r="C279" s="36" t="s">
        <v>4002</v>
      </c>
      <c r="D279" s="26" t="s">
        <v>4003</v>
      </c>
      <c r="E279" s="45" t="str">
        <f xml:space="preserve"> CONCATENATE( MID(Table15[[#This Row],[PHASE]],2,3), MID(Table15[[#This Row],[DELIVERABLE]],2,4), TRIM(SUBSTITUTE(MID(Table15[[#This Row],[CONCERN.ID]],2,20),"","") )  )</f>
        <v>08.461.5331.01.1000</v>
      </c>
      <c r="F279" t="str">
        <f>TRIM(MID(Table15[[#This Row],[CONCERN.UNIQUEPATH]], IF( ISNUMBER( SEARCH("/",Table15[[#This Row],[CONCERN.UNIQUEPATH]])),SEARCH("/",Table15[[#This Row],[CONCERN.UNIQUEPATH]])+1,1),255))</f>
        <v>Functionality/Correctness/Validations/Disallow Direct Access to DataStores</v>
      </c>
    </row>
    <row r="280" spans="1:7">
      <c r="A280" t="s">
        <v>1969</v>
      </c>
      <c r="B280" t="s">
        <v>2246</v>
      </c>
      <c r="C280" s="35" t="s">
        <v>4004</v>
      </c>
      <c r="D280" s="27" t="s">
        <v>4005</v>
      </c>
      <c r="E280" t="str">
        <f xml:space="preserve"> CONCATENATE( MID(Table15[[#This Row],[PHASE]],2,3), MID(Table15[[#This Row],[DELIVERABLE]],2,4), TRIM(SUBSTITUTE(MID(Table15[[#This Row],[CONCERN.ID]],2,20),"","") )  )</f>
        <v>08.461.5331.01.1100</v>
      </c>
      <c r="F280" t="str">
        <f>TRIM(MID(Table15[[#This Row],[CONCERN.UNIQUEPATH]], IF( ISNUMBER( SEARCH("/",Table15[[#This Row],[CONCERN.UNIQUEPATH]])),SEARCH("/",Table15[[#This Row],[CONCERN.UNIQUEPATH]])+1,1),255))</f>
        <v>Functionality/Correctness/Validations/Disallow Direct Access to DataStores/Migrate via APIs</v>
      </c>
    </row>
    <row r="281" spans="1:7">
      <c r="A281" t="s">
        <v>1969</v>
      </c>
      <c r="B281" t="s">
        <v>2246</v>
      </c>
      <c r="C281" s="36" t="s">
        <v>4006</v>
      </c>
      <c r="D281" s="26" t="s">
        <v>4007</v>
      </c>
      <c r="E281" s="45" t="str">
        <f xml:space="preserve"> CONCATENATE( MID(Table15[[#This Row],[PHASE]],2,3), MID(Table15[[#This Row],[DELIVERABLE]],2,4), TRIM(SUBSTITUTE(MID(Table15[[#This Row],[CONCERN.ID]],2,20),"","") )  )</f>
        <v>08.461.5331.01.2000</v>
      </c>
      <c r="F281" t="str">
        <f>TRIM(MID(Table15[[#This Row],[CONCERN.UNIQUEPATH]], IF( ISNUMBER( SEARCH("/",Table15[[#This Row],[CONCERN.UNIQUEPATH]])),SEARCH("/",Table15[[#This Row],[CONCERN.UNIQUEPATH]])+1,1),255))</f>
        <v>Functionality/Correctness/Validations/Rules Management/Migration Data</v>
      </c>
    </row>
    <row r="282" spans="1:7">
      <c r="A282" t="s">
        <v>1969</v>
      </c>
      <c r="B282" t="s">
        <v>2246</v>
      </c>
      <c r="C282" s="29" t="s">
        <v>4008</v>
      </c>
      <c r="D282" s="27" t="s">
        <v>4009</v>
      </c>
      <c r="E282" t="str">
        <f xml:space="preserve"> CONCATENATE( MID(Table15[[#This Row],[PHASE]],2,3), MID(Table15[[#This Row],[DELIVERABLE]],2,4), TRIM(SUBSTITUTE(MID(Table15[[#This Row],[CONCERN.ID]],2,20),"","") )  )</f>
        <v>08.461.5332.00.0000</v>
      </c>
      <c r="F282" t="str">
        <f>TRIM(MID(Table15[[#This Row],[CONCERN.UNIQUEPATH]], IF( ISNUMBER( SEARCH("/",Table15[[#This Row],[CONCERN.UNIQUEPATH]])),SEARCH("/",Table15[[#This Row],[CONCERN.UNIQUEPATH]])+1,1),255))</f>
        <v>Functionality/Correctness/Contet</v>
      </c>
    </row>
    <row r="283" spans="1:7">
      <c r="A283" t="s">
        <v>1969</v>
      </c>
      <c r="B283" t="s">
        <v>2246</v>
      </c>
      <c r="C283" s="31" t="s">
        <v>4010</v>
      </c>
      <c r="D283" s="26" t="s">
        <v>4011</v>
      </c>
      <c r="E283" s="45" t="str">
        <f xml:space="preserve"> CONCATENATE( MID(Table15[[#This Row],[PHASE]],2,3), MID(Table15[[#This Row],[DELIVERABLE]],2,4), TRIM(SUBSTITUTE(MID(Table15[[#This Row],[CONCERN.ID]],2,20),"","") )  )</f>
        <v>08.461.5332.01.0000</v>
      </c>
      <c r="F283" t="str">
        <f>TRIM(MID(Table15[[#This Row],[CONCERN.UNIQUEPATH]], IF( ISNUMBER( SEARCH("/",Table15[[#This Row],[CONCERN.UNIQUEPATH]])),SEARCH("/",Table15[[#This Row],[CONCERN.UNIQUEPATH]])+1,1),255))</f>
        <v>Functionality/Correctness/Contet/Users as Individuals and/or Group Members</v>
      </c>
    </row>
    <row r="284" spans="1:7">
      <c r="A284" t="s">
        <v>1969</v>
      </c>
      <c r="B284" t="s">
        <v>2246</v>
      </c>
      <c r="C284" s="32" t="s">
        <v>4012</v>
      </c>
      <c r="D284" s="27" t="s">
        <v>4013</v>
      </c>
      <c r="E284" t="str">
        <f xml:space="preserve"> CONCATENATE( MID(Table15[[#This Row],[PHASE]],2,3), MID(Table15[[#This Row],[DELIVERABLE]],2,4), TRIM(SUBSTITUTE(MID(Table15[[#This Row],[CONCERN.ID]],2,20),"","") )  )</f>
        <v>08.461.5332.02.0000</v>
      </c>
      <c r="F284" t="str">
        <f>TRIM(MID(Table15[[#This Row],[CONCERN.UNIQUEPATH]], IF( ISNUMBER( SEARCH("/",Table15[[#This Row],[CONCERN.UNIQUEPATH]])),SEARCH("/",Table15[[#This Row],[CONCERN.UNIQUEPATH]])+1,1),255))</f>
        <v>Functionality/Correctness/Contet/Users may have multiple Roles in multiple Groups</v>
      </c>
    </row>
    <row r="285" spans="1:7">
      <c r="A285" t="s">
        <v>1969</v>
      </c>
      <c r="B285" t="s">
        <v>2246</v>
      </c>
      <c r="C285" s="36" t="s">
        <v>4014</v>
      </c>
      <c r="D285" s="26" t="s">
        <v>4015</v>
      </c>
      <c r="E285" s="45" t="str">
        <f xml:space="preserve"> CONCATENATE( MID(Table15[[#This Row],[PHASE]],2,3), MID(Table15[[#This Row],[DELIVERABLE]],2,4), TRIM(SUBSTITUTE(MID(Table15[[#This Row],[CONCERN.ID]],2,20),"","") )  )</f>
        <v>08.461.5332.02.1000</v>
      </c>
      <c r="F285" t="str">
        <f>TRIM(MID(Table15[[#This Row],[CONCERN.UNIQUEPATH]], IF( ISNUMBER( SEARCH("/",Table15[[#This Row],[CONCERN.UNIQUEPATH]])),SEARCH("/",Table15[[#This Row],[CONCERN.UNIQUEPATH]])+1,1),255))</f>
        <v>Functionality/Correctness/Contet/Users can belong to multiple Groups/Multiple Schools</v>
      </c>
    </row>
    <row r="286" spans="1:7">
      <c r="A286" t="s">
        <v>1969</v>
      </c>
      <c r="B286" t="s">
        <v>2246</v>
      </c>
      <c r="C286" s="33" t="s">
        <v>4016</v>
      </c>
      <c r="D286" s="27" t="s">
        <v>4017</v>
      </c>
      <c r="E286" t="str">
        <f xml:space="preserve"> CONCATENATE( MID(Table15[[#This Row],[PHASE]],2,3), MID(Table15[[#This Row],[DELIVERABLE]],2,4), TRIM(SUBSTITUTE(MID(Table15[[#This Row],[CONCERN.ID]],2,20),"","") )  )</f>
        <v>08.461.5332.02.2000</v>
      </c>
      <c r="F286" t="str">
        <f>TRIM(MID(Table15[[#This Row],[CONCERN.UNIQUEPATH]], IF( ISNUMBER( SEARCH("/",Table15[[#This Row],[CONCERN.UNIQUEPATH]])),SEARCH("/",Table15[[#This Row],[CONCERN.UNIQUEPATH]])+1,1),255))</f>
        <v>Functionality/Correctness/Contet/Users can belong to multiple Groups/Schools and Community</v>
      </c>
    </row>
    <row r="287" spans="1:7">
      <c r="A287" t="s">
        <v>1969</v>
      </c>
      <c r="B287" t="s">
        <v>2246</v>
      </c>
      <c r="C287" s="31" t="s">
        <v>4018</v>
      </c>
      <c r="D287" s="26" t="s">
        <v>4019</v>
      </c>
      <c r="E287" s="45" t="str">
        <f xml:space="preserve"> CONCATENATE( MID(Table15[[#This Row],[PHASE]],2,3), MID(Table15[[#This Row],[DELIVERABLE]],2,4), TRIM(SUBSTITUTE(MID(Table15[[#This Row],[CONCERN.ID]],2,20),"","") )  )</f>
        <v>08.461.5332.03.0000</v>
      </c>
      <c r="F287" t="str">
        <f>TRIM(MID(Table15[[#This Row],[CONCERN.UNIQUEPATH]], IF( ISNUMBER( SEARCH("/",Table15[[#This Row],[CONCERN.UNIQUEPATH]])),SEARCH("/",Table15[[#This Row],[CONCERN.UNIQUEPATH]])+1,1),255))</f>
        <v>Functionality/Correctness/Contet/Large Groups can be comprised of nested Groups</v>
      </c>
    </row>
    <row r="288" spans="1:7">
      <c r="A288" t="s">
        <v>1969</v>
      </c>
      <c r="B288" t="s">
        <v>2246</v>
      </c>
      <c r="C288" s="33" t="s">
        <v>4020</v>
      </c>
      <c r="D288" s="27" t="s">
        <v>4021</v>
      </c>
      <c r="E288" t="str">
        <f xml:space="preserve"> CONCATENATE( MID(Table15[[#This Row],[PHASE]],2,3), MID(Table15[[#This Row],[DELIVERABLE]],2,4), TRIM(SUBSTITUTE(MID(Table15[[#This Row],[CONCERN.ID]],2,20),"","") )  )</f>
        <v>08.461.5332.03.1000</v>
      </c>
      <c r="F288" t="str">
        <f>TRIM(MID(Table15[[#This Row],[CONCERN.UNIQUEPATH]], IF( ISNUMBER( SEARCH("/",Table15[[#This Row],[CONCERN.UNIQUEPATH]])),SEARCH("/",Table15[[#This Row],[CONCERN.UNIQUEPATH]])+1,1),255))</f>
        <v>Functionality/Correctness/Contet/Large Groups can be comprised of nested child Groups/Orgs,Depts,Cohorts</v>
      </c>
    </row>
    <row r="289" spans="1:6">
      <c r="A289" t="s">
        <v>1969</v>
      </c>
      <c r="B289" t="s">
        <v>2246</v>
      </c>
      <c r="C289" s="31" t="s">
        <v>4022</v>
      </c>
      <c r="D289" s="26" t="s">
        <v>4023</v>
      </c>
      <c r="E289" s="45" t="str">
        <f xml:space="preserve"> CONCATENATE( MID(Table15[[#This Row],[PHASE]],2,3), MID(Table15[[#This Row],[DELIVERABLE]],2,4), TRIM(SUBSTITUTE(MID(Table15[[#This Row],[CONCERN.ID]],2,20),"","") )  )</f>
        <v>08.461.5332.04.0000</v>
      </c>
      <c r="F289" t="str">
        <f>TRIM(MID(Table15[[#This Row],[CONCERN.UNIQUEPATH]], IF( ISNUMBER( SEARCH("/",Table15[[#This Row],[CONCERN.UNIQUEPATH]])),SEARCH("/",Table15[[#This Row],[CONCERN.UNIQUEPATH]])+1,1),255))</f>
        <v>Functionality/Correctness/Contet/A Group can be classified as an Organisation</v>
      </c>
    </row>
    <row r="290" spans="1:6">
      <c r="A290" t="s">
        <v>1969</v>
      </c>
      <c r="B290" t="s">
        <v>2246</v>
      </c>
      <c r="C290" s="33" t="s">
        <v>4024</v>
      </c>
      <c r="D290" s="27" t="s">
        <v>4025</v>
      </c>
      <c r="E290" t="str">
        <f xml:space="preserve"> CONCATENATE( MID(Table15[[#This Row],[PHASE]],2,3), MID(Table15[[#This Row],[DELIVERABLE]],2,4), TRIM(SUBSTITUTE(MID(Table15[[#This Row],[CONCERN.ID]],2,20),"","") )  )</f>
        <v>08.461.5332.04.1000</v>
      </c>
      <c r="F290" t="str">
        <f>TRIM(MID(Table15[[#This Row],[CONCERN.UNIQUEPATH]], IF( ISNUMBER( SEARCH("/",Table15[[#This Row],[CONCERN.UNIQUEPATH]])),SEARCH("/",Table15[[#This Row],[CONCERN.UNIQUEPATH]])+1,1),255))</f>
        <v>Functionality/Correctness/Contet/Groups can be classified by Cohort, Course, Location, etc.</v>
      </c>
    </row>
    <row r="291" spans="1:6">
      <c r="A291" t="s">
        <v>1969</v>
      </c>
      <c r="B291" t="s">
        <v>2246</v>
      </c>
      <c r="C291" s="31" t="s">
        <v>4026</v>
      </c>
      <c r="D291" s="26" t="s">
        <v>4027</v>
      </c>
      <c r="E291" s="45" t="str">
        <f xml:space="preserve"> CONCATENATE( MID(Table15[[#This Row],[PHASE]],2,3), MID(Table15[[#This Row],[DELIVERABLE]],2,4), TRIM(SUBSTITUTE(MID(Table15[[#This Row],[CONCERN.ID]],2,20),"","") )  )</f>
        <v>08.461.5332.05.0000</v>
      </c>
      <c r="F291" t="str">
        <f>TRIM(MID(Table15[[#This Row],[CONCERN.UNIQUEPATH]], IF( ISNUMBER( SEARCH("/",Table15[[#This Row],[CONCERN.UNIQUEPATH]])),SEARCH("/",Table15[[#This Row],[CONCERN.UNIQUEPATH]])+1,1),255))</f>
        <v>Functionality/Correctness/Contet/Organisations May be Grouped in parent Organisations</v>
      </c>
    </row>
    <row r="292" spans="1:6">
      <c r="A292" t="s">
        <v>1969</v>
      </c>
      <c r="B292" t="s">
        <v>2246</v>
      </c>
      <c r="C292" s="32" t="s">
        <v>4026</v>
      </c>
      <c r="D292" s="27" t="s">
        <v>4028</v>
      </c>
      <c r="E292" t="str">
        <f xml:space="preserve"> CONCATENATE( MID(Table15[[#This Row],[PHASE]],2,3), MID(Table15[[#This Row],[DELIVERABLE]],2,4), TRIM(SUBSTITUTE(MID(Table15[[#This Row],[CONCERN.ID]],2,20),"","") )  )</f>
        <v>08.461.5332.05.0000</v>
      </c>
      <c r="F292" t="str">
        <f>TRIM(MID(Table15[[#This Row],[CONCERN.UNIQUEPATH]], IF( ISNUMBER( SEARCH("/",Table15[[#This Row],[CONCERN.UNIQUEPATH]])),SEARCH("/",Table15[[#This Row],[CONCERN.UNIQUEPATH]])+1,1),255))</f>
        <v>Functionality/Correctness/Contet/Some Organisations May be Grouped as Partners</v>
      </c>
    </row>
    <row r="293" spans="1:6">
      <c r="A293" t="s">
        <v>1969</v>
      </c>
      <c r="B293" t="s">
        <v>2246</v>
      </c>
      <c r="C293" s="36" t="s">
        <v>4029</v>
      </c>
      <c r="D293" s="26" t="s">
        <v>4030</v>
      </c>
      <c r="E293" s="45" t="str">
        <f xml:space="preserve"> CONCATENATE( MID(Table15[[#This Row],[PHASE]],2,3), MID(Table15[[#This Row],[DELIVERABLE]],2,4), TRIM(SUBSTITUTE(MID(Table15[[#This Row],[CONCERN.ID]],2,20),"","") )  )</f>
        <v>08.461.5332.05.1000</v>
      </c>
      <c r="F293" t="str">
        <f>TRIM(MID(Table15[[#This Row],[CONCERN.UNIQUEPATH]], IF( ISNUMBER( SEARCH("/",Table15[[#This Row],[CONCERN.UNIQUEPATH]])),SEARCH("/",Table15[[#This Row],[CONCERN.UNIQUEPATH]])+1,1),255))</f>
        <v>Functionality/Correctness/Contet/Organisations May be Grouped as Objective Partners</v>
      </c>
    </row>
    <row r="294" spans="1:6">
      <c r="A294" t="s">
        <v>1969</v>
      </c>
      <c r="B294" t="s">
        <v>2246</v>
      </c>
      <c r="C294" s="33" t="s">
        <v>4029</v>
      </c>
      <c r="D294" s="27" t="s">
        <v>4031</v>
      </c>
      <c r="E294" t="str">
        <f xml:space="preserve"> CONCATENATE( MID(Table15[[#This Row],[PHASE]],2,3), MID(Table15[[#This Row],[DELIVERABLE]],2,4), TRIM(SUBSTITUTE(MID(Table15[[#This Row],[CONCERN.ID]],2,20),"","") )  )</f>
        <v>08.461.5332.05.1000</v>
      </c>
      <c r="F294" t="str">
        <f>TRIM(MID(Table15[[#This Row],[CONCERN.UNIQUEPATH]], IF( ISNUMBER( SEARCH("/",Table15[[#This Row],[CONCERN.UNIQUEPATH]])),SEARCH("/",Table15[[#This Row],[CONCERN.UNIQUEPATH]])+1,1),255))</f>
        <v>Functionality/Correctness/Contet/Organisations May be Grouped as Regional Org Groups</v>
      </c>
    </row>
    <row r="295" spans="1:6">
      <c r="A295" t="s">
        <v>1969</v>
      </c>
      <c r="B295" t="s">
        <v>2246</v>
      </c>
      <c r="C295" s="31" t="s">
        <v>4032</v>
      </c>
      <c r="D295" s="26" t="s">
        <v>4033</v>
      </c>
      <c r="E295" s="45" t="str">
        <f xml:space="preserve"> CONCATENATE( MID(Table15[[#This Row],[PHASE]],2,3), MID(Table15[[#This Row],[DELIVERABLE]],2,4), TRIM(SUBSTITUTE(MID(Table15[[#This Row],[CONCERN.ID]],2,20),"","") )  )</f>
        <v>08.461.5332.08.0000</v>
      </c>
      <c r="F295" t="str">
        <f>TRIM(MID(Table15[[#This Row],[CONCERN.UNIQUEPATH]], IF( ISNUMBER( SEARCH("/",Table15[[#This Row],[CONCERN.UNIQUEPATH]])),SEARCH("/",Table15[[#This Row],[CONCERN.UNIQUEPATH]])+1,1),255))</f>
        <v>Functionality/Correctness/Contet/Info is for appropriate sharing with others</v>
      </c>
    </row>
    <row r="296" spans="1:6">
      <c r="A296" t="s">
        <v>1969</v>
      </c>
      <c r="B296" t="s">
        <v>2246</v>
      </c>
      <c r="C296" s="33" t="s">
        <v>4034</v>
      </c>
      <c r="D296" s="27" t="s">
        <v>4035</v>
      </c>
      <c r="E296" t="str">
        <f xml:space="preserve"> CONCATENATE( MID(Table15[[#This Row],[PHASE]],2,3), MID(Table15[[#This Row],[DELIVERABLE]],2,4), TRIM(SUBSTITUTE(MID(Table15[[#This Row],[CONCERN.ID]],2,20),"","") )  )</f>
        <v>08.461.5332.08.1000</v>
      </c>
      <c r="F296" t="str">
        <f>TRIM(MID(Table15[[#This Row],[CONCERN.UNIQUEPATH]], IF( ISNUMBER( SEARCH("/",Table15[[#This Row],[CONCERN.UNIQUEPATH]])),SEARCH("/",Table15[[#This Row],[CONCERN.UNIQUEPATH]])+1,1),255))</f>
        <v>Functionality/Correctness/Contet/Info is for appropriate sharing with others/Hence API-First</v>
      </c>
    </row>
    <row r="297" spans="1:6">
      <c r="A297" t="s">
        <v>1969</v>
      </c>
      <c r="B297" t="s">
        <v>2246</v>
      </c>
      <c r="C297" s="31" t="s">
        <v>4036</v>
      </c>
      <c r="D297" s="26" t="s">
        <v>4037</v>
      </c>
      <c r="E297" s="45" t="str">
        <f xml:space="preserve"> CONCATENATE( MID(Table15[[#This Row],[PHASE]],2,3), MID(Table15[[#This Row],[DELIVERABLE]],2,4), TRIM(SUBSTITUTE(MID(Table15[[#This Row],[CONCERN.ID]],2,20),"","") )  )</f>
        <v>08.461.5332.09.0000</v>
      </c>
      <c r="F297" t="str">
        <f>TRIM(MID(Table15[[#This Row],[CONCERN.UNIQUEPATH]], IF( ISNUMBER( SEARCH("/",Table15[[#This Row],[CONCERN.UNIQUEPATH]])),SEARCH("/",Table15[[#This Row],[CONCERN.UNIQUEPATH]])+1,1),255))</f>
        <v>Functionality/Correctness/Contet/Will remain Operational for a long Time</v>
      </c>
    </row>
    <row r="298" spans="1:6">
      <c r="A298" t="s">
        <v>1969</v>
      </c>
      <c r="B298" t="s">
        <v>2246</v>
      </c>
      <c r="C298" s="33" t="s">
        <v>4038</v>
      </c>
      <c r="D298" s="27" t="s">
        <v>4039</v>
      </c>
      <c r="E298" t="str">
        <f xml:space="preserve"> CONCATENATE( MID(Table15[[#This Row],[PHASE]],2,3), MID(Table15[[#This Row],[DELIVERABLE]],2,4), TRIM(SUBSTITUTE(MID(Table15[[#This Row],[CONCERN.ID]],2,20),"","") )  )</f>
        <v>08.461.5332.09.1000</v>
      </c>
      <c r="F298" t="str">
        <f>TRIM(MID(Table15[[#This Row],[CONCERN.UNIQUEPATH]], IF( ISNUMBER( SEARCH("/",Table15[[#This Row],[CONCERN.UNIQUEPATH]])),SEARCH("/",Table15[[#This Row],[CONCERN.UNIQUEPATH]])+1,1),255))</f>
        <v>Functionality/Correctness/Contet/Will remain Operational for a Long Time/Much longer than any Dev phase</v>
      </c>
    </row>
    <row r="299" spans="1:6">
      <c r="A299" t="s">
        <v>1969</v>
      </c>
      <c r="B299" t="s">
        <v>2246</v>
      </c>
      <c r="C299" s="36" t="s">
        <v>4038</v>
      </c>
      <c r="D299" s="26" t="s">
        <v>4040</v>
      </c>
      <c r="E299" s="45" t="str">
        <f xml:space="preserve"> CONCATENATE( MID(Table15[[#This Row],[PHASE]],2,3), MID(Table15[[#This Row],[DELIVERABLE]],2,4), TRIM(SUBSTITUTE(MID(Table15[[#This Row],[CONCERN.ID]],2,20),"","") )  )</f>
        <v>08.461.5332.09.1000</v>
      </c>
      <c r="F299" t="str">
        <f>TRIM(MID(Table15[[#This Row],[CONCERN.UNIQUEPATH]], IF( ISNUMBER( SEARCH("/",Table15[[#This Row],[CONCERN.UNIQUEPATH]])),SEARCH("/",Table15[[#This Row],[CONCERN.UNIQUEPATH]])+1,1),255))</f>
        <v>Functionality/Correctness/Contet/Will remain Operational for a Long Time/Think Decade</v>
      </c>
    </row>
    <row r="300" spans="1:6">
      <c r="A300" t="s">
        <v>1969</v>
      </c>
      <c r="B300" t="s">
        <v>2246</v>
      </c>
      <c r="C300" s="32" t="s">
        <v>4041</v>
      </c>
      <c r="D300" s="27" t="s">
        <v>4042</v>
      </c>
      <c r="E300" t="str">
        <f xml:space="preserve"> CONCATENATE( MID(Table15[[#This Row],[PHASE]],2,3), MID(Table15[[#This Row],[DELIVERABLE]],2,4), TRIM(SUBSTITUTE(MID(Table15[[#This Row],[CONCERN.ID]],2,20),"","") )  )</f>
        <v>08.461.5332.10.0000</v>
      </c>
      <c r="F300" t="str">
        <f>TRIM(MID(Table15[[#This Row],[CONCERN.UNIQUEPATH]], IF( ISNUMBER( SEARCH("/",Table15[[#This Row],[CONCERN.UNIQUEPATH]])),SEARCH("/",Table15[[#This Row],[CONCERN.UNIQUEPATH]])+1,1),255))</f>
        <v>Functionality/Correctness/Contet/Incremental Changing Circumstances</v>
      </c>
    </row>
    <row r="301" spans="1:6">
      <c r="A301" t="s">
        <v>1969</v>
      </c>
      <c r="B301" t="s">
        <v>2246</v>
      </c>
      <c r="C301" s="36" t="s">
        <v>4043</v>
      </c>
      <c r="D301" s="26" t="s">
        <v>4044</v>
      </c>
      <c r="E301" s="45" t="str">
        <f xml:space="preserve"> CONCATENATE( MID(Table15[[#This Row],[PHASE]],2,3), MID(Table15[[#This Row],[DELIVERABLE]],2,4), TRIM(SUBSTITUTE(MID(Table15[[#This Row],[CONCERN.ID]],2,20),"","") )  )</f>
        <v>08.461.5332.10.1000</v>
      </c>
      <c r="F301" t="str">
        <f>TRIM(MID(Table15[[#This Row],[CONCERN.UNIQUEPATH]], IF( ISNUMBER( SEARCH("/",Table15[[#This Row],[CONCERN.UNIQUEPATH]])),SEARCH("/",Table15[[#This Row],[CONCERN.UNIQUEPATH]])+1,1),255))</f>
        <v>Functionality/Correctness/Contet/Incremental Changing Circumstances/Or Die</v>
      </c>
    </row>
    <row r="302" spans="1:6">
      <c r="A302" t="s">
        <v>1969</v>
      </c>
      <c r="B302" t="s">
        <v>2246</v>
      </c>
      <c r="C302" s="33" t="s">
        <v>4045</v>
      </c>
      <c r="D302" s="27" t="s">
        <v>4046</v>
      </c>
      <c r="E302" t="str">
        <f xml:space="preserve"> CONCATENATE( MID(Table15[[#This Row],[PHASE]],2,3), MID(Table15[[#This Row],[DELIVERABLE]],2,4), TRIM(SUBSTITUTE(MID(Table15[[#This Row],[CONCERN.ID]],2,20),"","") )  )</f>
        <v>08.461.5332.10.2000</v>
      </c>
      <c r="F302" t="str">
        <f>TRIM(MID(Table15[[#This Row],[CONCERN.UNIQUEPATH]], IF( ISNUMBER( SEARCH("/",Table15[[#This Row],[CONCERN.UNIQUEPATH]])),SEARCH("/",Table15[[#This Row],[CONCERN.UNIQUEPATH]])+1,1),255))</f>
        <v>Functionality/Correctness/Contet/Incremental Changing Circumstances/Change Users</v>
      </c>
    </row>
    <row r="303" spans="1:6">
      <c r="A303" t="s">
        <v>1969</v>
      </c>
      <c r="B303" t="s">
        <v>2246</v>
      </c>
      <c r="C303" s="36" t="s">
        <v>4047</v>
      </c>
      <c r="D303" s="26" t="s">
        <v>4048</v>
      </c>
      <c r="E303" s="45" t="str">
        <f xml:space="preserve"> CONCATENATE( MID(Table15[[#This Row],[PHASE]],2,3), MID(Table15[[#This Row],[DELIVERABLE]],2,4), TRIM(SUBSTITUTE(MID(Table15[[#This Row],[CONCERN.ID]],2,20),"","") )  )</f>
        <v>08.461.5332.10.3000</v>
      </c>
      <c r="F303" t="str">
        <f>TRIM(MID(Table15[[#This Row],[CONCERN.UNIQUEPATH]], IF( ISNUMBER( SEARCH("/",Table15[[#This Row],[CONCERN.UNIQUEPATH]])),SEARCH("/",Table15[[#This Row],[CONCERN.UNIQUEPATH]])+1,1),255))</f>
        <v>Functionality/Correctness/Contet/Incremental Changing Circumstances/Change Processes</v>
      </c>
    </row>
    <row r="304" spans="1:6">
      <c r="A304" t="s">
        <v>1969</v>
      </c>
      <c r="B304" t="s">
        <v>2246</v>
      </c>
      <c r="C304" s="33" t="s">
        <v>4049</v>
      </c>
      <c r="D304" s="27" t="s">
        <v>4050</v>
      </c>
      <c r="E304" t="str">
        <f xml:space="preserve"> CONCATENATE( MID(Table15[[#This Row],[PHASE]],2,3), MID(Table15[[#This Row],[DELIVERABLE]],2,4), TRIM(SUBSTITUTE(MID(Table15[[#This Row],[CONCERN.ID]],2,20),"","") )  )</f>
        <v>08.461.5332.10.4000</v>
      </c>
      <c r="F304" t="str">
        <f>TRIM(MID(Table15[[#This Row],[CONCERN.UNIQUEPATH]], IF( ISNUMBER( SEARCH("/",Table15[[#This Row],[CONCERN.UNIQUEPATH]])),SEARCH("/",Table15[[#This Row],[CONCERN.UNIQUEPATH]])+1,1),255))</f>
        <v>Functionality/Correctness/Contet/Incremental Changing Circumstances/Change Permissions</v>
      </c>
    </row>
    <row r="305" spans="1:6">
      <c r="A305" t="s">
        <v>1969</v>
      </c>
      <c r="B305" t="s">
        <v>2246</v>
      </c>
      <c r="C305" s="36" t="s">
        <v>4049</v>
      </c>
      <c r="D305" s="26" t="s">
        <v>4051</v>
      </c>
      <c r="E305" s="45" t="str">
        <f xml:space="preserve"> CONCATENATE( MID(Table15[[#This Row],[PHASE]],2,3), MID(Table15[[#This Row],[DELIVERABLE]],2,4), TRIM(SUBSTITUTE(MID(Table15[[#This Row],[CONCERN.ID]],2,20),"","") )  )</f>
        <v>08.461.5332.10.4000</v>
      </c>
      <c r="F305" t="str">
        <f>TRIM(MID(Table15[[#This Row],[CONCERN.UNIQUEPATH]], IF( ISNUMBER( SEARCH("/",Table15[[#This Row],[CONCERN.UNIQUEPATH]])),SEARCH("/",Table15[[#This Row],[CONCERN.UNIQUEPATH]])+1,1),255))</f>
        <v>Functionality/Correctness/Contet/Incremental Changing Circumstances/Change Product</v>
      </c>
    </row>
    <row r="306" spans="1:6">
      <c r="A306" t="s">
        <v>1969</v>
      </c>
      <c r="B306" t="s">
        <v>2246</v>
      </c>
      <c r="C306" s="33" t="s">
        <v>4052</v>
      </c>
      <c r="D306" s="27" t="s">
        <v>4053</v>
      </c>
      <c r="E306" t="str">
        <f xml:space="preserve"> CONCATENATE( MID(Table15[[#This Row],[PHASE]],2,3), MID(Table15[[#This Row],[DELIVERABLE]],2,4), TRIM(SUBSTITUTE(MID(Table15[[#This Row],[CONCERN.ID]],2,20),"","") )  )</f>
        <v>08.461.5332.10.5000</v>
      </c>
      <c r="F306" t="str">
        <f>TRIM(MID(Table15[[#This Row],[CONCERN.UNIQUEPATH]], IF( ISNUMBER( SEARCH("/",Table15[[#This Row],[CONCERN.UNIQUEPATH]])),SEARCH("/",Table15[[#This Row],[CONCERN.UNIQUEPATH]])+1,1),255))</f>
        <v>Functionality/Correctness/Contet/Incremental Changing Circumstances/Change Presentation</v>
      </c>
    </row>
    <row r="307" spans="1:6">
      <c r="A307" t="s">
        <v>1969</v>
      </c>
      <c r="B307" t="s">
        <v>2246</v>
      </c>
      <c r="C307" s="36" t="s">
        <v>4054</v>
      </c>
      <c r="D307" s="26" t="s">
        <v>4055</v>
      </c>
      <c r="E307" s="45" t="str">
        <f xml:space="preserve"> CONCATENATE( MID(Table15[[#This Row],[PHASE]],2,3), MID(Table15[[#This Row],[DELIVERABLE]],2,4), TRIM(SUBSTITUTE(MID(Table15[[#This Row],[CONCERN.ID]],2,20),"","") )  )</f>
        <v>08.461.5332.10.6000</v>
      </c>
      <c r="F307" t="str">
        <f>TRIM(MID(Table15[[#This Row],[CONCERN.UNIQUEPATH]], IF( ISNUMBER( SEARCH("/",Table15[[#This Row],[CONCERN.UNIQUEPATH]])),SEARCH("/",Table15[[#This Row],[CONCERN.UNIQUEPATH]])+1,1),255))</f>
        <v>Functionality/Correctness/Contet/Incremental Changing Circumstances/Changing Threats</v>
      </c>
    </row>
    <row r="308" spans="1:6">
      <c r="A308" t="s">
        <v>1969</v>
      </c>
      <c r="B308" t="s">
        <v>2246</v>
      </c>
      <c r="C308" s="33" t="s">
        <v>4056</v>
      </c>
      <c r="D308" s="27" t="s">
        <v>4057</v>
      </c>
      <c r="E308" t="str">
        <f xml:space="preserve"> CONCATENATE( MID(Table15[[#This Row],[PHASE]],2,3), MID(Table15[[#This Row],[DELIVERABLE]],2,4), TRIM(SUBSTITUTE(MID(Table15[[#This Row],[CONCERN.ID]],2,20),"","") )  )</f>
        <v>08.461.5332.10.7000</v>
      </c>
      <c r="F308" t="str">
        <f>TRIM(MID(Table15[[#This Row],[CONCERN.UNIQUEPATH]], IF( ISNUMBER( SEARCH("/",Table15[[#This Row],[CONCERN.UNIQUEPATH]])),SEARCH("/",Table15[[#This Row],[CONCERN.UNIQUEPATH]])+1,1),255))</f>
        <v>Functionality/Correctness/Contet/Incremental Changing Circumstances/Changing Regulations</v>
      </c>
    </row>
    <row r="309" spans="1:6">
      <c r="A309" t="s">
        <v>1969</v>
      </c>
      <c r="B309" t="s">
        <v>2246</v>
      </c>
      <c r="C309" s="31" t="s">
        <v>4058</v>
      </c>
      <c r="D309" s="26" t="s">
        <v>4059</v>
      </c>
      <c r="E309" s="45" t="str">
        <f xml:space="preserve"> CONCATENATE( MID(Table15[[#This Row],[PHASE]],2,3), MID(Table15[[#This Row],[DELIVERABLE]],2,4), TRIM(SUBSTITUTE(MID(Table15[[#This Row],[CONCERN.ID]],2,20),"","") )  )</f>
        <v>08.461.5332.11.0000</v>
      </c>
      <c r="F309" t="str">
        <f>TRIM(MID(Table15[[#This Row],[CONCERN.UNIQUEPATH]], IF( ISNUMBER( SEARCH("/",Table15[[#This Row],[CONCERN.UNIQUEPATH]])),SEARCH("/",Table15[[#This Row],[CONCERN.UNIQUEPATH]])+1,1),255))</f>
        <v>Functionality/Correctness/Contet/Government Services require 100% auditability</v>
      </c>
    </row>
    <row r="310" spans="1:6">
      <c r="A310" t="s">
        <v>1969</v>
      </c>
      <c r="B310" t="s">
        <v>2246</v>
      </c>
      <c r="C310" s="33" t="s">
        <v>4060</v>
      </c>
      <c r="D310" s="27" t="s">
        <v>4061</v>
      </c>
      <c r="E310" t="str">
        <f xml:space="preserve"> CONCATENATE( MID(Table15[[#This Row],[PHASE]],2,3), MID(Table15[[#This Row],[DELIVERABLE]],2,4), TRIM(SUBSTITUTE(MID(Table15[[#This Row],[CONCERN.ID]],2,20),"","") )  )</f>
        <v>08.461.5332.11.1000</v>
      </c>
      <c r="F310" t="str">
        <f>TRIM(MID(Table15[[#This Row],[CONCERN.UNIQUEPATH]], IF( ISNUMBER( SEARCH("/",Table15[[#This Row],[CONCERN.UNIQUEPATH]])),SEARCH("/",Table15[[#This Row],[CONCERN.UNIQUEPATH]])+1,1),255))</f>
        <v>Functionality/Correctness/Contet/Government Services require 100% auditability/Including Views</v>
      </c>
    </row>
    <row r="311" spans="1:6">
      <c r="A311" t="s">
        <v>1969</v>
      </c>
      <c r="B311" t="s">
        <v>2246</v>
      </c>
      <c r="C311" s="31" t="s">
        <v>4062</v>
      </c>
      <c r="D311" s="26" t="s">
        <v>4063</v>
      </c>
      <c r="E311" s="45" t="str">
        <f xml:space="preserve"> CONCATENATE( MID(Table15[[#This Row],[PHASE]],2,3), MID(Table15[[#This Row],[DELIVERABLE]],2,4), TRIM(SUBSTITUTE(MID(Table15[[#This Row],[CONCERN.ID]],2,20),"","") )  )</f>
        <v>08.461.5332.12.0000</v>
      </c>
      <c r="F311" t="str">
        <f>TRIM(MID(Table15[[#This Row],[CONCERN.UNIQUEPATH]], IF( ISNUMBER( SEARCH("/",Table15[[#This Row],[CONCERN.UNIQUEPATH]])),SEARCH("/",Table15[[#This Row],[CONCERN.UNIQUEPATH]])+1,1),255))</f>
        <v>Functionality/Correctness/Contet/Government Services require appropriate transparency</v>
      </c>
    </row>
    <row r="312" spans="1:6">
      <c r="A312" t="s">
        <v>1969</v>
      </c>
      <c r="B312" t="s">
        <v>2246</v>
      </c>
      <c r="C312" s="33" t="s">
        <v>4064</v>
      </c>
      <c r="D312" s="27" t="s">
        <v>4065</v>
      </c>
      <c r="E312" t="str">
        <f xml:space="preserve"> CONCATENATE( MID(Table15[[#This Row],[PHASE]],2,3), MID(Table15[[#This Row],[DELIVERABLE]],2,4), TRIM(SUBSTITUTE(MID(Table15[[#This Row],[CONCERN.ID]],2,20),"","") )  )</f>
        <v>08.461.5332.12.1000</v>
      </c>
      <c r="F312" t="str">
        <f>TRIM(MID(Table15[[#This Row],[CONCERN.UNIQUEPATH]], IF( ISNUMBER( SEARCH("/",Table15[[#This Row],[CONCERN.UNIQUEPATH]])),SEARCH("/",Table15[[#This Row],[CONCERN.UNIQUEPATH]])+1,1),255))</f>
        <v>Functionality/Correctness/Contet/Government Services require appropriate transparency/Open Data</v>
      </c>
    </row>
    <row r="313" spans="1:6">
      <c r="A313" t="s">
        <v>1969</v>
      </c>
      <c r="B313" t="s">
        <v>2246</v>
      </c>
      <c r="C313" s="31" t="s">
        <v>4066</v>
      </c>
      <c r="D313" s="26" t="s">
        <v>4067</v>
      </c>
      <c r="E313" s="45" t="str">
        <f xml:space="preserve"> CONCATENATE( MID(Table15[[#This Row],[PHASE]],2,3), MID(Table15[[#This Row],[DELIVERABLE]],2,4), TRIM(SUBSTITUTE(MID(Table15[[#This Row],[CONCERN.ID]],2,20),"","") )  )</f>
        <v>08.461.5332.13.0000</v>
      </c>
      <c r="F313" t="str">
        <f>TRIM(MID(Table15[[#This Row],[CONCERN.UNIQUEPATH]], IF( ISNUMBER( SEARCH("/",Table15[[#This Row],[CONCERN.UNIQUEPATH]])),SEARCH("/",Table15[[#This Row],[CONCERN.UNIQUEPATH]])+1,1),255))</f>
        <v>Functionality/Correctness/Contet/Government Services for All Citizens Regardless</v>
      </c>
    </row>
    <row r="314" spans="1:6">
      <c r="A314" t="s">
        <v>1969</v>
      </c>
      <c r="B314" t="s">
        <v>2246</v>
      </c>
      <c r="C314" s="32" t="s">
        <v>4066</v>
      </c>
      <c r="D314" s="27" t="s">
        <v>4068</v>
      </c>
      <c r="E314" t="str">
        <f xml:space="preserve"> CONCATENATE( MID(Table15[[#This Row],[PHASE]],2,3), MID(Table15[[#This Row],[DELIVERABLE]],2,4), TRIM(SUBSTITUTE(MID(Table15[[#This Row],[CONCERN.ID]],2,20),"","") )  )</f>
        <v>08.461.5332.13.0000</v>
      </c>
      <c r="F314" t="str">
        <f>TRIM(MID(Table15[[#This Row],[CONCERN.UNIQUEPATH]], IF( ISNUMBER( SEARCH("/",Table15[[#This Row],[CONCERN.UNIQUEPATH]])),SEARCH("/",Table15[[#This Row],[CONCERN.UNIQUEPATH]])+1,1),255))</f>
        <v>Functionality/Correctness/Contet/Government Services for All National Cultures</v>
      </c>
    </row>
    <row r="315" spans="1:6">
      <c r="A315" t="s">
        <v>1969</v>
      </c>
      <c r="B315" t="s">
        <v>2246</v>
      </c>
      <c r="C315" s="36" t="s">
        <v>4069</v>
      </c>
      <c r="D315" s="26" t="s">
        <v>4070</v>
      </c>
      <c r="E315" s="45" t="str">
        <f xml:space="preserve"> CONCATENATE( MID(Table15[[#This Row],[PHASE]],2,3), MID(Table15[[#This Row],[DELIVERABLE]],2,4), TRIM(SUBSTITUTE(MID(Table15[[#This Row],[CONCERN.ID]],2,20),"","") )  )</f>
        <v>08.461.5332.13.1000</v>
      </c>
      <c r="F315" t="str">
        <f>TRIM(MID(Table15[[#This Row],[CONCERN.UNIQUEPATH]], IF( ISNUMBER( SEARCH("/",Table15[[#This Row],[CONCERN.UNIQUEPATH]])),SEARCH("/",Table15[[#This Row],[CONCERN.UNIQUEPATH]])+1,1),255))</f>
        <v>Functionality/Correctness/Contet/Government Services for All Citizens Regardless/Ability</v>
      </c>
    </row>
    <row r="316" spans="1:6">
      <c r="A316" t="s">
        <v>1969</v>
      </c>
      <c r="B316" t="s">
        <v>2246</v>
      </c>
      <c r="C316" s="33" t="s">
        <v>4069</v>
      </c>
      <c r="D316" s="27" t="s">
        <v>4071</v>
      </c>
      <c r="E316" t="str">
        <f xml:space="preserve"> CONCATENATE( MID(Table15[[#This Row],[PHASE]],2,3), MID(Table15[[#This Row],[DELIVERABLE]],2,4), TRIM(SUBSTITUTE(MID(Table15[[#This Row],[CONCERN.ID]],2,20),"","") )  )</f>
        <v>08.461.5332.13.1000</v>
      </c>
      <c r="F316" t="str">
        <f>TRIM(MID(Table15[[#This Row],[CONCERN.UNIQUEPATH]], IF( ISNUMBER( SEARCH("/",Table15[[#This Row],[CONCERN.UNIQUEPATH]])),SEARCH("/",Table15[[#This Row],[CONCERN.UNIQUEPATH]])+1,1),255))</f>
        <v>Functionality/Correctness/Contet/Government Services for All National Cultures/Wrong Note</v>
      </c>
    </row>
    <row r="317" spans="1:6">
      <c r="A317" t="s">
        <v>1969</v>
      </c>
      <c r="B317" t="s">
        <v>2246</v>
      </c>
      <c r="C317" s="36" t="s">
        <v>4072</v>
      </c>
      <c r="D317" s="26" t="s">
        <v>4073</v>
      </c>
      <c r="E317" s="45" t="str">
        <f xml:space="preserve"> CONCATENATE( MID(Table15[[#This Row],[PHASE]],2,3), MID(Table15[[#This Row],[DELIVERABLE]],2,4), TRIM(SUBSTITUTE(MID(Table15[[#This Row],[CONCERN.ID]],2,20),"","") )  )</f>
        <v>08.461.5332.13.2000</v>
      </c>
      <c r="F317" t="str">
        <f>TRIM(MID(Table15[[#This Row],[CONCERN.UNIQUEPATH]], IF( ISNUMBER( SEARCH("/",Table15[[#This Row],[CONCERN.UNIQUEPATH]])),SEARCH("/",Table15[[#This Row],[CONCERN.UNIQUEPATH]])+1,1),255))</f>
        <v>Functionality/Correctness/Contet/Government Services for All Citizens Regardless/Resources</v>
      </c>
    </row>
    <row r="318" spans="1:6">
      <c r="A318" t="s">
        <v>1969</v>
      </c>
      <c r="B318" t="s">
        <v>2246</v>
      </c>
      <c r="C318" s="33" t="s">
        <v>4072</v>
      </c>
      <c r="D318" s="27" t="s">
        <v>4074</v>
      </c>
      <c r="E318" t="str">
        <f xml:space="preserve"> CONCATENATE( MID(Table15[[#This Row],[PHASE]],2,3), MID(Table15[[#This Row],[DELIVERABLE]],2,4), TRIM(SUBSTITUTE(MID(Table15[[#This Row],[CONCERN.ID]],2,20),"","") )  )</f>
        <v>08.461.5332.13.2000</v>
      </c>
      <c r="F318" t="str">
        <f>TRIM(MID(Table15[[#This Row],[CONCERN.UNIQUEPATH]], IF( ISNUMBER( SEARCH("/",Table15[[#This Row],[CONCERN.UNIQUEPATH]])),SEARCH("/",Table15[[#This Row],[CONCERN.UNIQUEPATH]])+1,1),255))</f>
        <v>Functionality/Correctness/Contet/Government Services for All National Cultures/Wrong Interpretation</v>
      </c>
    </row>
    <row r="319" spans="1:6">
      <c r="A319" t="s">
        <v>1969</v>
      </c>
      <c r="B319" t="s">
        <v>2246</v>
      </c>
      <c r="C319" s="36" t="s">
        <v>4075</v>
      </c>
      <c r="D319" s="26" t="s">
        <v>4076</v>
      </c>
      <c r="E319" s="45" t="str">
        <f xml:space="preserve"> CONCATENATE( MID(Table15[[#This Row],[PHASE]],2,3), MID(Table15[[#This Row],[DELIVERABLE]],2,4), TRIM(SUBSTITUTE(MID(Table15[[#This Row],[CONCERN.ID]],2,20),"","") )  )</f>
        <v>08.461.5332.13.3000</v>
      </c>
      <c r="F319" t="str">
        <f>TRIM(MID(Table15[[#This Row],[CONCERN.UNIQUEPATH]], IF( ISNUMBER( SEARCH("/",Table15[[#This Row],[CONCERN.UNIQUEPATH]])),SEARCH("/",Table15[[#This Row],[CONCERN.UNIQUEPATH]])+1,1),255))</f>
        <v>Functionality/Correctness/Contet/Government Services for All Citizens Regardless/Language</v>
      </c>
    </row>
    <row r="320" spans="1:6">
      <c r="A320" t="s">
        <v>1969</v>
      </c>
      <c r="B320" t="s">
        <v>2246</v>
      </c>
      <c r="C320" s="33" t="s">
        <v>4077</v>
      </c>
      <c r="D320" s="27" t="s">
        <v>4078</v>
      </c>
      <c r="E320" t="str">
        <f xml:space="preserve"> CONCATENATE( MID(Table15[[#This Row],[PHASE]],2,3), MID(Table15[[#This Row],[DELIVERABLE]],2,4), TRIM(SUBSTITUTE(MID(Table15[[#This Row],[CONCERN.ID]],2,20),"","") )  )</f>
        <v>08.461.5332.13.4000</v>
      </c>
      <c r="F320" t="str">
        <f>TRIM(MID(Table15[[#This Row],[CONCERN.UNIQUEPATH]], IF( ISNUMBER( SEARCH("/",Table15[[#This Row],[CONCERN.UNIQUEPATH]])),SEARCH("/",Table15[[#This Row],[CONCERN.UNIQUEPATH]])+1,1),255))</f>
        <v>Functionality/Correctness/Contet/Government Services for All Citizens Regardless/Culture Design</v>
      </c>
    </row>
    <row r="321" spans="1:6">
      <c r="A321" t="s">
        <v>1969</v>
      </c>
      <c r="B321" t="s">
        <v>2246</v>
      </c>
      <c r="C321" s="31" t="s">
        <v>4079</v>
      </c>
      <c r="D321" s="26" t="s">
        <v>4080</v>
      </c>
      <c r="E321" s="45" t="str">
        <f xml:space="preserve"> CONCATENATE( MID(Table15[[#This Row],[PHASE]],2,3), MID(Table15[[#This Row],[DELIVERABLE]],2,4), TRIM(SUBSTITUTE(MID(Table15[[#This Row],[CONCERN.ID]],2,20),"","") )  )</f>
        <v>08.461.5332.14.0000</v>
      </c>
      <c r="F321" t="str">
        <f>TRIM(MID(Table15[[#This Row],[CONCERN.UNIQUEPATH]], IF( ISNUMBER( SEARCH("/",Table15[[#This Row],[CONCERN.UNIQUEPATH]])),SEARCH("/",Table15[[#This Row],[CONCERN.UNIQUEPATH]])+1,1),255))</f>
        <v>Functionality/Correctness/Contet/Government Service within eisting Obligations</v>
      </c>
    </row>
    <row r="322" spans="1:6">
      <c r="A322" t="s">
        <v>1969</v>
      </c>
      <c r="B322" t="s">
        <v>2246</v>
      </c>
      <c r="C322" s="33" t="s">
        <v>4081</v>
      </c>
      <c r="D322" s="27" t="s">
        <v>4082</v>
      </c>
      <c r="E322" t="str">
        <f xml:space="preserve"> CONCATENATE( MID(Table15[[#This Row],[PHASE]],2,3), MID(Table15[[#This Row],[DELIVERABLE]],2,4), TRIM(SUBSTITUTE(MID(Table15[[#This Row],[CONCERN.ID]],2,20),"","") )  )</f>
        <v>08.461.5332.14.1000</v>
      </c>
      <c r="F322" t="str">
        <f>TRIM(MID(Table15[[#This Row],[CONCERN.UNIQUEPATH]], IF( ISNUMBER( SEARCH("/",Table15[[#This Row],[CONCERN.UNIQUEPATH]])),SEARCH("/",Table15[[#This Row],[CONCERN.UNIQUEPATH]])+1,1),255))</f>
        <v>Functionality/Correctness/Contet/Government Service within eisting Obligations/Accessibility</v>
      </c>
    </row>
    <row r="323" spans="1:6">
      <c r="A323" t="s">
        <v>1969</v>
      </c>
      <c r="B323" t="s">
        <v>2246</v>
      </c>
      <c r="C323" s="36" t="s">
        <v>4083</v>
      </c>
      <c r="D323" s="26" t="s">
        <v>4084</v>
      </c>
      <c r="E323" s="45" t="str">
        <f xml:space="preserve"> CONCATENATE( MID(Table15[[#This Row],[PHASE]],2,3), MID(Table15[[#This Row],[DELIVERABLE]],2,4), TRIM(SUBSTITUTE(MID(Table15[[#This Row],[CONCERN.ID]],2,20),"","") )  )</f>
        <v>08.461.5332.14.2000</v>
      </c>
      <c r="F323" t="str">
        <f>TRIM(MID(Table15[[#This Row],[CONCERN.UNIQUEPATH]], IF( ISNUMBER( SEARCH("/",Table15[[#This Row],[CONCERN.UNIQUEPATH]])),SEARCH("/",Table15[[#This Row],[CONCERN.UNIQUEPATH]])+1,1),255))</f>
        <v>Functionality/Correctness/Contet/Government Service within eisting Obligations/Equity</v>
      </c>
    </row>
    <row r="324" spans="1:6">
      <c r="A324" t="s">
        <v>1969</v>
      </c>
      <c r="B324" t="s">
        <v>2246</v>
      </c>
      <c r="C324" s="33" t="s">
        <v>4085</v>
      </c>
      <c r="D324" s="27" t="s">
        <v>4086</v>
      </c>
      <c r="E324" t="str">
        <f xml:space="preserve"> CONCATENATE( MID(Table15[[#This Row],[PHASE]],2,3), MID(Table15[[#This Row],[DELIVERABLE]],2,4), TRIM(SUBSTITUTE(MID(Table15[[#This Row],[CONCERN.ID]],2,20),"","") )  )</f>
        <v>08.461.5332.14.3000</v>
      </c>
      <c r="F324" t="str">
        <f>TRIM(MID(Table15[[#This Row],[CONCERN.UNIQUEPATH]], IF( ISNUMBER( SEARCH("/",Table15[[#This Row],[CONCERN.UNIQUEPATH]])),SEARCH("/",Table15[[#This Row],[CONCERN.UNIQUEPATH]])+1,1),255))</f>
        <v>Functionality/Correctness/Contet/Government Service within eisting Obligations/Privacy</v>
      </c>
    </row>
    <row r="325" spans="1:6">
      <c r="A325" t="s">
        <v>1969</v>
      </c>
      <c r="B325" t="s">
        <v>2246</v>
      </c>
      <c r="C325" s="36" t="s">
        <v>4087</v>
      </c>
      <c r="D325" s="26" t="s">
        <v>4088</v>
      </c>
      <c r="E325" s="45" t="str">
        <f xml:space="preserve"> CONCATENATE( MID(Table15[[#This Row],[PHASE]],2,3), MID(Table15[[#This Row],[DELIVERABLE]],2,4), TRIM(SUBSTITUTE(MID(Table15[[#This Row],[CONCERN.ID]],2,20),"","") )  )</f>
        <v>08.461.5332.14.4000</v>
      </c>
      <c r="F325" t="str">
        <f>TRIM(MID(Table15[[#This Row],[CONCERN.UNIQUEPATH]], IF( ISNUMBER( SEARCH("/",Table15[[#This Row],[CONCERN.UNIQUEPATH]])),SEARCH("/",Table15[[#This Row],[CONCERN.UNIQUEPATH]])+1,1),255))</f>
        <v>Functionality/Correctness/Contet/Government Service within eisting Obligations/Treaties</v>
      </c>
    </row>
    <row r="326" spans="1:6">
      <c r="A326" t="s">
        <v>1969</v>
      </c>
      <c r="B326" t="s">
        <v>2246</v>
      </c>
      <c r="C326" s="33" t="s">
        <v>4089</v>
      </c>
      <c r="D326" s="27" t="s">
        <v>4090</v>
      </c>
      <c r="E326" t="str">
        <f xml:space="preserve"> CONCATENATE( MID(Table15[[#This Row],[PHASE]],2,3), MID(Table15[[#This Row],[DELIVERABLE]],2,4), TRIM(SUBSTITUTE(MID(Table15[[#This Row],[CONCERN.ID]],2,20),"","") )  )</f>
        <v>08.461.5332.14.5000</v>
      </c>
      <c r="F326" t="str">
        <f>TRIM(MID(Table15[[#This Row],[CONCERN.UNIQUEPATH]], IF( ISNUMBER( SEARCH("/",Table15[[#This Row],[CONCERN.UNIQUEPATH]])),SEARCH("/",Table15[[#This Row],[CONCERN.UNIQUEPATH]])+1,1),255))</f>
        <v>Functionality/Correctness/Contet/Government Service within eisting Obligations/Archiving</v>
      </c>
    </row>
    <row r="327" spans="1:6">
      <c r="A327" t="s">
        <v>1969</v>
      </c>
      <c r="B327" t="s">
        <v>2246</v>
      </c>
      <c r="C327" s="36" t="s">
        <v>4091</v>
      </c>
      <c r="D327" s="26" t="s">
        <v>4088</v>
      </c>
      <c r="E327" s="45" t="str">
        <f xml:space="preserve"> CONCATENATE( MID(Table15[[#This Row],[PHASE]],2,3), MID(Table15[[#This Row],[DELIVERABLE]],2,4), TRIM(SUBSTITUTE(MID(Table15[[#This Row],[CONCERN.ID]],2,20),"","") )  )</f>
        <v>08.461.5332.14.6000</v>
      </c>
      <c r="F327" t="str">
        <f>TRIM(MID(Table15[[#This Row],[CONCERN.UNIQUEPATH]], IF( ISNUMBER( SEARCH("/",Table15[[#This Row],[CONCERN.UNIQUEPATH]])),SEARCH("/",Table15[[#This Row],[CONCERN.UNIQUEPATH]])+1,1),255))</f>
        <v>Functionality/Correctness/Contet/Government Service within eisting Obligations/Treaties</v>
      </c>
    </row>
    <row r="328" spans="1:6">
      <c r="A328" t="s">
        <v>1969</v>
      </c>
      <c r="B328" t="s">
        <v>2246</v>
      </c>
      <c r="C328" s="33" t="s">
        <v>4092</v>
      </c>
      <c r="D328" s="27" t="s">
        <v>4093</v>
      </c>
      <c r="E328" t="str">
        <f xml:space="preserve"> CONCATENATE( MID(Table15[[#This Row],[PHASE]],2,3), MID(Table15[[#This Row],[DELIVERABLE]],2,4), TRIM(SUBSTITUTE(MID(Table15[[#This Row],[CONCERN.ID]],2,20),"","") )  )</f>
        <v>08.461.5332.14.7000</v>
      </c>
      <c r="F328" t="str">
        <f>TRIM(MID(Table15[[#This Row],[CONCERN.UNIQUEPATH]], IF( ISNUMBER( SEARCH("/",Table15[[#This Row],[CONCERN.UNIQUEPATH]])),SEARCH("/",Table15[[#This Row],[CONCERN.UNIQUEPATH]])+1,1),255))</f>
        <v>Functionality/Correctness/Contet/Government Service within eisting Obligations/Transparency</v>
      </c>
    </row>
    <row r="329" spans="1:6">
      <c r="A329" t="s">
        <v>1969</v>
      </c>
      <c r="B329" t="s">
        <v>2246</v>
      </c>
      <c r="C329" s="36" t="s">
        <v>4094</v>
      </c>
      <c r="D329" s="26" t="s">
        <v>4095</v>
      </c>
      <c r="E329" s="45" t="str">
        <f xml:space="preserve"> CONCATENATE( MID(Table15[[#This Row],[PHASE]],2,3), MID(Table15[[#This Row],[DELIVERABLE]],2,4), TRIM(SUBSTITUTE(MID(Table15[[#This Row],[CONCERN.ID]],2,20),"","") )  )</f>
        <v>08.461.5332.14.8000</v>
      </c>
      <c r="F329" t="str">
        <f>TRIM(MID(Table15[[#This Row],[CONCERN.UNIQUEPATH]], IF( ISNUMBER( SEARCH("/",Table15[[#This Row],[CONCERN.UNIQUEPATH]])),SEARCH("/",Table15[[#This Row],[CONCERN.UNIQUEPATH]])+1,1),255))</f>
        <v>Functionality/Correctness/Contet/Government Service within eisting Obligations/Accountability</v>
      </c>
    </row>
    <row r="330" spans="1:6">
      <c r="A330" t="s">
        <v>1969</v>
      </c>
      <c r="B330" t="s">
        <v>2246</v>
      </c>
      <c r="C330" s="33" t="s">
        <v>4096</v>
      </c>
      <c r="D330" s="27" t="s">
        <v>4097</v>
      </c>
      <c r="E330" t="str">
        <f xml:space="preserve"> CONCATENATE( MID(Table15[[#This Row],[PHASE]],2,3), MID(Table15[[#This Row],[DELIVERABLE]],2,4), TRIM(SUBSTITUTE(MID(Table15[[#This Row],[CONCERN.ID]],2,20),"","") )  )</f>
        <v>08.461.5332.14.9000</v>
      </c>
      <c r="F330" t="str">
        <f>TRIM(MID(Table15[[#This Row],[CONCERN.UNIQUEPATH]], IF( ISNUMBER( SEARCH("/",Table15[[#This Row],[CONCERN.UNIQUEPATH]])),SEARCH("/",Table15[[#This Row],[CONCERN.UNIQUEPATH]])+1,1),255))</f>
        <v>Functionality/Correctness/Contet/Government Service within eisting Obligations/Sector</v>
      </c>
    </row>
    <row r="331" spans="1:6">
      <c r="A331" t="s">
        <v>1969</v>
      </c>
      <c r="B331" t="s">
        <v>2246</v>
      </c>
      <c r="C331" s="31" t="s">
        <v>4098</v>
      </c>
      <c r="D331" s="26" t="s">
        <v>4099</v>
      </c>
      <c r="E331" s="45" t="str">
        <f xml:space="preserve"> CONCATENATE( MID(Table15[[#This Row],[PHASE]],2,3), MID(Table15[[#This Row],[DELIVERABLE]],2,4), TRIM(SUBSTITUTE(MID(Table15[[#This Row],[CONCERN.ID]],2,20),"","") )  )</f>
        <v>08.461.5332.15.0000</v>
      </c>
      <c r="F331" t="str">
        <f>TRIM(MID(Table15[[#This Row],[CONCERN.UNIQUEPATH]], IF( ISNUMBER( SEARCH("/",Table15[[#This Row],[CONCERN.UNIQUEPATH]])),SEARCH("/",Table15[[#This Row],[CONCERN.UNIQUEPATH]])+1,1),255))</f>
        <v>Functionality/Correctness/Contet/All Services operate within Lawful contets</v>
      </c>
    </row>
    <row r="332" spans="1:6">
      <c r="A332" t="s">
        <v>1969</v>
      </c>
      <c r="B332" t="s">
        <v>2246</v>
      </c>
      <c r="C332" s="33" t="s">
        <v>4100</v>
      </c>
      <c r="D332" s="27" t="s">
        <v>4101</v>
      </c>
      <c r="E332" t="str">
        <f xml:space="preserve"> CONCATENATE( MID(Table15[[#This Row],[PHASE]],2,3), MID(Table15[[#This Row],[DELIVERABLE]],2,4), TRIM(SUBSTITUTE(MID(Table15[[#This Row],[CONCERN.ID]],2,20),"","") )  )</f>
        <v>08.461.5332.15.1000</v>
      </c>
      <c r="F332" t="str">
        <f>TRIM(MID(Table15[[#This Row],[CONCERN.UNIQUEPATH]], IF( ISNUMBER( SEARCH("/",Table15[[#This Row],[CONCERN.UNIQUEPATH]])),SEARCH("/",Table15[[#This Row],[CONCERN.UNIQUEPATH]])+1,1),255))</f>
        <v>Functionality/Correctness/Contet/All Services operate within Lawful contets/Privacy</v>
      </c>
    </row>
    <row r="333" spans="1:6">
      <c r="A333" t="s">
        <v>1969</v>
      </c>
      <c r="B333" t="s">
        <v>2246</v>
      </c>
      <c r="C333" s="36" t="s">
        <v>4102</v>
      </c>
      <c r="D333" s="26" t="s">
        <v>4103</v>
      </c>
      <c r="E333" s="45" t="str">
        <f xml:space="preserve"> CONCATENATE( MID(Table15[[#This Row],[PHASE]],2,3), MID(Table15[[#This Row],[DELIVERABLE]],2,4), TRIM(SUBSTITUTE(MID(Table15[[#This Row],[CONCERN.ID]],2,20),"","") )  )</f>
        <v>08.461.5332.15.2000</v>
      </c>
      <c r="F333" t="str">
        <f>TRIM(MID(Table15[[#This Row],[CONCERN.UNIQUEPATH]], IF( ISNUMBER( SEARCH("/",Table15[[#This Row],[CONCERN.UNIQUEPATH]])),SEARCH("/",Table15[[#This Row],[CONCERN.UNIQUEPATH]])+1,1),255))</f>
        <v>Functionality/Correctness/Contet/All Services operate within Lawful contets/Transparency</v>
      </c>
    </row>
    <row r="334" spans="1:6">
      <c r="A334" t="s">
        <v>1969</v>
      </c>
      <c r="B334" t="s">
        <v>2246</v>
      </c>
      <c r="C334" s="33" t="s">
        <v>4104</v>
      </c>
      <c r="D334" s="27" t="s">
        <v>4105</v>
      </c>
      <c r="E334" t="str">
        <f xml:space="preserve"> CONCATENATE( MID(Table15[[#This Row],[PHASE]],2,3), MID(Table15[[#This Row],[DELIVERABLE]],2,4), TRIM(SUBSTITUTE(MID(Table15[[#This Row],[CONCERN.ID]],2,20),"","") )  )</f>
        <v>08.461.5332.15.3000</v>
      </c>
      <c r="F334" t="str">
        <f>TRIM(MID(Table15[[#This Row],[CONCERN.UNIQUEPATH]], IF( ISNUMBER( SEARCH("/",Table15[[#This Row],[CONCERN.UNIQUEPATH]])),SEARCH("/",Table15[[#This Row],[CONCERN.UNIQUEPATH]])+1,1),255))</f>
        <v>Functionality/Correctness/Contet/All Services operate within Lawful contets/Accountability</v>
      </c>
    </row>
    <row r="335" spans="1:6">
      <c r="A335" t="s">
        <v>1969</v>
      </c>
      <c r="B335" t="s">
        <v>2246</v>
      </c>
      <c r="C335" s="36" t="s">
        <v>4106</v>
      </c>
      <c r="D335" s="26" t="s">
        <v>4107</v>
      </c>
      <c r="E335" s="45" t="str">
        <f xml:space="preserve"> CONCATENATE( MID(Table15[[#This Row],[PHASE]],2,3), MID(Table15[[#This Row],[DELIVERABLE]],2,4), TRIM(SUBSTITUTE(MID(Table15[[#This Row],[CONCERN.ID]],2,20),"","") )  )</f>
        <v>08.461.5332.15.4000</v>
      </c>
      <c r="F335" t="str">
        <f>TRIM(MID(Table15[[#This Row],[CONCERN.UNIQUEPATH]], IF( ISNUMBER( SEARCH("/",Table15[[#This Row],[CONCERN.UNIQUEPATH]])),SEARCH("/",Table15[[#This Row],[CONCERN.UNIQUEPATH]])+1,1),255))</f>
        <v>Functionality/Correctness/Contet/All Services operate within Lawful contets/Sector</v>
      </c>
    </row>
    <row r="336" spans="1:6">
      <c r="A336" t="s">
        <v>1969</v>
      </c>
      <c r="B336" t="s">
        <v>2246</v>
      </c>
      <c r="C336" s="29" t="s">
        <v>4108</v>
      </c>
      <c r="D336" s="27" t="s">
        <v>4109</v>
      </c>
      <c r="E336" t="str">
        <f xml:space="preserve"> CONCATENATE( MID(Table15[[#This Row],[PHASE]],2,3), MID(Table15[[#This Row],[DELIVERABLE]],2,4), TRIM(SUBSTITUTE(MID(Table15[[#This Row],[CONCERN.ID]],2,20),"","") )  )</f>
        <v>08.461.5335.00.0000</v>
      </c>
      <c r="F336" t="str">
        <f>TRIM(MID(Table15[[#This Row],[CONCERN.UNIQUEPATH]], IF( ISNUMBER( SEARCH("/",Table15[[#This Row],[CONCERN.UNIQUEPATH]])),SEARCH("/",Table15[[#This Row],[CONCERN.UNIQUEPATH]])+1,1),255))</f>
        <v>Functionality/Correctness/Type</v>
      </c>
    </row>
    <row r="337" spans="1:6">
      <c r="A337" t="s">
        <v>1969</v>
      </c>
      <c r="B337" t="s">
        <v>2246</v>
      </c>
      <c r="C337" s="31" t="s">
        <v>4110</v>
      </c>
      <c r="D337" s="26" t="s">
        <v>4111</v>
      </c>
      <c r="E337" s="45" t="str">
        <f xml:space="preserve"> CONCATENATE( MID(Table15[[#This Row],[PHASE]],2,3), MID(Table15[[#This Row],[DELIVERABLE]],2,4), TRIM(SUBSTITUTE(MID(Table15[[#This Row],[CONCERN.ID]],2,20),"","") )  )</f>
        <v>08.461.5335.01.0000</v>
      </c>
      <c r="F337" t="str">
        <f>TRIM(MID(Table15[[#This Row],[CONCERN.UNIQUEPATH]], IF( ISNUMBER( SEARCH("/",Table15[[#This Row],[CONCERN.UNIQUEPATH]])),SEARCH("/",Table15[[#This Row],[CONCERN.UNIQUEPATH]])+1,1),255))</f>
        <v>Functionality/Correctness/Type/Appropriate</v>
      </c>
    </row>
    <row r="338" spans="1:6">
      <c r="A338" t="s">
        <v>1969</v>
      </c>
      <c r="B338" t="s">
        <v>2246</v>
      </c>
      <c r="C338" s="33" t="s">
        <v>4112</v>
      </c>
      <c r="D338" s="27" t="s">
        <v>4113</v>
      </c>
      <c r="E338" t="str">
        <f xml:space="preserve"> CONCATENATE( MID(Table15[[#This Row],[PHASE]],2,3), MID(Table15[[#This Row],[DELIVERABLE]],2,4), TRIM(SUBSTITUTE(MID(Table15[[#This Row],[CONCERN.ID]],2,20),"","") )  )</f>
        <v>08.461.5335.01.1000</v>
      </c>
      <c r="F338" t="str">
        <f>TRIM(MID(Table15[[#This Row],[CONCERN.UNIQUEPATH]], IF( ISNUMBER( SEARCH("/",Table15[[#This Row],[CONCERN.UNIQUEPATH]])),SEARCH("/",Table15[[#This Row],[CONCERN.UNIQUEPATH]])+1,1),255))</f>
        <v>Functionality/Correctness/Type/Appropriate/Currency</v>
      </c>
    </row>
    <row r="339" spans="1:6">
      <c r="A339" t="s">
        <v>1969</v>
      </c>
      <c r="B339" t="s">
        <v>2246</v>
      </c>
      <c r="C339" s="36" t="s">
        <v>4112</v>
      </c>
      <c r="D339" s="26" t="s">
        <v>4114</v>
      </c>
      <c r="E339" s="45" t="str">
        <f xml:space="preserve"> CONCATENATE( MID(Table15[[#This Row],[PHASE]],2,3), MID(Table15[[#This Row],[DELIVERABLE]],2,4), TRIM(SUBSTITUTE(MID(Table15[[#This Row],[CONCERN.ID]],2,20),"","") )  )</f>
        <v>08.461.5335.01.1000</v>
      </c>
      <c r="F339" t="str">
        <f>TRIM(MID(Table15[[#This Row],[CONCERN.UNIQUEPATH]], IF( ISNUMBER( SEARCH("/",Table15[[#This Row],[CONCERN.UNIQUEPATH]])),SEARCH("/",Table15[[#This Row],[CONCERN.UNIQUEPATH]])+1,1),255))</f>
        <v>Functionality/Correctness/Type/Universal/UUID</v>
      </c>
    </row>
    <row r="340" spans="1:6">
      <c r="A340" t="s">
        <v>1969</v>
      </c>
      <c r="B340" t="s">
        <v>2246</v>
      </c>
      <c r="C340" s="33" t="s">
        <v>4115</v>
      </c>
      <c r="D340" s="27" t="s">
        <v>4116</v>
      </c>
      <c r="E340" t="str">
        <f xml:space="preserve"> CONCATENATE( MID(Table15[[#This Row],[PHASE]],2,3), MID(Table15[[#This Row],[DELIVERABLE]],2,4), TRIM(SUBSTITUTE(MID(Table15[[#This Row],[CONCERN.ID]],2,20),"","") )  )</f>
        <v>08.461.5335.01.2000</v>
      </c>
      <c r="F340" t="str">
        <f>TRIM(MID(Table15[[#This Row],[CONCERN.UNIQUEPATH]], IF( ISNUMBER( SEARCH("/",Table15[[#This Row],[CONCERN.UNIQUEPATH]])),SEARCH("/",Table15[[#This Row],[CONCERN.UNIQUEPATH]])+1,1),255))</f>
        <v>Functionality/Correctness/Type/Appropriate/Signed</v>
      </c>
    </row>
    <row r="341" spans="1:6">
      <c r="A341" t="s">
        <v>1969</v>
      </c>
      <c r="B341" t="s">
        <v>2246</v>
      </c>
      <c r="C341" s="36" t="s">
        <v>4115</v>
      </c>
      <c r="D341" s="26" t="s">
        <v>4117</v>
      </c>
      <c r="E341" s="45" t="str">
        <f xml:space="preserve"> CONCATENATE( MID(Table15[[#This Row],[PHASE]],2,3), MID(Table15[[#This Row],[DELIVERABLE]],2,4), TRIM(SUBSTITUTE(MID(Table15[[#This Row],[CONCERN.ID]],2,20),"","") )  )</f>
        <v>08.461.5335.01.2000</v>
      </c>
      <c r="F341" t="str">
        <f>TRIM(MID(Table15[[#This Row],[CONCERN.UNIQUEPATH]], IF( ISNUMBER( SEARCH("/",Table15[[#This Row],[CONCERN.UNIQUEPATH]])),SEARCH("/",Table15[[#This Row],[CONCERN.UNIQUEPATH]])+1,1),255))</f>
        <v>Functionality/Correctness/Type/Universal/Unicode</v>
      </c>
    </row>
    <row r="342" spans="1:6">
      <c r="A342" t="s">
        <v>1969</v>
      </c>
      <c r="B342" t="s">
        <v>2246</v>
      </c>
      <c r="C342" s="33" t="s">
        <v>4118</v>
      </c>
      <c r="D342" s="27" t="s">
        <v>4119</v>
      </c>
      <c r="E342" t="str">
        <f xml:space="preserve"> CONCATENATE( MID(Table15[[#This Row],[PHASE]],2,3), MID(Table15[[#This Row],[DELIVERABLE]],2,4), TRIM(SUBSTITUTE(MID(Table15[[#This Row],[CONCERN.ID]],2,20),"","") )  )</f>
        <v>08.461.5335.01.3000</v>
      </c>
      <c r="F342" t="str">
        <f>TRIM(MID(Table15[[#This Row],[CONCERN.UNIQUEPATH]], IF( ISNUMBER( SEARCH("/",Table15[[#This Row],[CONCERN.UNIQUEPATH]])),SEARCH("/",Table15[[#This Row],[CONCERN.UNIQUEPATH]])+1,1),255))</f>
        <v>Functionality/Correctness/Type/Universal/MaLength</v>
      </c>
    </row>
    <row r="343" spans="1:6">
      <c r="A343" t="s">
        <v>1969</v>
      </c>
      <c r="B343" t="s">
        <v>2246</v>
      </c>
      <c r="C343" s="31" t="s">
        <v>4120</v>
      </c>
      <c r="D343" s="26" t="s">
        <v>4121</v>
      </c>
      <c r="E343" s="45" t="str">
        <f xml:space="preserve"> CONCATENATE( MID(Table15[[#This Row],[PHASE]],2,3), MID(Table15[[#This Row],[DELIVERABLE]],2,4), TRIM(SUBSTITUTE(MID(Table15[[#This Row],[CONCERN.ID]],2,20),"","") )  )</f>
        <v>08.461.5335.02.0000</v>
      </c>
      <c r="F343" t="str">
        <f>TRIM(MID(Table15[[#This Row],[CONCERN.UNIQUEPATH]], IF( ISNUMBER( SEARCH("/",Table15[[#This Row],[CONCERN.UNIQUEPATH]])),SEARCH("/",Table15[[#This Row],[CONCERN.UNIQUEPATH]])+1,1),255))</f>
        <v>Functionality/Correctness/Type/Universal</v>
      </c>
    </row>
    <row r="344" spans="1:6">
      <c r="A344" t="s">
        <v>1969</v>
      </c>
      <c r="B344" t="s">
        <v>2246</v>
      </c>
      <c r="C344" s="29" t="s">
        <v>4122</v>
      </c>
      <c r="D344" s="27" t="s">
        <v>3960</v>
      </c>
      <c r="E344" t="str">
        <f xml:space="preserve"> CONCATENATE( MID(Table15[[#This Row],[PHASE]],2,3), MID(Table15[[#This Row],[DELIVERABLE]],2,4), TRIM(SUBSTITUTE(MID(Table15[[#This Row],[CONCERN.ID]],2,20),"","") )  )</f>
        <v>08.461.5336.00.0000</v>
      </c>
      <c r="F344" t="str">
        <f>TRIM(MID(Table15[[#This Row],[CONCERN.UNIQUEPATH]], IF( ISNUMBER( SEARCH("/",Table15[[#This Row],[CONCERN.UNIQUEPATH]])),SEARCH("/",Table15[[#This Row],[CONCERN.UNIQUEPATH]])+1,1),255))</f>
        <v>Functionality/Correctness/Instructions</v>
      </c>
    </row>
    <row r="345" spans="1:6">
      <c r="A345" t="s">
        <v>1969</v>
      </c>
      <c r="B345" t="s">
        <v>2246</v>
      </c>
      <c r="C345" s="31" t="s">
        <v>4123</v>
      </c>
      <c r="D345" s="26" t="s">
        <v>4124</v>
      </c>
      <c r="E345" s="45" t="str">
        <f xml:space="preserve"> CONCATENATE( MID(Table15[[#This Row],[PHASE]],2,3), MID(Table15[[#This Row],[DELIVERABLE]],2,4), TRIM(SUBSTITUTE(MID(Table15[[#This Row],[CONCERN.ID]],2,20),"","") )  )</f>
        <v>08.461.5336.01.0000</v>
      </c>
      <c r="F345" t="str">
        <f>TRIM(MID(Table15[[#This Row],[CONCERN.UNIQUEPATH]], IF( ISNUMBER( SEARCH("/",Table15[[#This Row],[CONCERN.UNIQUEPATH]])),SEARCH("/",Table15[[#This Row],[CONCERN.UNIQUEPATH]])+1,1),255))</f>
        <v>Functionality/Correctness/Instructions/Interpretated Resources</v>
      </c>
    </row>
    <row r="346" spans="1:6">
      <c r="A346" t="s">
        <v>1969</v>
      </c>
      <c r="B346" t="s">
        <v>2246</v>
      </c>
      <c r="C346" s="33" t="s">
        <v>4125</v>
      </c>
      <c r="D346" s="27" t="s">
        <v>4126</v>
      </c>
      <c r="E346" t="str">
        <f xml:space="preserve"> CONCATENATE( MID(Table15[[#This Row],[PHASE]],2,3), MID(Table15[[#This Row],[DELIVERABLE]],2,4), TRIM(SUBSTITUTE(MID(Table15[[#This Row],[CONCERN.ID]],2,20),"","") )  )</f>
        <v>08.461.5336.01.1000</v>
      </c>
      <c r="F346" t="str">
        <f>TRIM(MID(Table15[[#This Row],[CONCERN.UNIQUEPATH]], IF( ISNUMBER( SEARCH("/",Table15[[#This Row],[CONCERN.UNIQUEPATH]])),SEARCH("/",Table15[[#This Row],[CONCERN.UNIQUEPATH]])+1,1),255))</f>
        <v>Functionality/Correctness/Instructions/Interpretated Resources/Wrong Impression</v>
      </c>
    </row>
    <row r="347" spans="1:6">
      <c r="A347" t="s">
        <v>1969</v>
      </c>
      <c r="B347" t="s">
        <v>2246</v>
      </c>
      <c r="C347" s="36" t="s">
        <v>4127</v>
      </c>
      <c r="D347" s="26" t="s">
        <v>4128</v>
      </c>
      <c r="E347" s="45" t="str">
        <f xml:space="preserve"> CONCATENATE( MID(Table15[[#This Row],[PHASE]],2,3), MID(Table15[[#This Row],[DELIVERABLE]],2,4), TRIM(SUBSTITUTE(MID(Table15[[#This Row],[CONCERN.ID]],2,20),"","") )  )</f>
        <v>08.461.5336.01.2000</v>
      </c>
      <c r="F347" t="str">
        <f>TRIM(MID(Table15[[#This Row],[CONCERN.UNIQUEPATH]], IF( ISNUMBER( SEARCH("/",Table15[[#This Row],[CONCERN.UNIQUEPATH]])),SEARCH("/",Table15[[#This Row],[CONCERN.UNIQUEPATH]])+1,1),255))</f>
        <v>Functionality/Correctness/Instructions/Interpretated Resources/Differing Meaning</v>
      </c>
    </row>
    <row r="348" spans="1:6">
      <c r="A348" t="s">
        <v>1969</v>
      </c>
      <c r="B348" t="s">
        <v>2246</v>
      </c>
      <c r="C348" s="32" t="s">
        <v>4129</v>
      </c>
      <c r="D348" s="27" t="s">
        <v>3961</v>
      </c>
      <c r="E348" t="str">
        <f xml:space="preserve"> CONCATENATE( MID(Table15[[#This Row],[PHASE]],2,3), MID(Table15[[#This Row],[DELIVERABLE]],2,4), TRIM(SUBSTITUTE(MID(Table15[[#This Row],[CONCERN.ID]],2,20),"","") )  )</f>
        <v>08.461.5336.02.0000</v>
      </c>
      <c r="F348" t="str">
        <f>TRIM(MID(Table15[[#This Row],[CONCERN.UNIQUEPATH]], IF( ISNUMBER( SEARCH("/",Table15[[#This Row],[CONCERN.UNIQUEPATH]])),SEARCH("/",Table15[[#This Row],[CONCERN.UNIQUEPATH]])+1,1),255))</f>
        <v>Functionality/Correctness/Instructions/Current</v>
      </c>
    </row>
    <row r="349" spans="1:6">
      <c r="A349" t="s">
        <v>1969</v>
      </c>
      <c r="B349" t="s">
        <v>2246</v>
      </c>
      <c r="C349" s="36" t="s">
        <v>4130</v>
      </c>
      <c r="D349" s="26" t="s">
        <v>3963</v>
      </c>
      <c r="E349" s="45" t="str">
        <f xml:space="preserve"> CONCATENATE( MID(Table15[[#This Row],[PHASE]],2,3), MID(Table15[[#This Row],[DELIVERABLE]],2,4), TRIM(SUBSTITUTE(MID(Table15[[#This Row],[CONCERN.ID]],2,20),"","") )  )</f>
        <v>08.461.5336.02.1000</v>
      </c>
      <c r="F349" t="str">
        <f>TRIM(MID(Table15[[#This Row],[CONCERN.UNIQUEPATH]], IF( ISNUMBER( SEARCH("/",Table15[[#This Row],[CONCERN.UNIQUEPATH]])),SEARCH("/",Table15[[#This Row],[CONCERN.UNIQUEPATH]])+1,1),255))</f>
        <v>Functionality/Correctness/Instructions/Current/Role Responsibility Required</v>
      </c>
    </row>
    <row r="350" spans="1:6">
      <c r="A350" t="s">
        <v>1969</v>
      </c>
      <c r="B350" t="s">
        <v>2246</v>
      </c>
      <c r="C350" s="35" t="s">
        <v>4131</v>
      </c>
      <c r="D350" s="27" t="s">
        <v>4132</v>
      </c>
      <c r="E350" t="str">
        <f xml:space="preserve"> CONCATENATE( MID(Table15[[#This Row],[PHASE]],2,3), MID(Table15[[#This Row],[DELIVERABLE]],2,4), TRIM(SUBSTITUTE(MID(Table15[[#This Row],[CONCERN.ID]],2,20),"","") )  )</f>
        <v>08.461.5336.02.1100</v>
      </c>
      <c r="F350" t="str">
        <f>TRIM(MID(Table15[[#This Row],[CONCERN.UNIQUEPATH]], IF( ISNUMBER( SEARCH("/",Table15[[#This Row],[CONCERN.UNIQUEPATH]])),SEARCH("/",Table15[[#This Row],[CONCERN.UNIQUEPATH]])+1,1),255))</f>
        <v>Functionality/Correctness/Instructions/Current/Role Responsibility Required/Review Feedback</v>
      </c>
    </row>
    <row r="351" spans="1:6">
      <c r="A351" t="s">
        <v>1969</v>
      </c>
      <c r="B351" t="s">
        <v>2246</v>
      </c>
      <c r="C351" s="34" t="s">
        <v>4133</v>
      </c>
      <c r="D351" s="26" t="s">
        <v>4134</v>
      </c>
      <c r="E351" s="45" t="str">
        <f xml:space="preserve"> CONCATENATE( MID(Table15[[#This Row],[PHASE]],2,3), MID(Table15[[#This Row],[DELIVERABLE]],2,4), TRIM(SUBSTITUTE(MID(Table15[[#This Row],[CONCERN.ID]],2,20),"","") )  )</f>
        <v>08.461.5336.02.1300</v>
      </c>
      <c r="F351" t="str">
        <f>TRIM(MID(Table15[[#This Row],[CONCERN.UNIQUEPATH]], IF( ISNUMBER( SEARCH("/",Table15[[#This Row],[CONCERN.UNIQUEPATH]])),SEARCH("/",Table15[[#This Row],[CONCERN.UNIQUEPATH]])+1,1),255))</f>
        <v>Functionality/Correctness/Instructions/Current/Role Responsibility Required/Regularly Simplify</v>
      </c>
    </row>
    <row r="352" spans="1:6">
      <c r="A352" t="s">
        <v>1969</v>
      </c>
      <c r="B352" t="s">
        <v>2246</v>
      </c>
      <c r="C352" s="29" t="s">
        <v>4135</v>
      </c>
      <c r="D352" s="27" t="s">
        <v>4136</v>
      </c>
      <c r="E352" t="str">
        <f xml:space="preserve"> CONCATENATE( MID(Table15[[#This Row],[PHASE]],2,3), MID(Table15[[#This Row],[DELIVERABLE]],2,4), TRIM(SUBSTITUTE(MID(Table15[[#This Row],[CONCERN.ID]],2,20),"","") )  )</f>
        <v>08.461.5340.00.0000</v>
      </c>
      <c r="F352" t="str">
        <f>TRIM(MID(Table15[[#This Row],[CONCERN.UNIQUEPATH]], IF( ISNUMBER( SEARCH("/",Table15[[#This Row],[CONCERN.UNIQUEPATH]])),SEARCH("/",Table15[[#This Row],[CONCERN.UNIQUEPATH]])+1,1),255))</f>
        <v>Maintainability/Modifiability</v>
      </c>
    </row>
    <row r="353" spans="1:7">
      <c r="A353" t="s">
        <v>1969</v>
      </c>
      <c r="B353" t="s">
        <v>2246</v>
      </c>
      <c r="C353" s="30" t="s">
        <v>4137</v>
      </c>
      <c r="D353" s="26" t="s">
        <v>4138</v>
      </c>
      <c r="E353" s="45" t="str">
        <f xml:space="preserve"> CONCATENATE( MID(Table15[[#This Row],[PHASE]],2,3), MID(Table15[[#This Row],[DELIVERABLE]],2,4), TRIM(SUBSTITUTE(MID(Table15[[#This Row],[CONCERN.ID]],2,20),"","") )  )</f>
        <v>08.461.5341.00.0000</v>
      </c>
      <c r="F353" t="str">
        <f>TRIM(MID(Table15[[#This Row],[CONCERN.UNIQUEPATH]], IF( ISNUMBER( SEARCH("/",Table15[[#This Row],[CONCERN.UNIQUEPATH]])),SEARCH("/",Table15[[#This Row],[CONCERN.UNIQUEPATH]])+1,1),255))</f>
        <v>Maintainability/Modifiability/Design</v>
      </c>
      <c r="G353" t="s">
        <v>4139</v>
      </c>
    </row>
    <row r="354" spans="1:7">
      <c r="A354" t="s">
        <v>1969</v>
      </c>
      <c r="B354" t="s">
        <v>2246</v>
      </c>
      <c r="C354" s="32" t="s">
        <v>4140</v>
      </c>
      <c r="D354" s="27" t="s">
        <v>4141</v>
      </c>
      <c r="E354" t="str">
        <f xml:space="preserve"> CONCATENATE( MID(Table15[[#This Row],[PHASE]],2,3), MID(Table15[[#This Row],[DELIVERABLE]],2,4), TRIM(SUBSTITUTE(MID(Table15[[#This Row],[CONCERN.ID]],2,20),"","") )  )</f>
        <v>08.461.5341.01.0000</v>
      </c>
      <c r="F354" t="str">
        <f>TRIM(MID(Table15[[#This Row],[CONCERN.UNIQUEPATH]], IF( ISNUMBER( SEARCH("/",Table15[[#This Row],[CONCERN.UNIQUEPATH]])),SEARCH("/",Table15[[#This Row],[CONCERN.UNIQUEPATH]])+1,1),255))</f>
        <v>Maintainability/Modifiability/Design/Suite Member</v>
      </c>
    </row>
    <row r="355" spans="1:7">
      <c r="A355" t="s">
        <v>1969</v>
      </c>
      <c r="B355" t="s">
        <v>2246</v>
      </c>
      <c r="C355" s="31" t="s">
        <v>4142</v>
      </c>
      <c r="D355" s="26" t="s">
        <v>4143</v>
      </c>
      <c r="E355" s="45" t="str">
        <f xml:space="preserve"> CONCATENATE( MID(Table15[[#This Row],[PHASE]],2,3), MID(Table15[[#This Row],[DELIVERABLE]],2,4), TRIM(SUBSTITUTE(MID(Table15[[#This Row],[CONCERN.ID]],2,20),"","") )  )</f>
        <v>08.461.5341.02.0000</v>
      </c>
      <c r="F355" t="str">
        <f>TRIM(MID(Table15[[#This Row],[CONCERN.UNIQUEPATH]], IF( ISNUMBER( SEARCH("/",Table15[[#This Row],[CONCERN.UNIQUEPATH]])),SEARCH("/",Table15[[#This Row],[CONCERN.UNIQUEPATH]])+1,1),255))</f>
        <v>Maintainability/Modifiability/Design/Branding</v>
      </c>
    </row>
    <row r="356" spans="1:7">
      <c r="A356" t="s">
        <v>1969</v>
      </c>
      <c r="B356" t="s">
        <v>2246</v>
      </c>
      <c r="C356" s="32" t="s">
        <v>4144</v>
      </c>
      <c r="D356" s="27" t="s">
        <v>4145</v>
      </c>
      <c r="E356" t="str">
        <f xml:space="preserve"> CONCATENATE( MID(Table15[[#This Row],[PHASE]],2,3), MID(Table15[[#This Row],[DELIVERABLE]],2,4), TRIM(SUBSTITUTE(MID(Table15[[#This Row],[CONCERN.ID]],2,20),"","") )  )</f>
        <v>08.461.5341.03.0000</v>
      </c>
      <c r="F356" t="str">
        <f>TRIM(MID(Table15[[#This Row],[CONCERN.UNIQUEPATH]], IF( ISNUMBER( SEARCH("/",Table15[[#This Row],[CONCERN.UNIQUEPATH]])),SEARCH("/",Table15[[#This Row],[CONCERN.UNIQUEPATH]])+1,1),255))</f>
        <v>Maintainability/Modifiability/Design/Styling</v>
      </c>
    </row>
    <row r="357" spans="1:7">
      <c r="A357" t="s">
        <v>1969</v>
      </c>
      <c r="B357" t="s">
        <v>2246</v>
      </c>
      <c r="C357" s="31" t="s">
        <v>4146</v>
      </c>
      <c r="D357" s="26" t="s">
        <v>4147</v>
      </c>
      <c r="E357" s="45" t="str">
        <f xml:space="preserve"> CONCATENATE( MID(Table15[[#This Row],[PHASE]],2,3), MID(Table15[[#This Row],[DELIVERABLE]],2,4), TRIM(SUBSTITUTE(MID(Table15[[#This Row],[CONCERN.ID]],2,20),"","") )  )</f>
        <v>08.461.5341.04.0000</v>
      </c>
      <c r="F357" t="str">
        <f>TRIM(MID(Table15[[#This Row],[CONCERN.UNIQUEPATH]], IF( ISNUMBER( SEARCH("/",Table15[[#This Row],[CONCERN.UNIQUEPATH]])),SEARCH("/",Table15[[#This Row],[CONCERN.UNIQUEPATH]])+1,1),255))</f>
        <v>Maintainability/Modifiability/Design/Organisation Integration</v>
      </c>
    </row>
    <row r="358" spans="1:7">
      <c r="A358" t="s">
        <v>1969</v>
      </c>
      <c r="B358" t="s">
        <v>2246</v>
      </c>
      <c r="C358" s="35" t="s">
        <v>4148</v>
      </c>
      <c r="D358" s="27" t="s">
        <v>4149</v>
      </c>
      <c r="E358" t="str">
        <f xml:space="preserve"> CONCATENATE( MID(Table15[[#This Row],[PHASE]],2,3), MID(Table15[[#This Row],[DELIVERABLE]],2,4), TRIM(SUBSTITUTE(MID(Table15[[#This Row],[CONCERN.ID]],2,20),"","") )  )</f>
        <v>08.461.5341.04.1000</v>
      </c>
      <c r="F358" t="str">
        <f>TRIM(MID(Table15[[#This Row],[CONCERN.UNIQUEPATH]], IF( ISNUMBER( SEARCH("/",Table15[[#This Row],[CONCERN.UNIQUEPATH]])),SEARCH("/",Table15[[#This Row],[CONCERN.UNIQUEPATH]])+1,1),255))</f>
        <v>Maintainability/Modifiability/Design/Organisation Integration/IdP</v>
      </c>
    </row>
    <row r="359" spans="1:7">
      <c r="A359" t="s">
        <v>1969</v>
      </c>
      <c r="B359" t="s">
        <v>2246</v>
      </c>
      <c r="C359" s="34" t="s">
        <v>4150</v>
      </c>
      <c r="D359" s="26" t="s">
        <v>4151</v>
      </c>
      <c r="E359" s="45" t="str">
        <f xml:space="preserve"> CONCATENATE( MID(Table15[[#This Row],[PHASE]],2,3), MID(Table15[[#This Row],[DELIVERABLE]],2,4), TRIM(SUBSTITUTE(MID(Table15[[#This Row],[CONCERN.ID]],2,20),"","") )  )</f>
        <v>08.461.5341.04.2000</v>
      </c>
      <c r="F359" t="str">
        <f>TRIM(MID(Table15[[#This Row],[CONCERN.UNIQUEPATH]], IF( ISNUMBER( SEARCH("/",Table15[[#This Row],[CONCERN.UNIQUEPATH]])),SEARCH("/",Table15[[#This Row],[CONCERN.UNIQUEPATH]])+1,1),255))</f>
        <v>Maintainability/Modifiability/Design/Organisation Integration/Directory</v>
      </c>
    </row>
    <row r="360" spans="1:7">
      <c r="A360" t="s">
        <v>1969</v>
      </c>
      <c r="B360" t="s">
        <v>2246</v>
      </c>
      <c r="C360" s="35" t="s">
        <v>4152</v>
      </c>
      <c r="D360" s="27" t="s">
        <v>4153</v>
      </c>
      <c r="E360" t="str">
        <f xml:space="preserve"> CONCATENATE( MID(Table15[[#This Row],[PHASE]],2,3), MID(Table15[[#This Row],[DELIVERABLE]],2,4), TRIM(SUBSTITUTE(MID(Table15[[#This Row],[CONCERN.ID]],2,20),"","") )  )</f>
        <v>08.461.5341.04.3000</v>
      </c>
      <c r="F360" t="str">
        <f>TRIM(MID(Table15[[#This Row],[CONCERN.UNIQUEPATH]], IF( ISNUMBER( SEARCH("/",Table15[[#This Row],[CONCERN.UNIQUEPATH]])),SEARCH("/",Table15[[#This Row],[CONCERN.UNIQUEPATH]])+1,1),255))</f>
        <v>Maintainability/Modifiability/Design/Organisation Integration/SMTP</v>
      </c>
    </row>
    <row r="361" spans="1:7">
      <c r="A361" t="s">
        <v>1969</v>
      </c>
      <c r="B361" t="s">
        <v>2246</v>
      </c>
      <c r="C361" s="31" t="s">
        <v>4154</v>
      </c>
      <c r="D361" s="26" t="s">
        <v>4155</v>
      </c>
      <c r="E361" s="45" t="str">
        <f xml:space="preserve"> CONCATENATE( MID(Table15[[#This Row],[PHASE]],2,3), MID(Table15[[#This Row],[DELIVERABLE]],2,4), TRIM(SUBSTITUTE(MID(Table15[[#This Row],[CONCERN.ID]],2,20),"","") )  )</f>
        <v>08.461.5341.05.0000</v>
      </c>
      <c r="F361" t="str">
        <f>TRIM(MID(Table15[[#This Row],[CONCERN.UNIQUEPATH]], IF( ISNUMBER( SEARCH("/",Table15[[#This Row],[CONCERN.UNIQUEPATH]])),SEARCH("/",Table15[[#This Row],[CONCERN.UNIQUEPATH]])+1,1),255))</f>
        <v>Maintainability/Modifiability/Design/Configurability</v>
      </c>
    </row>
    <row r="362" spans="1:7">
      <c r="A362" t="s">
        <v>1969</v>
      </c>
      <c r="B362" t="s">
        <v>2246</v>
      </c>
      <c r="C362" s="32" t="s">
        <v>4156</v>
      </c>
      <c r="D362" s="27" t="s">
        <v>4157</v>
      </c>
      <c r="E362" t="str">
        <f xml:space="preserve"> CONCATENATE( MID(Table15[[#This Row],[PHASE]],2,3), MID(Table15[[#This Row],[DELIVERABLE]],2,4), TRIM(SUBSTITUTE(MID(Table15[[#This Row],[CONCERN.ID]],2,20),"","") )  )</f>
        <v>08.461.5341.06.0000</v>
      </c>
      <c r="F362" t="str">
        <f>TRIM(MID(Table15[[#This Row],[CONCERN.UNIQUEPATH]], IF( ISNUMBER( SEARCH("/",Table15[[#This Row],[CONCERN.UNIQUEPATH]])),SEARCH("/",Table15[[#This Row],[CONCERN.UNIQUEPATH]])+1,1),255))</f>
        <v>Maintainability/Modifiability/Design/NoCode</v>
      </c>
    </row>
    <row r="363" spans="1:7">
      <c r="A363" t="s">
        <v>1969</v>
      </c>
      <c r="B363" t="s">
        <v>2246</v>
      </c>
      <c r="C363" s="31" t="s">
        <v>4158</v>
      </c>
      <c r="D363" s="26" t="s">
        <v>4159</v>
      </c>
      <c r="E363" s="45" t="str">
        <f xml:space="preserve"> CONCATENATE( MID(Table15[[#This Row],[PHASE]],2,3), MID(Table15[[#This Row],[DELIVERABLE]],2,4), TRIM(SUBSTITUTE(MID(Table15[[#This Row],[CONCERN.ID]],2,20),"","") )  )</f>
        <v>08.461.5341.99.0000</v>
      </c>
      <c r="F363" t="str">
        <f>TRIM(MID(Table15[[#This Row],[CONCERN.UNIQUEPATH]], IF( ISNUMBER( SEARCH("/",Table15[[#This Row],[CONCERN.UNIQUEPATH]])),SEARCH("/",Table15[[#This Row],[CONCERN.UNIQUEPATH]])+1,1),255))</f>
        <v>Maintainability/Modifiability/Design/Custom</v>
      </c>
    </row>
    <row r="364" spans="1:7">
      <c r="A364" t="s">
        <v>1969</v>
      </c>
      <c r="B364" t="s">
        <v>2246</v>
      </c>
      <c r="C364" s="33" t="s">
        <v>4160</v>
      </c>
      <c r="D364" s="27" t="s">
        <v>4161</v>
      </c>
      <c r="E364" t="str">
        <f xml:space="preserve"> CONCATENATE( MID(Table15[[#This Row],[PHASE]],2,3), MID(Table15[[#This Row],[DELIVERABLE]],2,4), TRIM(SUBSTITUTE(MID(Table15[[#This Row],[CONCERN.ID]],2,20),"","") )  )</f>
        <v>08.461.5341.99.1000</v>
      </c>
      <c r="F364" t="str">
        <f>TRIM(MID(Table15[[#This Row],[CONCERN.UNIQUEPATH]], IF( ISNUMBER( SEARCH("/",Table15[[#This Row],[CONCERN.UNIQUEPATH]])),SEARCH("/",Table15[[#This Row],[CONCERN.UNIQUEPATH]])+1,1),255))</f>
        <v>Maintainability/Modifiability/Design/Custom/Patterns</v>
      </c>
    </row>
    <row r="365" spans="1:7">
      <c r="A365" t="s">
        <v>1969</v>
      </c>
      <c r="B365" t="s">
        <v>2246</v>
      </c>
      <c r="C365" s="34" t="s">
        <v>4162</v>
      </c>
      <c r="D365" s="26" t="s">
        <v>4163</v>
      </c>
      <c r="E365" s="45" t="str">
        <f xml:space="preserve"> CONCATENATE( MID(Table15[[#This Row],[PHASE]],2,3), MID(Table15[[#This Row],[DELIVERABLE]],2,4), TRIM(SUBSTITUTE(MID(Table15[[#This Row],[CONCERN.ID]],2,20),"","") )  )</f>
        <v>08.461.5341.99.1200</v>
      </c>
      <c r="F365" t="str">
        <f>TRIM(MID(Table15[[#This Row],[CONCERN.UNIQUEPATH]], IF( ISNUMBER( SEARCH("/",Table15[[#This Row],[CONCERN.UNIQUEPATH]])),SEARCH("/",Table15[[#This Row],[CONCERN.UNIQUEPATH]])+1,1),255))</f>
        <v>Maintainability/Modifiability/Design/Custom/Patterns/DDD</v>
      </c>
    </row>
    <row r="366" spans="1:7">
      <c r="A366" t="s">
        <v>1969</v>
      </c>
      <c r="B366" t="s">
        <v>2246</v>
      </c>
      <c r="C366" s="35" t="s">
        <v>4164</v>
      </c>
      <c r="D366" s="27" t="s">
        <v>4165</v>
      </c>
      <c r="E366" t="str">
        <f xml:space="preserve"> CONCATENATE( MID(Table15[[#This Row],[PHASE]],2,3), MID(Table15[[#This Row],[DELIVERABLE]],2,4), TRIM(SUBSTITUTE(MID(Table15[[#This Row],[CONCERN.ID]],2,20),"","") )  )</f>
        <v>08.461.5341.99.1300</v>
      </c>
      <c r="F366" t="str">
        <f>TRIM(MID(Table15[[#This Row],[CONCERN.UNIQUEPATH]], IF( ISNUMBER( SEARCH("/",Table15[[#This Row],[CONCERN.UNIQUEPATH]])),SEARCH("/",Table15[[#This Row],[CONCERN.UNIQUEPATH]])+1,1),255))</f>
        <v>Maintainability/Modifiability/Design/Custom/Patterns/Stateless</v>
      </c>
    </row>
    <row r="367" spans="1:7">
      <c r="A367" t="s">
        <v>1969</v>
      </c>
      <c r="B367" t="s">
        <v>2246</v>
      </c>
      <c r="C367" s="34" t="s">
        <v>4166</v>
      </c>
      <c r="D367" s="26" t="s">
        <v>4167</v>
      </c>
      <c r="E367" s="45" t="str">
        <f xml:space="preserve"> CONCATENATE( MID(Table15[[#This Row],[PHASE]],2,3), MID(Table15[[#This Row],[DELIVERABLE]],2,4), TRIM(SUBSTITUTE(MID(Table15[[#This Row],[CONCERN.ID]],2,20),"","") )  )</f>
        <v>08.461.5341.99.1400</v>
      </c>
      <c r="F367" t="str">
        <f>TRIM(MID(Table15[[#This Row],[CONCERN.UNIQUEPATH]], IF( ISNUMBER( SEARCH("/",Table15[[#This Row],[CONCERN.UNIQUEPATH]])),SEARCH("/",Table15[[#This Row],[CONCERN.UNIQUEPATH]])+1,1),255))</f>
        <v>Maintainability/Modifiability/Design/Custom/Patterns/Centralised Logic (Out of Controllers)</v>
      </c>
    </row>
    <row r="368" spans="1:7">
      <c r="A368" t="s">
        <v>1969</v>
      </c>
      <c r="B368" t="s">
        <v>2246</v>
      </c>
      <c r="C368" s="35" t="s">
        <v>4168</v>
      </c>
      <c r="D368" s="27" t="s">
        <v>4169</v>
      </c>
      <c r="E368" t="str">
        <f xml:space="preserve"> CONCATENATE( MID(Table15[[#This Row],[PHASE]],2,3), MID(Table15[[#This Row],[DELIVERABLE]],2,4), TRIM(SUBSTITUTE(MID(Table15[[#This Row],[CONCERN.ID]],2,20),"","") )  )</f>
        <v>08.461.5341.99.1500</v>
      </c>
      <c r="F368" t="str">
        <f>TRIM(MID(Table15[[#This Row],[CONCERN.UNIQUEPATH]], IF( ISNUMBER( SEARCH("/",Table15[[#This Row],[CONCERN.UNIQUEPATH]])),SEARCH("/",Table15[[#This Row],[CONCERN.UNIQUEPATH]])+1,1),255))</f>
        <v>Maintainability/Modifiability/Design/Custom/Patterns/Centralised Logic (Out of Storage)</v>
      </c>
    </row>
    <row r="369" spans="1:6">
      <c r="A369" t="s">
        <v>1969</v>
      </c>
      <c r="B369" t="s">
        <v>2246</v>
      </c>
      <c r="C369" s="34" t="s">
        <v>4170</v>
      </c>
      <c r="D369" s="26" t="s">
        <v>4171</v>
      </c>
      <c r="E369" s="45" t="str">
        <f xml:space="preserve"> CONCATENATE( MID(Table15[[#This Row],[PHASE]],2,3), MID(Table15[[#This Row],[DELIVERABLE]],2,4), TRIM(SUBSTITUTE(MID(Table15[[#This Row],[CONCERN.ID]],2,20),"","") )  )</f>
        <v>08.461.5341.99.1600</v>
      </c>
      <c r="F369" t="str">
        <f>TRIM(MID(Table15[[#This Row],[CONCERN.UNIQUEPATH]], IF( ISNUMBER( SEARCH("/",Table15[[#This Row],[CONCERN.UNIQUEPATH]])),SEARCH("/",Table15[[#This Row],[CONCERN.UNIQUEPATH]])+1,1),255))</f>
        <v>Maintainability/Modifiability/Design/Custom/Patterns/API-First Client-Server Separation</v>
      </c>
    </row>
    <row r="370" spans="1:6">
      <c r="A370" t="s">
        <v>1969</v>
      </c>
      <c r="B370" t="s">
        <v>2246</v>
      </c>
      <c r="C370" s="35" t="s">
        <v>4172</v>
      </c>
      <c r="D370" s="27" t="s">
        <v>4173</v>
      </c>
      <c r="E370" t="str">
        <f xml:space="preserve"> CONCATENATE( MID(Table15[[#This Row],[PHASE]],2,3), MID(Table15[[#This Row],[DELIVERABLE]],2,4), TRIM(SUBSTITUTE(MID(Table15[[#This Row],[CONCERN.ID]],2,20),"","") )  )</f>
        <v>08.461.5341.99.1700</v>
      </c>
      <c r="F370" t="str">
        <f>TRIM(MID(Table15[[#This Row],[CONCERN.UNIQUEPATH]], IF( ISNUMBER( SEARCH("/",Table15[[#This Row],[CONCERN.UNIQUEPATH]])),SEARCH("/",Table15[[#This Row],[CONCERN.UNIQUEPATH]])+1,1),255))</f>
        <v>Maintainability/Modifiability/Design/Custom/Patterns/Design for Operation versus Development</v>
      </c>
    </row>
    <row r="371" spans="1:6">
      <c r="A371" t="s">
        <v>1969</v>
      </c>
      <c r="B371" t="s">
        <v>2246</v>
      </c>
      <c r="C371" s="30" t="s">
        <v>4174</v>
      </c>
      <c r="D371" s="26" t="s">
        <v>4175</v>
      </c>
      <c r="E371" s="45" t="str">
        <f xml:space="preserve"> CONCATENATE( MID(Table15[[#This Row],[PHASE]],2,3), MID(Table15[[#This Row],[DELIVERABLE]],2,4), TRIM(SUBSTITUTE(MID(Table15[[#This Row],[CONCERN.ID]],2,20),"","") )  )</f>
        <v>08.461.5342.00.0000</v>
      </c>
      <c r="F371" t="str">
        <f>TRIM(MID(Table15[[#This Row],[CONCERN.UNIQUEPATH]], IF( ISNUMBER( SEARCH("/",Table15[[#This Row],[CONCERN.UNIQUEPATH]])),SEARCH("/",Table15[[#This Row],[CONCERN.UNIQUEPATH]])+1,1),255))</f>
        <v>Maintainability/Modifiability/Development</v>
      </c>
    </row>
    <row r="372" spans="1:6">
      <c r="A372" t="s">
        <v>1969</v>
      </c>
      <c r="B372" t="s">
        <v>2246</v>
      </c>
      <c r="C372" s="32" t="s">
        <v>4176</v>
      </c>
      <c r="D372" s="27" t="s">
        <v>4177</v>
      </c>
      <c r="E372" t="str">
        <f xml:space="preserve"> CONCATENATE( MID(Table15[[#This Row],[PHASE]],2,3), MID(Table15[[#This Row],[DELIVERABLE]],2,4), TRIM(SUBSTITUTE(MID(Table15[[#This Row],[CONCERN.ID]],2,20),"","") )  )</f>
        <v>08.461.5342.01.0000</v>
      </c>
      <c r="F372" t="str">
        <f>TRIM(MID(Table15[[#This Row],[CONCERN.UNIQUEPATH]], IF( ISNUMBER( SEARCH("/",Table15[[#This Row],[CONCERN.UNIQUEPATH]])),SEARCH("/",Table15[[#This Row],[CONCERN.UNIQUEPATH]])+1,1),255))</f>
        <v>Maintainability/Modifiability/Development/AsAService</v>
      </c>
    </row>
    <row r="373" spans="1:6">
      <c r="A373" t="s">
        <v>1969</v>
      </c>
      <c r="B373" t="s">
        <v>2246</v>
      </c>
      <c r="C373" s="31" t="s">
        <v>4178</v>
      </c>
      <c r="D373" s="26" t="s">
        <v>4179</v>
      </c>
      <c r="E373" s="45" t="str">
        <f xml:space="preserve"> CONCATENATE( MID(Table15[[#This Row],[PHASE]],2,3), MID(Table15[[#This Row],[DELIVERABLE]],2,4), TRIM(SUBSTITUTE(MID(Table15[[#This Row],[CONCERN.ID]],2,20),"","") )  )</f>
        <v>08.461.5342.99.0000</v>
      </c>
      <c r="F373" t="str">
        <f>TRIM(MID(Table15[[#This Row],[CONCERN.UNIQUEPATH]], IF( ISNUMBER( SEARCH("/",Table15[[#This Row],[CONCERN.UNIQUEPATH]])),SEARCH("/",Table15[[#This Row],[CONCERN.UNIQUEPATH]])+1,1),255))</f>
        <v>Maintainability/Modifiability/Development/Custom</v>
      </c>
    </row>
    <row r="374" spans="1:6">
      <c r="A374" t="s">
        <v>1969</v>
      </c>
      <c r="B374" t="s">
        <v>2246</v>
      </c>
      <c r="C374" s="33" t="s">
        <v>4180</v>
      </c>
      <c r="D374" s="27" t="s">
        <v>4181</v>
      </c>
      <c r="E374" t="str">
        <f xml:space="preserve"> CONCATENATE( MID(Table15[[#This Row],[PHASE]],2,3), MID(Table15[[#This Row],[DELIVERABLE]],2,4), TRIM(SUBSTITUTE(MID(Table15[[#This Row],[CONCERN.ID]],2,20),"","") )  )</f>
        <v>08.461.5342.99.1000</v>
      </c>
      <c r="F374" t="str">
        <f>TRIM(MID(Table15[[#This Row],[CONCERN.UNIQUEPATH]], IF( ISNUMBER( SEARCH("/",Table15[[#This Row],[CONCERN.UNIQUEPATH]])),SEARCH("/",Table15[[#This Row],[CONCERN.UNIQUEPATH]])+1,1),255))</f>
        <v>Maintainability/Modifiability/Development/Custom/General</v>
      </c>
    </row>
    <row r="375" spans="1:6">
      <c r="A375" t="s">
        <v>1969</v>
      </c>
      <c r="B375" t="s">
        <v>2246</v>
      </c>
      <c r="C375" s="34" t="s">
        <v>4182</v>
      </c>
      <c r="D375" s="26" t="s">
        <v>4183</v>
      </c>
      <c r="E375" s="45" t="str">
        <f xml:space="preserve"> CONCATENATE( MID(Table15[[#This Row],[PHASE]],2,3), MID(Table15[[#This Row],[DELIVERABLE]],2,4), TRIM(SUBSTITUTE(MID(Table15[[#This Row],[CONCERN.ID]],2,20),"","") )  )</f>
        <v>08.461.5342.99.1100</v>
      </c>
      <c r="F375" t="str">
        <f>TRIM(MID(Table15[[#This Row],[CONCERN.UNIQUEPATH]], IF( ISNUMBER( SEARCH("/",Table15[[#This Row],[CONCERN.UNIQUEPATH]])),SEARCH("/",Table15[[#This Row],[CONCERN.UNIQUEPATH]])+1,1),255))</f>
        <v>Maintainability/Modifiability/Development/Custom/General/Patterns</v>
      </c>
    </row>
    <row r="376" spans="1:6">
      <c r="A376" t="s">
        <v>1969</v>
      </c>
      <c r="B376" t="s">
        <v>2246</v>
      </c>
      <c r="C376" s="35" t="s">
        <v>4184</v>
      </c>
      <c r="D376" s="27" t="s">
        <v>4185</v>
      </c>
      <c r="E376" t="str">
        <f xml:space="preserve"> CONCATENATE( MID(Table15[[#This Row],[PHASE]],2,3), MID(Table15[[#This Row],[DELIVERABLE]],2,4), TRIM(SUBSTITUTE(MID(Table15[[#This Row],[CONCERN.ID]],2,20),"","") )  )</f>
        <v>08.461.5342.99.1110</v>
      </c>
      <c r="F376" t="str">
        <f>TRIM(MID(Table15[[#This Row],[CONCERN.UNIQUEPATH]], IF( ISNUMBER( SEARCH("/",Table15[[#This Row],[CONCERN.UNIQUEPATH]])),SEARCH("/",Table15[[#This Row],[CONCERN.UNIQUEPATH]])+1,1),255))</f>
        <v>Maintainability/Modifiability/Development/Custom/General/Patterns/Comparisons</v>
      </c>
    </row>
    <row r="377" spans="1:6">
      <c r="A377" t="s">
        <v>1969</v>
      </c>
      <c r="B377" t="s">
        <v>2246</v>
      </c>
      <c r="C377" s="34" t="s">
        <v>4186</v>
      </c>
      <c r="D377" s="26" t="s">
        <v>4187</v>
      </c>
      <c r="E377" s="45" t="str">
        <f xml:space="preserve"> CONCATENATE( MID(Table15[[#This Row],[PHASE]],2,3), MID(Table15[[#This Row],[DELIVERABLE]],2,4), TRIM(SUBSTITUTE(MID(Table15[[#This Row],[CONCERN.ID]],2,20),"","") )  )</f>
        <v>08.461.5342.99.1111</v>
      </c>
      <c r="F377" t="str">
        <f>TRIM(MID(Table15[[#This Row],[CONCERN.UNIQUEPATH]], IF( ISNUMBER( SEARCH("/",Table15[[#This Row],[CONCERN.UNIQUEPATH]])),SEARCH("/",Table15[[#This Row],[CONCERN.UNIQUEPATH]])+1,1),255))</f>
        <v>Maintainability/Modifiability/Development/Custom/General/Patterns/Comparisons/MVS v MVP</v>
      </c>
    </row>
    <row r="378" spans="1:6">
      <c r="A378" t="s">
        <v>1969</v>
      </c>
      <c r="B378" t="s">
        <v>2246</v>
      </c>
      <c r="C378" s="35" t="s">
        <v>4188</v>
      </c>
      <c r="D378" s="27" t="s">
        <v>4189</v>
      </c>
      <c r="E378" t="str">
        <f xml:space="preserve"> CONCATENATE( MID(Table15[[#This Row],[PHASE]],2,3), MID(Table15[[#This Row],[DELIVERABLE]],2,4), TRIM(SUBSTITUTE(MID(Table15[[#This Row],[CONCERN.ID]],2,20),"","") )  )</f>
        <v>08.461.5342.99.1112</v>
      </c>
      <c r="F378" t="str">
        <f>TRIM(MID(Table15[[#This Row],[CONCERN.UNIQUEPATH]], IF( ISNUMBER( SEARCH("/",Table15[[#This Row],[CONCERN.UNIQUEPATH]])),SEARCH("/",Table15[[#This Row],[CONCERN.UNIQUEPATH]])+1,1),255))</f>
        <v>Maintainability/Modifiability/Development/Custom/General/Patterns/Comparisions/YEGNI v YAGNI</v>
      </c>
    </row>
    <row r="379" spans="1:6">
      <c r="A379" t="s">
        <v>1969</v>
      </c>
      <c r="B379" t="s">
        <v>2246</v>
      </c>
      <c r="C379" s="34" t="s">
        <v>4190</v>
      </c>
      <c r="D379" s="26" t="s">
        <v>4191</v>
      </c>
      <c r="E379" s="45" t="str">
        <f xml:space="preserve"> CONCATENATE( MID(Table15[[#This Row],[PHASE]],2,3), MID(Table15[[#This Row],[DELIVERABLE]],2,4), TRIM(SUBSTITUTE(MID(Table15[[#This Row],[CONCERN.ID]],2,20),"","") )  )</f>
        <v>08.461.5342.99.1113</v>
      </c>
      <c r="F379" t="str">
        <f>TRIM(MID(Table15[[#This Row],[CONCERN.UNIQUEPATH]], IF( ISNUMBER( SEARCH("/",Table15[[#This Row],[CONCERN.UNIQUEPATH]])),SEARCH("/",Table15[[#This Row],[CONCERN.UNIQUEPATH]])+1,1),255))</f>
        <v>Maintainability/Modifiability/Development/Custom/General/Patterns/Comparisions/CRUS v CRUD</v>
      </c>
    </row>
    <row r="380" spans="1:6">
      <c r="A380" t="s">
        <v>1969</v>
      </c>
      <c r="B380" t="s">
        <v>2246</v>
      </c>
      <c r="C380" s="35" t="s">
        <v>4192</v>
      </c>
      <c r="D380" s="27" t="s">
        <v>4193</v>
      </c>
      <c r="E380" t="str">
        <f xml:space="preserve"> CONCATENATE( MID(Table15[[#This Row],[PHASE]],2,3), MID(Table15[[#This Row],[DELIVERABLE]],2,4), TRIM(SUBSTITUTE(MID(Table15[[#This Row],[CONCERN.ID]],2,20),"","") )  )</f>
        <v>08.461.5342.99.1114</v>
      </c>
      <c r="F380" t="str">
        <f>TRIM(MID(Table15[[#This Row],[CONCERN.UNIQUEPATH]], IF( ISNUMBER( SEARCH("/",Table15[[#This Row],[CONCERN.UNIQUEPATH]])),SEARCH("/",Table15[[#This Row],[CONCERN.UNIQUEPATH]])+1,1),255))</f>
        <v>Maintainability/Modifiability/Development/Custom/General/Patterns/Comparisions/ORM v SQL</v>
      </c>
    </row>
    <row r="381" spans="1:6">
      <c r="A381" t="s">
        <v>1969</v>
      </c>
      <c r="B381" t="s">
        <v>2246</v>
      </c>
      <c r="C381" s="34" t="s">
        <v>4194</v>
      </c>
      <c r="D381" s="26" t="s">
        <v>4195</v>
      </c>
      <c r="E381" s="45" t="str">
        <f xml:space="preserve"> CONCATENATE( MID(Table15[[#This Row],[PHASE]],2,3), MID(Table15[[#This Row],[DELIVERABLE]],2,4), TRIM(SUBSTITUTE(MID(Table15[[#This Row],[CONCERN.ID]],2,20),"","") )  )</f>
        <v>08.461.5342.99.1115</v>
      </c>
      <c r="F381" t="str">
        <f>TRIM(MID(Table15[[#This Row],[CONCERN.UNIQUEPATH]], IF( ISNUMBER( SEARCH("/",Table15[[#This Row],[CONCERN.UNIQUEPATH]])),SEARCH("/",Table15[[#This Row],[CONCERN.UNIQUEPATH]])+1,1),255))</f>
        <v>Maintainability/Modifiability/Development/Custom/General/Patterns/Comparisions/Messages v Parameters</v>
      </c>
    </row>
    <row r="382" spans="1:6">
      <c r="A382" t="s">
        <v>1969</v>
      </c>
      <c r="B382" t="s">
        <v>2246</v>
      </c>
      <c r="C382" s="35" t="s">
        <v>4196</v>
      </c>
      <c r="D382" s="27" t="s">
        <v>4197</v>
      </c>
      <c r="E382" t="str">
        <f xml:space="preserve"> CONCATENATE( MID(Table15[[#This Row],[PHASE]],2,3), MID(Table15[[#This Row],[DELIVERABLE]],2,4), TRIM(SUBSTITUTE(MID(Table15[[#This Row],[CONCERN.ID]],2,20),"","") )  )</f>
        <v>08.461.5342.99.1116</v>
      </c>
      <c r="F382" t="str">
        <f>TRIM(MID(Table15[[#This Row],[CONCERN.UNIQUEPATH]], IF( ISNUMBER( SEARCH("/",Table15[[#This Row],[CONCERN.UNIQUEPATH]])),SEARCH("/",Table15[[#This Row],[CONCERN.UNIQUEPATH]])+1,1),255))</f>
        <v>Maintainability/Modifiability/Development/Custom/General/Patterns/Comparisions/UUID v INT Keys</v>
      </c>
    </row>
    <row r="383" spans="1:6">
      <c r="A383" t="s">
        <v>1969</v>
      </c>
      <c r="B383" t="s">
        <v>2246</v>
      </c>
      <c r="C383" s="34" t="s">
        <v>4198</v>
      </c>
      <c r="D383" s="26" t="s">
        <v>4199</v>
      </c>
      <c r="E383" s="45" t="str">
        <f xml:space="preserve"> CONCATENATE( MID(Table15[[#This Row],[PHASE]],2,3), MID(Table15[[#This Row],[DELIVERABLE]],2,4), TRIM(SUBSTITUTE(MID(Table15[[#This Row],[CONCERN.ID]],2,20),"","") )  )</f>
        <v>08.461.5342.99.1117</v>
      </c>
      <c r="F383" t="str">
        <f>TRIM(MID(Table15[[#This Row],[CONCERN.UNIQUEPATH]], IF( ISNUMBER( SEARCH("/",Table15[[#This Row],[CONCERN.UNIQUEPATH]])),SEARCH("/",Table15[[#This Row],[CONCERN.UNIQUEPATH]])+1,1),255))</f>
        <v>Maintainability/Modifiability/Development/Custom/General/Patterns/Comparisions/System v Natural Cluster Keys</v>
      </c>
    </row>
    <row r="384" spans="1:6">
      <c r="A384" t="s">
        <v>1969</v>
      </c>
      <c r="B384" t="s">
        <v>2246</v>
      </c>
      <c r="C384" s="35" t="s">
        <v>4200</v>
      </c>
      <c r="D384" s="27" t="s">
        <v>4201</v>
      </c>
      <c r="E384" t="str">
        <f xml:space="preserve"> CONCATENATE( MID(Table15[[#This Row],[PHASE]],2,3), MID(Table15[[#This Row],[DELIVERABLE]],2,4), TRIM(SUBSTITUTE(MID(Table15[[#This Row],[CONCERN.ID]],2,20),"","") )  )</f>
        <v>08.461.5342.99.1120</v>
      </c>
      <c r="F384" t="str">
        <f>TRIM(MID(Table15[[#This Row],[CONCERN.UNIQUEPATH]], IF( ISNUMBER( SEARCH("/",Table15[[#This Row],[CONCERN.UNIQUEPATH]])),SEARCH("/",Table15[[#This Row],[CONCERN.UNIQUEPATH]])+1,1),255))</f>
        <v>Maintainability/Modifiability/Development/Custom/General/Patterns/QA</v>
      </c>
    </row>
    <row r="385" spans="1:6">
      <c r="A385" t="s">
        <v>1969</v>
      </c>
      <c r="B385" t="s">
        <v>2246</v>
      </c>
      <c r="C385" s="34" t="s">
        <v>4202</v>
      </c>
      <c r="D385" s="26" t="s">
        <v>4203</v>
      </c>
      <c r="E385" s="45" t="str">
        <f xml:space="preserve"> CONCATENATE( MID(Table15[[#This Row],[PHASE]],2,3), MID(Table15[[#This Row],[DELIVERABLE]],2,4), TRIM(SUBSTITUTE(MID(Table15[[#This Row],[CONCERN.ID]],2,20),"","") )  )</f>
        <v>08.461.5342.99.1121</v>
      </c>
      <c r="F385" t="str">
        <f>TRIM(MID(Table15[[#This Row],[CONCERN.UNIQUEPATH]], IF( ISNUMBER( SEARCH("/",Table15[[#This Row],[CONCERN.UNIQUEPATH]])),SEARCH("/",Table15[[#This Row],[CONCERN.UNIQUEPATH]])+1,1),255))</f>
        <v>Maintainability/Modifiability/Development/Custom/General/Patterns/QA/TDD</v>
      </c>
    </row>
    <row r="386" spans="1:6">
      <c r="A386" t="s">
        <v>1969</v>
      </c>
      <c r="B386" t="s">
        <v>2246</v>
      </c>
      <c r="C386" s="35" t="s">
        <v>4204</v>
      </c>
      <c r="D386" s="27" t="s">
        <v>4205</v>
      </c>
      <c r="E386" t="str">
        <f xml:space="preserve"> CONCATENATE( MID(Table15[[#This Row],[PHASE]],2,3), MID(Table15[[#This Row],[DELIVERABLE]],2,4), TRIM(SUBSTITUTE(MID(Table15[[#This Row],[CONCERN.ID]],2,20),"","") )  )</f>
        <v>08.461.5342.99.1122</v>
      </c>
      <c r="F386" t="str">
        <f>TRIM(MID(Table15[[#This Row],[CONCERN.UNIQUEPATH]], IF( ISNUMBER( SEARCH("/",Table15[[#This Row],[CONCERN.UNIQUEPATH]])),SEARCH("/",Table15[[#This Row],[CONCERN.UNIQUEPATH]])+1,1),255))</f>
        <v>Maintainability/Modifiability/Development/Custom/General/Patterns/QA/AAA</v>
      </c>
    </row>
    <row r="387" spans="1:6">
      <c r="A387" t="s">
        <v>1969</v>
      </c>
      <c r="B387" t="s">
        <v>2246</v>
      </c>
      <c r="C387" s="34" t="s">
        <v>4206</v>
      </c>
      <c r="D387" s="26" t="s">
        <v>4207</v>
      </c>
      <c r="E387" s="45" t="str">
        <f xml:space="preserve"> CONCATENATE( MID(Table15[[#This Row],[PHASE]],2,3), MID(Table15[[#This Row],[DELIVERABLE]],2,4), TRIM(SUBSTITUTE(MID(Table15[[#This Row],[CONCERN.ID]],2,20),"","") )  )</f>
        <v>08.461.5342.99.1123</v>
      </c>
      <c r="F387" t="str">
        <f>TRIM(MID(Table15[[#This Row],[CONCERN.UNIQUEPATH]], IF( ISNUMBER( SEARCH("/",Table15[[#This Row],[CONCERN.UNIQUEPATH]])),SEARCH("/",Table15[[#This Row],[CONCERN.UNIQUEPATH]])+1,1),255))</f>
        <v>Maintainability/Modifiability/Development/Custom/General/Patterns/QA/GWT</v>
      </c>
    </row>
    <row r="388" spans="1:6">
      <c r="A388" t="s">
        <v>1969</v>
      </c>
      <c r="B388" t="s">
        <v>2246</v>
      </c>
      <c r="C388" s="35" t="s">
        <v>4208</v>
      </c>
      <c r="D388" s="27" t="s">
        <v>4209</v>
      </c>
      <c r="E388" t="str">
        <f xml:space="preserve"> CONCATENATE( MID(Table15[[#This Row],[PHASE]],2,3), MID(Table15[[#This Row],[DELIVERABLE]],2,4), TRIM(SUBSTITUTE(MID(Table15[[#This Row],[CONCERN.ID]],2,20),"","") )  )</f>
        <v>08.461.5342.99.1130</v>
      </c>
      <c r="F388" t="str">
        <f>TRIM(MID(Table15[[#This Row],[CONCERN.UNIQUEPATH]], IF( ISNUMBER( SEARCH("/",Table15[[#This Row],[CONCERN.UNIQUEPATH]])),SEARCH("/",Table15[[#This Row],[CONCERN.UNIQUEPATH]])+1,1),255))</f>
        <v>Maintainability/Modifiability/Development/Custom/General/Patterns/OO</v>
      </c>
    </row>
    <row r="389" spans="1:6">
      <c r="A389" t="s">
        <v>1969</v>
      </c>
      <c r="B389" t="s">
        <v>2246</v>
      </c>
      <c r="C389" s="34" t="s">
        <v>4210</v>
      </c>
      <c r="D389" s="26" t="s">
        <v>4211</v>
      </c>
      <c r="E389" s="45" t="str">
        <f xml:space="preserve"> CONCATENATE( MID(Table15[[#This Row],[PHASE]],2,3), MID(Table15[[#This Row],[DELIVERABLE]],2,4), TRIM(SUBSTITUTE(MID(Table15[[#This Row],[CONCERN.ID]],2,20),"","") )  )</f>
        <v>08.461.5342.99.1131</v>
      </c>
      <c r="F389" t="str">
        <f>TRIM(MID(Table15[[#This Row],[CONCERN.UNIQUEPATH]], IF( ISNUMBER( SEARCH("/",Table15[[#This Row],[CONCERN.UNIQUEPATH]])),SEARCH("/",Table15[[#This Row],[CONCERN.UNIQUEPATH]])+1,1),255))</f>
        <v>Maintainability/Modifiability/Development/Custom/General/Patterns/OO/SOLID</v>
      </c>
    </row>
    <row r="390" spans="1:6">
      <c r="A390" t="s">
        <v>1969</v>
      </c>
      <c r="B390" t="s">
        <v>2246</v>
      </c>
      <c r="C390" s="35" t="s">
        <v>4212</v>
      </c>
      <c r="D390" s="27" t="s">
        <v>4213</v>
      </c>
      <c r="E390" t="str">
        <f xml:space="preserve"> CONCATENATE( MID(Table15[[#This Row],[PHASE]],2,3), MID(Table15[[#This Row],[DELIVERABLE]],2,4), TRIM(SUBSTITUTE(MID(Table15[[#This Row],[CONCERN.ID]],2,20),"","") )  )</f>
        <v>08.461.5342.99.1132</v>
      </c>
      <c r="F390" t="str">
        <f>TRIM(MID(Table15[[#This Row],[CONCERN.UNIQUEPATH]], IF( ISNUMBER( SEARCH("/",Table15[[#This Row],[CONCERN.UNIQUEPATH]])),SEARCH("/",Table15[[#This Row],[CONCERN.UNIQUEPATH]])+1,1),255))</f>
        <v>Maintainability/Modifiability/Development/Custom/General/Patterns/OO/GRASP</v>
      </c>
    </row>
    <row r="391" spans="1:6">
      <c r="A391" t="s">
        <v>1969</v>
      </c>
      <c r="B391" t="s">
        <v>2246</v>
      </c>
      <c r="C391" s="36" t="s">
        <v>4214</v>
      </c>
      <c r="D391" s="26" t="s">
        <v>4215</v>
      </c>
      <c r="E391" s="45" t="str">
        <f xml:space="preserve"> CONCATENATE( MID(Table15[[#This Row],[PHASE]],2,3), MID(Table15[[#This Row],[DELIVERABLE]],2,4), TRIM(SUBSTITUTE(MID(Table15[[#This Row],[CONCERN.ID]],2,20),"","") )  )</f>
        <v>08.461.5342.99.2000</v>
      </c>
      <c r="F391" t="str">
        <f>TRIM(MID(Table15[[#This Row],[CONCERN.UNIQUEPATH]], IF( ISNUMBER( SEARCH("/",Table15[[#This Row],[CONCERN.UNIQUEPATH]])),SEARCH("/",Table15[[#This Row],[CONCERN.UNIQUEPATH]])+1,1),255))</f>
        <v>Maintainability/Modifiability/Development/Custom/Delivery</v>
      </c>
    </row>
    <row r="392" spans="1:6">
      <c r="A392" t="s">
        <v>1969</v>
      </c>
      <c r="B392" t="s">
        <v>2246</v>
      </c>
      <c r="C392" s="35" t="s">
        <v>4216</v>
      </c>
      <c r="D392" s="27" t="s">
        <v>4217</v>
      </c>
      <c r="E392" t="str">
        <f xml:space="preserve"> CONCATENATE( MID(Table15[[#This Row],[PHASE]],2,3), MID(Table15[[#This Row],[DELIVERABLE]],2,4), TRIM(SUBSTITUTE(MID(Table15[[#This Row],[CONCERN.ID]],2,20),"","") )  )</f>
        <v>08.461.5342.99.2100</v>
      </c>
      <c r="F392" t="str">
        <f>TRIM(MID(Table15[[#This Row],[CONCERN.UNIQUEPATH]], IF( ISNUMBER( SEARCH("/",Table15[[#This Row],[CONCERN.UNIQUEPATH]])),SEARCH("/",Table15[[#This Row],[CONCERN.UNIQUEPATH]])+1,1),255))</f>
        <v>Maintainability/Modifiability/Development/Custom/Delivery/By Automation</v>
      </c>
    </row>
    <row r="393" spans="1:6">
      <c r="A393" t="s">
        <v>1969</v>
      </c>
      <c r="B393" t="s">
        <v>2246</v>
      </c>
      <c r="C393" s="34" t="s">
        <v>4218</v>
      </c>
      <c r="D393" s="26" t="s">
        <v>4219</v>
      </c>
      <c r="E393" s="45" t="str">
        <f xml:space="preserve"> CONCATENATE( MID(Table15[[#This Row],[PHASE]],2,3), MID(Table15[[#This Row],[DELIVERABLE]],2,4), TRIM(SUBSTITUTE(MID(Table15[[#This Row],[CONCERN.ID]],2,20),"","") )  )</f>
        <v>08.461.5342.99.2200</v>
      </c>
      <c r="F393" t="str">
        <f>TRIM(MID(Table15[[#This Row],[CONCERN.UNIQUEPATH]], IF( ISNUMBER( SEARCH("/",Table15[[#This Row],[CONCERN.UNIQUEPATH]])),SEARCH("/",Table15[[#This Row],[CONCERN.UNIQUEPATH]])+1,1),255))</f>
        <v>Maintainability/Modifiability/Development/Custom/Delivery/IaC</v>
      </c>
    </row>
    <row r="394" spans="1:6">
      <c r="A394" t="s">
        <v>1969</v>
      </c>
      <c r="B394" t="s">
        <v>2246</v>
      </c>
      <c r="C394" s="35" t="s">
        <v>4220</v>
      </c>
      <c r="D394" s="27" t="s">
        <v>4221</v>
      </c>
      <c r="E394" t="str">
        <f xml:space="preserve"> CONCATENATE( MID(Table15[[#This Row],[PHASE]],2,3), MID(Table15[[#This Row],[DELIVERABLE]],2,4), TRIM(SUBSTITUTE(MID(Table15[[#This Row],[CONCERN.ID]],2,20),"","") )  )</f>
        <v>08.461.5342.99.2300</v>
      </c>
      <c r="F394" t="str">
        <f>TRIM(MID(Table15[[#This Row],[CONCERN.UNIQUEPATH]], IF( ISNUMBER( SEARCH("/",Table15[[#This Row],[CONCERN.UNIQUEPATH]])),SEARCH("/",Table15[[#This Row],[CONCERN.UNIQUEPATH]])+1,1),255))</f>
        <v>Maintainability/Modifiability/Development/Custom/Delivery/DBaC</v>
      </c>
    </row>
    <row r="395" spans="1:6">
      <c r="A395" t="s">
        <v>1969</v>
      </c>
      <c r="B395" t="s">
        <v>2246</v>
      </c>
      <c r="C395" s="34" t="s">
        <v>4222</v>
      </c>
      <c r="D395" s="26" t="s">
        <v>4223</v>
      </c>
      <c r="E395" s="45" t="str">
        <f xml:space="preserve"> CONCATENATE( MID(Table15[[#This Row],[PHASE]],2,3), MID(Table15[[#This Row],[DELIVERABLE]],2,4), TRIM(SUBSTITUTE(MID(Table15[[#This Row],[CONCERN.ID]],2,20),"","") )  )</f>
        <v>08.461.5342.99.2400</v>
      </c>
      <c r="F395" t="str">
        <f>TRIM(MID(Table15[[#This Row],[CONCERN.UNIQUEPATH]], IF( ISNUMBER( SEARCH("/",Table15[[#This Row],[CONCERN.UNIQUEPATH]])),SEARCH("/",Table15[[#This Row],[CONCERN.UNIQUEPATH]])+1,1),255))</f>
        <v>Maintainability/Modifiability/Development/Custom/Delivery/LaC</v>
      </c>
    </row>
    <row r="396" spans="1:6">
      <c r="A396" t="s">
        <v>1969</v>
      </c>
      <c r="B396" t="s">
        <v>2246</v>
      </c>
      <c r="C396" s="33" t="s">
        <v>4224</v>
      </c>
      <c r="D396" s="27" t="s">
        <v>4225</v>
      </c>
      <c r="E396" t="str">
        <f xml:space="preserve"> CONCATENATE( MID(Table15[[#This Row],[PHASE]],2,3), MID(Table15[[#This Row],[DELIVERABLE]],2,4), TRIM(SUBSTITUTE(MID(Table15[[#This Row],[CONCERN.ID]],2,20),"","") )  )</f>
        <v>08.461.5342.99.3000</v>
      </c>
      <c r="F396" t="str">
        <f>TRIM(MID(Table15[[#This Row],[CONCERN.UNIQUEPATH]], IF( ISNUMBER( SEARCH("/",Table15[[#This Row],[CONCERN.UNIQUEPATH]])),SEARCH("/",Table15[[#This Row],[CONCERN.UNIQUEPATH]])+1,1),255))</f>
        <v>Maintainability/Modifiability/Development/Custom/Server</v>
      </c>
    </row>
    <row r="397" spans="1:6">
      <c r="A397" t="s">
        <v>1969</v>
      </c>
      <c r="B397" t="s">
        <v>2246</v>
      </c>
      <c r="C397" s="34" t="s">
        <v>4226</v>
      </c>
      <c r="D397" s="26" t="s">
        <v>4227</v>
      </c>
      <c r="E397" s="45" t="str">
        <f xml:space="preserve"> CONCATENATE( MID(Table15[[#This Row],[PHASE]],2,3), MID(Table15[[#This Row],[DELIVERABLE]],2,4), TRIM(SUBSTITUTE(MID(Table15[[#This Row],[CONCERN.ID]],2,20),"","") )  )</f>
        <v>08.461.5342.99.3100</v>
      </c>
      <c r="F397" t="str">
        <f>TRIM(MID(Table15[[#This Row],[CONCERN.UNIQUEPATH]], IF( ISNUMBER( SEARCH("/",Table15[[#This Row],[CONCERN.UNIQUEPATH]])),SEARCH("/",Table15[[#This Row],[CONCERN.UNIQUEPATH]])+1,1),255))</f>
        <v>Maintainability/Modifiability/Development/Custom/Server/Host</v>
      </c>
    </row>
    <row r="398" spans="1:6">
      <c r="A398" t="s">
        <v>1969</v>
      </c>
      <c r="B398" t="s">
        <v>2246</v>
      </c>
      <c r="C398" s="35" t="s">
        <v>4228</v>
      </c>
      <c r="D398" s="27" t="s">
        <v>4229</v>
      </c>
      <c r="E398" t="str">
        <f xml:space="preserve"> CONCATENATE( MID(Table15[[#This Row],[PHASE]],2,3), MID(Table15[[#This Row],[DELIVERABLE]],2,4), TRIM(SUBSTITUTE(MID(Table15[[#This Row],[CONCERN.ID]],2,20),"","") )  )</f>
        <v>08.461.5342.99.3110</v>
      </c>
      <c r="F398" t="str">
        <f>TRIM(MID(Table15[[#This Row],[CONCERN.UNIQUEPATH]], IF( ISNUMBER( SEARCH("/",Table15[[#This Row],[CONCERN.UNIQUEPATH]])),SEARCH("/",Table15[[#This Row],[CONCERN.UNIQUEPATH]])+1,1),255))</f>
        <v>Maintainability/Modifiability/Development/Custom/Server/Host/Thin</v>
      </c>
    </row>
    <row r="399" spans="1:6">
      <c r="A399" t="s">
        <v>1969</v>
      </c>
      <c r="B399" t="s">
        <v>2246</v>
      </c>
      <c r="C399" s="34" t="s">
        <v>4230</v>
      </c>
      <c r="D399" s="26" t="s">
        <v>4231</v>
      </c>
      <c r="E399" s="45" t="str">
        <f xml:space="preserve"> CONCATENATE( MID(Table15[[#This Row],[PHASE]],2,3), MID(Table15[[#This Row],[DELIVERABLE]],2,4), TRIM(SUBSTITUTE(MID(Table15[[#This Row],[CONCERN.ID]],2,20),"","") )  )</f>
        <v>08.461.5342.99.3200</v>
      </c>
      <c r="F399" t="str">
        <f>TRIM(MID(Table15[[#This Row],[CONCERN.UNIQUEPATH]], IF( ISNUMBER( SEARCH("/",Table15[[#This Row],[CONCERN.UNIQUEPATH]])),SEARCH("/",Table15[[#This Row],[CONCERN.UNIQUEPATH]])+1,1),255))</f>
        <v>Maintainability/Modifiability/Development/Custom/Server/Controllers</v>
      </c>
    </row>
    <row r="400" spans="1:6">
      <c r="A400" t="s">
        <v>1969</v>
      </c>
      <c r="B400" t="s">
        <v>2246</v>
      </c>
      <c r="C400" s="35" t="s">
        <v>4232</v>
      </c>
      <c r="D400" s="27" t="s">
        <v>4233</v>
      </c>
      <c r="E400" t="str">
        <f xml:space="preserve"> CONCATENATE( MID(Table15[[#This Row],[PHASE]],2,3), MID(Table15[[#This Row],[DELIVERABLE]],2,4), TRIM(SUBSTITUTE(MID(Table15[[#This Row],[CONCERN.ID]],2,20),"","") )  )</f>
        <v>08.461.5342.99.3210</v>
      </c>
      <c r="F400" t="str">
        <f>TRIM(MID(Table15[[#This Row],[CONCERN.UNIQUEPATH]], IF( ISNUMBER( SEARCH("/",Table15[[#This Row],[CONCERN.UNIQUEPATH]])),SEARCH("/",Table15[[#This Row],[CONCERN.UNIQUEPATH]])+1,1),255))</f>
        <v>Maintainability/Modifiability/Development/Custom/Server/Controllers/API Only</v>
      </c>
    </row>
    <row r="401" spans="1:6">
      <c r="A401" t="s">
        <v>1969</v>
      </c>
      <c r="B401" t="s">
        <v>2246</v>
      </c>
      <c r="C401" s="34" t="s">
        <v>4234</v>
      </c>
      <c r="D401" s="26" t="s">
        <v>4235</v>
      </c>
      <c r="E401" s="45" t="str">
        <f xml:space="preserve"> CONCATENATE( MID(Table15[[#This Row],[PHASE]],2,3), MID(Table15[[#This Row],[DELIVERABLE]],2,4), TRIM(SUBSTITUTE(MID(Table15[[#This Row],[CONCERN.ID]],2,20),"","") )  )</f>
        <v>08.461.5342.99.3220</v>
      </c>
      <c r="F401" t="str">
        <f>TRIM(MID(Table15[[#This Row],[CONCERN.UNIQUEPATH]], IF( ISNUMBER( SEARCH("/",Table15[[#This Row],[CONCERN.UNIQUEPATH]])),SEARCH("/",Table15[[#This Row],[CONCERN.UNIQUEPATH]])+1,1),255))</f>
        <v>Maintainability/Modifiability/Development/Custom/Server/Controllers/Thin</v>
      </c>
    </row>
    <row r="402" spans="1:6">
      <c r="A402" t="s">
        <v>1969</v>
      </c>
      <c r="B402" t="s">
        <v>2246</v>
      </c>
      <c r="C402" s="35" t="s">
        <v>4236</v>
      </c>
      <c r="D402" s="27" t="s">
        <v>4237</v>
      </c>
      <c r="E402" t="str">
        <f xml:space="preserve"> CONCATENATE( MID(Table15[[#This Row],[PHASE]],2,3), MID(Table15[[#This Row],[DELIVERABLE]],2,4), TRIM(SUBSTITUTE(MID(Table15[[#This Row],[CONCERN.ID]],2,20),"","") )  )</f>
        <v>08.461.5342.99.3230</v>
      </c>
      <c r="F402" t="str">
        <f>TRIM(MID(Table15[[#This Row],[CONCERN.UNIQUEPATH]], IF( ISNUMBER( SEARCH("/",Table15[[#This Row],[CONCERN.UNIQUEPATH]])),SEARCH("/",Table15[[#This Row],[CONCERN.UNIQUEPATH]])+1,1),255))</f>
        <v>Maintainability/Modifiability/Development/Custom/Server/Controllers/Entities &amp; DTOs</v>
      </c>
    </row>
    <row r="403" spans="1:6">
      <c r="A403" t="s">
        <v>1969</v>
      </c>
      <c r="B403" t="s">
        <v>2246</v>
      </c>
      <c r="C403" s="34" t="s">
        <v>4238</v>
      </c>
      <c r="D403" s="26" t="s">
        <v>4239</v>
      </c>
      <c r="E403" s="45" t="str">
        <f xml:space="preserve"> CONCATENATE( MID(Table15[[#This Row],[PHASE]],2,3), MID(Table15[[#This Row],[DELIVERABLE]],2,4), TRIM(SUBSTITUTE(MID(Table15[[#This Row],[CONCERN.ID]],2,20),"","") )  )</f>
        <v>08.461.5342.99.3240</v>
      </c>
      <c r="F403" t="str">
        <f>TRIM(MID(Table15[[#This Row],[CONCERN.UNIQUEPATH]], IF( ISNUMBER( SEARCH("/",Table15[[#This Row],[CONCERN.UNIQUEPATH]])),SEARCH("/",Table15[[#This Row],[CONCERN.UNIQUEPATH]])+1,1),255))</f>
        <v>Maintainability/Modifiability/Development/Custom/Server/Controllers/Validate Messsages</v>
      </c>
    </row>
    <row r="404" spans="1:6">
      <c r="A404" t="s">
        <v>1969</v>
      </c>
      <c r="B404" t="s">
        <v>2246</v>
      </c>
      <c r="C404" s="35" t="s">
        <v>4240</v>
      </c>
      <c r="D404" s="27" t="s">
        <v>4241</v>
      </c>
      <c r="E404" t="str">
        <f xml:space="preserve"> CONCATENATE( MID(Table15[[#This Row],[PHASE]],2,3), MID(Table15[[#This Row],[DELIVERABLE]],2,4), TRIM(SUBSTITUTE(MID(Table15[[#This Row],[CONCERN.ID]],2,20),"","") )  )</f>
        <v>08.461.5342.99.3250</v>
      </c>
      <c r="F404" t="str">
        <f>TRIM(MID(Table15[[#This Row],[CONCERN.UNIQUEPATH]], IF( ISNUMBER( SEARCH("/",Table15[[#This Row],[CONCERN.UNIQUEPATH]])),SEARCH("/",Table15[[#This Row],[CONCERN.UNIQUEPATH]])+1,1),255))</f>
        <v>Maintainability/Modifiability/Development/Custom/Server/Controllers/Queryability</v>
      </c>
    </row>
    <row r="405" spans="1:6">
      <c r="A405" t="s">
        <v>1969</v>
      </c>
      <c r="B405" t="s">
        <v>2246</v>
      </c>
      <c r="C405" s="34" t="s">
        <v>4242</v>
      </c>
      <c r="D405" s="26" t="s">
        <v>4243</v>
      </c>
      <c r="E405" s="45" t="str">
        <f xml:space="preserve"> CONCATENATE( MID(Table15[[#This Row],[PHASE]],2,3), MID(Table15[[#This Row],[DELIVERABLE]],2,4), TRIM(SUBSTITUTE(MID(Table15[[#This Row],[CONCERN.ID]],2,20),"","") )  )</f>
        <v>08.461.5342.99.3360</v>
      </c>
      <c r="F405" t="str">
        <f>TRIM(MID(Table15[[#This Row],[CONCERN.UNIQUEPATH]], IF( ISNUMBER( SEARCH("/",Table15[[#This Row],[CONCERN.UNIQUEPATH]])),SEARCH("/",Table15[[#This Row],[CONCERN.UNIQUEPATH]])+1,1),255))</f>
        <v>Maintainability/Modifiability/Development/Custom/Server/Controllers/Errors as Messages</v>
      </c>
    </row>
    <row r="406" spans="1:6">
      <c r="A406" t="s">
        <v>1969</v>
      </c>
      <c r="B406" t="s">
        <v>2246</v>
      </c>
      <c r="C406" s="35" t="s">
        <v>4244</v>
      </c>
      <c r="D406" s="27" t="s">
        <v>4245</v>
      </c>
      <c r="E406" t="str">
        <f xml:space="preserve"> CONCATENATE( MID(Table15[[#This Row],[PHASE]],2,3), MID(Table15[[#This Row],[DELIVERABLE]],2,4), TRIM(SUBSTITUTE(MID(Table15[[#This Row],[CONCERN.ID]],2,20),"","") )  )</f>
        <v>08.461.5342.99.3400</v>
      </c>
      <c r="F406" t="str">
        <f>TRIM(MID(Table15[[#This Row],[CONCERN.UNIQUEPATH]], IF( ISNUMBER( SEARCH("/",Table15[[#This Row],[CONCERN.UNIQUEPATH]])),SEARCH("/",Table15[[#This Row],[CONCERN.UNIQUEPATH]])+1,1),255))</f>
        <v>Maintainability/Modularity/Developability/Custom/Server/Domain:Infrastructure</v>
      </c>
    </row>
    <row r="407" spans="1:6">
      <c r="A407" t="s">
        <v>1969</v>
      </c>
      <c r="B407" t="s">
        <v>2246</v>
      </c>
      <c r="C407" s="34" t="s">
        <v>4246</v>
      </c>
      <c r="D407" s="26" t="s">
        <v>4247</v>
      </c>
      <c r="E407" s="45" t="str">
        <f xml:space="preserve"> CONCATENATE( MID(Table15[[#This Row],[PHASE]],2,3), MID(Table15[[#This Row],[DELIVERABLE]],2,4), TRIM(SUBSTITUTE(MID(Table15[[#This Row],[CONCERN.ID]],2,20),"","") )  )</f>
        <v>08.461.5342.99.3410</v>
      </c>
      <c r="F407" t="str">
        <f>TRIM(MID(Table15[[#This Row],[CONCERN.UNIQUEPATH]], IF( ISNUMBER( SEARCH("/",Table15[[#This Row],[CONCERN.UNIQUEPATH]])),SEARCH("/",Table15[[#This Row],[CONCERN.UNIQUEPATH]])+1,1),255))</f>
        <v>Maintainability/Modularity/Developability/Custom/Server/Domain:Infrastructure/Services</v>
      </c>
    </row>
    <row r="408" spans="1:6">
      <c r="A408" t="s">
        <v>1969</v>
      </c>
      <c r="B408" t="s">
        <v>2246</v>
      </c>
      <c r="C408" s="35" t="s">
        <v>4248</v>
      </c>
      <c r="D408" s="27" t="s">
        <v>4249</v>
      </c>
      <c r="E408" t="str">
        <f xml:space="preserve"> CONCATENATE( MID(Table15[[#This Row],[PHASE]],2,3), MID(Table15[[#This Row],[DELIVERABLE]],2,4), TRIM(SUBSTITUTE(MID(Table15[[#This Row],[CONCERN.ID]],2,20),"","") )  )</f>
        <v>08.461.5342.99.3420</v>
      </c>
      <c r="F408" t="str">
        <f>TRIM(MID(Table15[[#This Row],[CONCERN.UNIQUEPATH]], IF( ISNUMBER( SEARCH("/",Table15[[#This Row],[CONCERN.UNIQUEPATH]])),SEARCH("/",Table15[[#This Row],[CONCERN.UNIQUEPATH]])+1,1),255))</f>
        <v>Maintainability/Modifiability/Development/Custom/Server/Domain:Business/Services</v>
      </c>
    </row>
    <row r="409" spans="1:6">
      <c r="A409" t="s">
        <v>1969</v>
      </c>
      <c r="B409" t="s">
        <v>2246</v>
      </c>
      <c r="C409" s="34" t="s">
        <v>4250</v>
      </c>
      <c r="D409" s="26" t="s">
        <v>4251</v>
      </c>
      <c r="E409" s="45" t="str">
        <f xml:space="preserve"> CONCATENATE( MID(Table15[[#This Row],[PHASE]],2,3), MID(Table15[[#This Row],[DELIVERABLE]],2,4), TRIM(SUBSTITUTE(MID(Table15[[#This Row],[CONCERN.ID]],2,20),"","") )  )</f>
        <v>08.461.5342.99.3421</v>
      </c>
      <c r="F409" t="str">
        <f>TRIM(MID(Table15[[#This Row],[CONCERN.UNIQUEPATH]], IF( ISNUMBER( SEARCH("/",Table15[[#This Row],[CONCERN.UNIQUEPATH]])),SEARCH("/",Table15[[#This Row],[CONCERN.UNIQUEPATH]])+1,1),255))</f>
        <v>Maintainability/Modifiability/Development/Custom/Server/Domain:Business/Services/Product</v>
      </c>
    </row>
    <row r="410" spans="1:6">
      <c r="A410" t="s">
        <v>1969</v>
      </c>
      <c r="B410" t="s">
        <v>2246</v>
      </c>
      <c r="C410" s="35" t="s">
        <v>4252</v>
      </c>
      <c r="D410" s="27" t="s">
        <v>4253</v>
      </c>
      <c r="E410" t="str">
        <f xml:space="preserve"> CONCATENATE( MID(Table15[[#This Row],[PHASE]],2,3), MID(Table15[[#This Row],[DELIVERABLE]],2,4), TRIM(SUBSTITUTE(MID(Table15[[#This Row],[CONCERN.ID]],2,20),"","") )  )</f>
        <v>08.461.5342.99.3422</v>
      </c>
      <c r="F410" t="str">
        <f>TRIM(MID(Table15[[#This Row],[CONCERN.UNIQUEPATH]], IF( ISNUMBER( SEARCH("/",Table15[[#This Row],[CONCERN.UNIQUEPATH]])),SEARCH("/",Table15[[#This Row],[CONCERN.UNIQUEPATH]])+1,1),255))</f>
        <v>Maintainability/Modifiability/Development/Custom/Server/Domain:Business/Services/Processes</v>
      </c>
    </row>
    <row r="411" spans="1:6">
      <c r="A411" t="s">
        <v>1969</v>
      </c>
      <c r="B411" t="s">
        <v>2246</v>
      </c>
      <c r="C411" s="34" t="s">
        <v>4254</v>
      </c>
      <c r="D411" s="26" t="s">
        <v>4255</v>
      </c>
      <c r="E411" s="45" t="str">
        <f xml:space="preserve"> CONCATENATE( MID(Table15[[#This Row],[PHASE]],2,3), MID(Table15[[#This Row],[DELIVERABLE]],2,4), TRIM(SUBSTITUTE(MID(Table15[[#This Row],[CONCERN.ID]],2,20),"","") )  )</f>
        <v>08.461.5342.99.3423</v>
      </c>
      <c r="F411" t="str">
        <f>TRIM(MID(Table15[[#This Row],[CONCERN.UNIQUEPATH]], IF( ISNUMBER( SEARCH("/",Table15[[#This Row],[CONCERN.UNIQUEPATH]])),SEARCH("/",Table15[[#This Row],[CONCERN.UNIQUEPATH]])+1,1),255))</f>
        <v>Maintainability/Modifiability/Development/Custom/Server/Domain:Business/Services/Feedback</v>
      </c>
    </row>
    <row r="412" spans="1:6">
      <c r="A412" t="s">
        <v>1969</v>
      </c>
      <c r="B412" t="s">
        <v>2246</v>
      </c>
      <c r="C412" s="35" t="s">
        <v>4256</v>
      </c>
      <c r="D412" s="27" t="s">
        <v>4257</v>
      </c>
      <c r="E412" t="str">
        <f xml:space="preserve"> CONCATENATE( MID(Table15[[#This Row],[PHASE]],2,3), MID(Table15[[#This Row],[DELIVERABLE]],2,4), TRIM(SUBSTITUTE(MID(Table15[[#This Row],[CONCERN.ID]],2,20),"","") )  )</f>
        <v>08.461.5342.99.3500</v>
      </c>
      <c r="F412" t="str">
        <f>TRIM(MID(Table15[[#This Row],[CONCERN.UNIQUEPATH]], IF( ISNUMBER( SEARCH("/",Table15[[#This Row],[CONCERN.UNIQUEPATH]])),SEARCH("/",Table15[[#This Row],[CONCERN.UNIQUEPATH]])+1,1),255))</f>
        <v>Maintainability/Modularity/Developability/Custom/Server/Domain:Shared</v>
      </c>
    </row>
    <row r="413" spans="1:6">
      <c r="A413" t="s">
        <v>1969</v>
      </c>
      <c r="B413" t="s">
        <v>2246</v>
      </c>
      <c r="C413" s="34" t="s">
        <v>4258</v>
      </c>
      <c r="D413" s="26" t="s">
        <v>4259</v>
      </c>
      <c r="E413" s="45" t="str">
        <f xml:space="preserve"> CONCATENATE( MID(Table15[[#This Row],[PHASE]],2,3), MID(Table15[[#This Row],[DELIVERABLE]],2,4), TRIM(SUBSTITUTE(MID(Table15[[#This Row],[CONCERN.ID]],2,20),"","") )  )</f>
        <v>08.461.5342.99.3510</v>
      </c>
      <c r="F413" t="str">
        <f>TRIM(MID(Table15[[#This Row],[CONCERN.UNIQUEPATH]], IF( ISNUMBER( SEARCH("/",Table15[[#This Row],[CONCERN.UNIQUEPATH]])),SEARCH("/",Table15[[#This Row],[CONCERN.UNIQUEPATH]])+1,1),255))</f>
        <v>Maintainability/Modularity/Developability/Custom/Server/Domain:Shared/Models</v>
      </c>
    </row>
    <row r="414" spans="1:6">
      <c r="A414" t="s">
        <v>1969</v>
      </c>
      <c r="B414" t="s">
        <v>2246</v>
      </c>
      <c r="C414" s="35" t="s">
        <v>4260</v>
      </c>
      <c r="D414" s="27" t="s">
        <v>4261</v>
      </c>
      <c r="E414" t="str">
        <f xml:space="preserve"> CONCATENATE( MID(Table15[[#This Row],[PHASE]],2,3), MID(Table15[[#This Row],[DELIVERABLE]],2,4), TRIM(SUBSTITUTE(MID(Table15[[#This Row],[CONCERN.ID]],2,20),"","") )  )</f>
        <v>08.461.5342.99.3520</v>
      </c>
      <c r="F414" t="str">
        <f>TRIM(MID(Table15[[#This Row],[CONCERN.UNIQUEPATH]], IF( ISNUMBER( SEARCH("/",Table15[[#This Row],[CONCERN.UNIQUEPATH]])),SEARCH("/",Table15[[#This Row],[CONCERN.UNIQUEPATH]])+1,1),255))</f>
        <v>Maintainability/Modularity/Developability/Custom/Server/Domain:Shared/Messages</v>
      </c>
    </row>
    <row r="415" spans="1:6">
      <c r="A415" t="s">
        <v>1969</v>
      </c>
      <c r="B415" t="s">
        <v>2246</v>
      </c>
      <c r="C415" s="34" t="s">
        <v>4262</v>
      </c>
      <c r="D415" s="26" t="s">
        <v>4263</v>
      </c>
      <c r="E415" s="45" t="str">
        <f xml:space="preserve"> CONCATENATE( MID(Table15[[#This Row],[PHASE]],2,3), MID(Table15[[#This Row],[DELIVERABLE]],2,4), TRIM(SUBSTITUTE(MID(Table15[[#This Row],[CONCERN.ID]],2,20),"","") )  )</f>
        <v>08.461.5342.99.3530</v>
      </c>
      <c r="F415" t="str">
        <f>TRIM(MID(Table15[[#This Row],[CONCERN.UNIQUEPATH]], IF( ISNUMBER( SEARCH("/",Table15[[#This Row],[CONCERN.UNIQUEPATH]])),SEARCH("/",Table15[[#This Row],[CONCERN.UNIQUEPATH]])+1,1),255))</f>
        <v>Maintainability/Modularity/Developability/Custom/Server/Domain:Shared/DTOs</v>
      </c>
    </row>
    <row r="416" spans="1:6">
      <c r="A416" t="s">
        <v>1969</v>
      </c>
      <c r="B416" t="s">
        <v>2246</v>
      </c>
      <c r="C416" s="35" t="s">
        <v>4264</v>
      </c>
      <c r="D416" s="27" t="s">
        <v>4265</v>
      </c>
      <c r="E416" t="str">
        <f xml:space="preserve"> CONCATENATE( MID(Table15[[#This Row],[PHASE]],2,3), MID(Table15[[#This Row],[DELIVERABLE]],2,4), TRIM(SUBSTITUTE(MID(Table15[[#This Row],[CONCERN.ID]],2,20),"","") )  )</f>
        <v>08.461.5342.99.3540</v>
      </c>
      <c r="F416" t="str">
        <f>TRIM(MID(Table15[[#This Row],[CONCERN.UNIQUEPATH]], IF( ISNUMBER( SEARCH("/",Table15[[#This Row],[CONCERN.UNIQUEPATH]])),SEARCH("/",Table15[[#This Row],[CONCERN.UNIQUEPATH]])+1,1),255))</f>
        <v>Maintainability/Modularity/Developability/Custom/Server/Domain:Shared/Contracts</v>
      </c>
    </row>
    <row r="417" spans="1:6">
      <c r="A417" t="s">
        <v>1969</v>
      </c>
      <c r="B417" t="s">
        <v>2246</v>
      </c>
      <c r="C417" s="34" t="s">
        <v>4266</v>
      </c>
      <c r="D417" s="26" t="s">
        <v>4267</v>
      </c>
      <c r="E417" s="45" t="str">
        <f xml:space="preserve"> CONCATENATE( MID(Table15[[#This Row],[PHASE]],2,3), MID(Table15[[#This Row],[DELIVERABLE]],2,4), TRIM(SUBSTITUTE(MID(Table15[[#This Row],[CONCERN.ID]],2,20),"","") )  )</f>
        <v>08.461.5342.99.3550</v>
      </c>
      <c r="F417" t="str">
        <f>TRIM(MID(Table15[[#This Row],[CONCERN.UNIQUEPATH]], IF( ISNUMBER( SEARCH("/",Table15[[#This Row],[CONCERN.UNIQUEPATH]])),SEARCH("/",Table15[[#This Row],[CONCERN.UNIQUEPATH]])+1,1),255))</f>
        <v>Maintainability/Modularity/Developability/Custom/Server/Domain:Shared/Decorators</v>
      </c>
    </row>
    <row r="418" spans="1:6">
      <c r="A418" t="s">
        <v>1969</v>
      </c>
      <c r="B418" t="s">
        <v>2246</v>
      </c>
      <c r="C418" s="35" t="s">
        <v>4268</v>
      </c>
      <c r="D418" s="27" t="s">
        <v>4269</v>
      </c>
      <c r="E418" t="str">
        <f xml:space="preserve"> CONCATENATE( MID(Table15[[#This Row],[PHASE]],2,3), MID(Table15[[#This Row],[DELIVERABLE]],2,4), TRIM(SUBSTITUTE(MID(Table15[[#This Row],[CONCERN.ID]],2,20),"","") )  )</f>
        <v>08.461.5342.99.3600</v>
      </c>
      <c r="F418" t="str">
        <f>TRIM(MID(Table15[[#This Row],[CONCERN.UNIQUEPATH]], IF( ISNUMBER( SEARCH("/",Table15[[#This Row],[CONCERN.UNIQUEPATH]])),SEARCH("/",Table15[[#This Row],[CONCERN.UNIQUEPATH]])+1,1),255))</f>
        <v>Maintainability/Modifiability/Development/Custom/Server/Services</v>
      </c>
    </row>
    <row r="419" spans="1:6">
      <c r="A419" t="s">
        <v>1969</v>
      </c>
      <c r="B419" t="s">
        <v>2246</v>
      </c>
      <c r="C419" s="34" t="s">
        <v>4270</v>
      </c>
      <c r="D419" s="26" t="s">
        <v>4271</v>
      </c>
      <c r="E419" s="45" t="str">
        <f xml:space="preserve"> CONCATENATE( MID(Table15[[#This Row],[PHASE]],2,3), MID(Table15[[#This Row],[DELIVERABLE]],2,4), TRIM(SUBSTITUTE(MID(Table15[[#This Row],[CONCERN.ID]],2,20),"","") )  )</f>
        <v>08.461.5342.99.3610</v>
      </c>
      <c r="F419" t="str">
        <f>TRIM(MID(Table15[[#This Row],[CONCERN.UNIQUEPATH]], IF( ISNUMBER( SEARCH("/",Table15[[#This Row],[CONCERN.UNIQUEPATH]])),SEARCH("/",Table15[[#This Row],[CONCERN.UNIQUEPATH]])+1,1),255))</f>
        <v>Maintainability/Modifiability/Development/Custom/Server/Services/Integration:Storage</v>
      </c>
    </row>
    <row r="420" spans="1:6">
      <c r="A420" t="s">
        <v>1969</v>
      </c>
      <c r="B420" t="s">
        <v>2246</v>
      </c>
      <c r="C420" s="35" t="s">
        <v>4272</v>
      </c>
      <c r="D420" s="27" t="s">
        <v>4273</v>
      </c>
      <c r="E420" t="str">
        <f xml:space="preserve"> CONCATENATE( MID(Table15[[#This Row],[PHASE]],2,3), MID(Table15[[#This Row],[DELIVERABLE]],2,4), TRIM(SUBSTITUTE(MID(Table15[[#This Row],[CONCERN.ID]],2,20),"","") )  )</f>
        <v>08.461.5342.99.3611</v>
      </c>
      <c r="F420" t="str">
        <f>TRIM(MID(Table15[[#This Row],[CONCERN.UNIQUEPATH]], IF( ISNUMBER( SEARCH("/",Table15[[#This Row],[CONCERN.UNIQUEPATH]])),SEARCH("/",Table15[[#This Row],[CONCERN.UNIQUEPATH]])+1,1),255))</f>
        <v>Maintainability/Modifiability/Development/Custom/Server/Services/Integration:Storage/HostSettingsService</v>
      </c>
    </row>
    <row r="421" spans="1:6">
      <c r="A421" t="s">
        <v>1969</v>
      </c>
      <c r="B421" t="s">
        <v>2246</v>
      </c>
      <c r="C421" s="34" t="s">
        <v>4274</v>
      </c>
      <c r="D421" s="26" t="s">
        <v>4275</v>
      </c>
      <c r="E421" s="45" t="str">
        <f xml:space="preserve"> CONCATENATE( MID(Table15[[#This Row],[PHASE]],2,3), MID(Table15[[#This Row],[DELIVERABLE]],2,4), TRIM(SUBSTITUTE(MID(Table15[[#This Row],[CONCERN.ID]],2,20),"","") )  )</f>
        <v>08.461.5342.99.3612</v>
      </c>
      <c r="F421" t="str">
        <f>TRIM(MID(Table15[[#This Row],[CONCERN.UNIQUEPATH]], IF( ISNUMBER( SEARCH("/",Table15[[#This Row],[CONCERN.UNIQUEPATH]])),SEARCH("/",Table15[[#This Row],[CONCERN.UNIQUEPATH]])+1,1),255))</f>
        <v>Maintainability/Modifiability/Development/Custom/Server/Services/Integration:Storage/CredentialStorageService</v>
      </c>
    </row>
    <row r="422" spans="1:6">
      <c r="A422" t="s">
        <v>1969</v>
      </c>
      <c r="B422" t="s">
        <v>2246</v>
      </c>
      <c r="C422" s="35" t="s">
        <v>4276</v>
      </c>
      <c r="D422" s="27" t="s">
        <v>4277</v>
      </c>
      <c r="E422" t="str">
        <f xml:space="preserve"> CONCATENATE( MID(Table15[[#This Row],[PHASE]],2,3), MID(Table15[[#This Row],[DELIVERABLE]],2,4), TRIM(SUBSTITUTE(MID(Table15[[#This Row],[CONCERN.ID]],2,20),"","") )  )</f>
        <v>08.461.5342.99.3613</v>
      </c>
      <c r="F422" t="str">
        <f>TRIM(MID(Table15[[#This Row],[CONCERN.UNIQUEPATH]], IF( ISNUMBER( SEARCH("/",Table15[[#This Row],[CONCERN.UNIQUEPATH]])),SEARCH("/",Table15[[#This Row],[CONCERN.UNIQUEPATH]])+1,1),255))</f>
        <v>Maintainability/Modifiability/Development/Custom/Server/Services/Integration:Storage/BlobStorageService</v>
      </c>
    </row>
    <row r="423" spans="1:6">
      <c r="A423" t="s">
        <v>1969</v>
      </c>
      <c r="B423" t="s">
        <v>2246</v>
      </c>
      <c r="C423" s="34" t="s">
        <v>4278</v>
      </c>
      <c r="D423" s="26" t="s">
        <v>4279</v>
      </c>
      <c r="E423" s="45" t="str">
        <f xml:space="preserve"> CONCATENATE( MID(Table15[[#This Row],[PHASE]],2,3), MID(Table15[[#This Row],[DELIVERABLE]],2,4), TRIM(SUBSTITUTE(MID(Table15[[#This Row],[CONCERN.ID]],2,20),"","") )  )</f>
        <v>08.461.5342.99.3614</v>
      </c>
      <c r="F423" t="str">
        <f>TRIM(MID(Table15[[#This Row],[CONCERN.UNIQUEPATH]], IF( ISNUMBER( SEARCH("/",Table15[[#This Row],[CONCERN.UNIQUEPATH]])),SEARCH("/",Table15[[#This Row],[CONCERN.UNIQUEPATH]])+1,1),255))</f>
        <v>Maintainability/Modifiability/Development/Custom/Server/Services/Integration:Storage/GenericRepositoryService</v>
      </c>
    </row>
    <row r="424" spans="1:6">
      <c r="A424" t="s">
        <v>1969</v>
      </c>
      <c r="B424" t="s">
        <v>2246</v>
      </c>
      <c r="C424" s="35" t="s">
        <v>4280</v>
      </c>
      <c r="D424" s="27" t="s">
        <v>4281</v>
      </c>
      <c r="E424" t="str">
        <f xml:space="preserve"> CONCATENATE( MID(Table15[[#This Row],[PHASE]],2,3), MID(Table15[[#This Row],[DELIVERABLE]],2,4), TRIM(SUBSTITUTE(MID(Table15[[#This Row],[CONCERN.ID]],2,20),"","") )  )</f>
        <v>08.461.5342.99.3615</v>
      </c>
      <c r="F424" t="str">
        <f>TRIM(MID(Table15[[#This Row],[CONCERN.UNIQUEPATH]], IF( ISNUMBER( SEARCH("/",Table15[[#This Row],[CONCERN.UNIQUEPATH]])),SEARCH("/",Table15[[#This Row],[CONCERN.UNIQUEPATH]])+1,1),255))</f>
        <v>Maintainability/Modifiability/Development/Custom/Server/Services/Integration:Storage/DocumentDbService</v>
      </c>
    </row>
    <row r="425" spans="1:6">
      <c r="A425" t="s">
        <v>1969</v>
      </c>
      <c r="B425" t="s">
        <v>2246</v>
      </c>
      <c r="C425" s="34" t="s">
        <v>4282</v>
      </c>
      <c r="D425" s="26" t="s">
        <v>4283</v>
      </c>
      <c r="E425" s="45" t="str">
        <f xml:space="preserve"> CONCATENATE( MID(Table15[[#This Row],[PHASE]],2,3), MID(Table15[[#This Row],[DELIVERABLE]],2,4), TRIM(SUBSTITUTE(MID(Table15[[#This Row],[CONCERN.ID]],2,20),"","") )  )</f>
        <v>08.461.5342.99.3616</v>
      </c>
      <c r="F425" t="str">
        <f>TRIM(MID(Table15[[#This Row],[CONCERN.UNIQUEPATH]], IF( ISNUMBER( SEARCH("/",Table15[[#This Row],[CONCERN.UNIQUEPATH]])),SEARCH("/",Table15[[#This Row],[CONCERN.UNIQUEPATH]])+1,1),255))</f>
        <v>Maintainability/Modifiability/Development/Custom/Server/Services/Integration:Storage/GraphDbService</v>
      </c>
    </row>
    <row r="426" spans="1:6">
      <c r="A426" t="s">
        <v>1969</v>
      </c>
      <c r="B426" t="s">
        <v>2246</v>
      </c>
      <c r="C426" s="35" t="s">
        <v>4284</v>
      </c>
      <c r="D426" s="27" t="s">
        <v>4285</v>
      </c>
      <c r="E426" t="str">
        <f xml:space="preserve"> CONCATENATE( MID(Table15[[#This Row],[PHASE]],2,3), MID(Table15[[#This Row],[DELIVERABLE]],2,4), TRIM(SUBSTITUTE(MID(Table15[[#This Row],[CONCERN.ID]],2,20),"","") )  )</f>
        <v>08.461.5342.99.3620</v>
      </c>
      <c r="F426" t="str">
        <f>TRIM(MID(Table15[[#This Row],[CONCERN.UNIQUEPATH]], IF( ISNUMBER( SEARCH("/",Table15[[#This Row],[CONCERN.UNIQUEPATH]])),SEARCH("/",Table15[[#This Row],[CONCERN.UNIQUEPATH]])+1,1),255))</f>
        <v>Maintainability/Modifiability/Development/Custom/Server/Services/Integration:3rdParty</v>
      </c>
    </row>
    <row r="427" spans="1:6">
      <c r="A427" t="s">
        <v>1969</v>
      </c>
      <c r="B427" t="s">
        <v>2246</v>
      </c>
      <c r="C427" s="34" t="s">
        <v>4286</v>
      </c>
      <c r="D427" s="26" t="s">
        <v>4287</v>
      </c>
      <c r="E427" s="45" t="str">
        <f xml:space="preserve"> CONCATENATE( MID(Table15[[#This Row],[PHASE]],2,3), MID(Table15[[#This Row],[DELIVERABLE]],2,4), TRIM(SUBSTITUTE(MID(Table15[[#This Row],[CONCERN.ID]],2,20),"","") )  )</f>
        <v>08.461.5342.99.3621</v>
      </c>
      <c r="F427" t="str">
        <f>TRIM(MID(Table15[[#This Row],[CONCERN.UNIQUEPATH]], IF( ISNUMBER( SEARCH("/",Table15[[#This Row],[CONCERN.UNIQUEPATH]])),SEARCH("/",Table15[[#This Row],[CONCERN.UNIQUEPATH]])+1,1),255))</f>
        <v>Maintainability/Modifiability/Development/Custom/Server/Services/Integration:3rdParty/CachingService</v>
      </c>
    </row>
    <row r="428" spans="1:6">
      <c r="A428" t="s">
        <v>1969</v>
      </c>
      <c r="B428" t="s">
        <v>2246</v>
      </c>
      <c r="C428" s="35" t="s">
        <v>4288</v>
      </c>
      <c r="D428" s="27" t="s">
        <v>4289</v>
      </c>
      <c r="E428" t="str">
        <f xml:space="preserve"> CONCATENATE( MID(Table15[[#This Row],[PHASE]],2,3), MID(Table15[[#This Row],[DELIVERABLE]],2,4), TRIM(SUBSTITUTE(MID(Table15[[#This Row],[CONCERN.ID]],2,20),"","") )  )</f>
        <v>08.461.5342.99.3622</v>
      </c>
      <c r="F428" t="str">
        <f>TRIM(MID(Table15[[#This Row],[CONCERN.UNIQUEPATH]], IF( ISNUMBER( SEARCH("/",Table15[[#This Row],[CONCERN.UNIQUEPATH]])),SEARCH("/",Table15[[#This Row],[CONCERN.UNIQUEPATH]])+1,1),255))</f>
        <v>Maintainability/Modifiability/Development/Custom/Server/Services/Integration:3rdParty/IdPService</v>
      </c>
    </row>
    <row r="429" spans="1:6">
      <c r="A429" t="s">
        <v>1969</v>
      </c>
      <c r="B429" t="s">
        <v>2246</v>
      </c>
      <c r="C429" s="34" t="s">
        <v>4290</v>
      </c>
      <c r="D429" s="26" t="s">
        <v>4291</v>
      </c>
      <c r="E429" s="45" t="str">
        <f xml:space="preserve"> CONCATENATE( MID(Table15[[#This Row],[PHASE]],2,3), MID(Table15[[#This Row],[DELIVERABLE]],2,4), TRIM(SUBSTITUTE(MID(Table15[[#This Row],[CONCERN.ID]],2,20),"","") )  )</f>
        <v>08.461.5342.99.3623</v>
      </c>
      <c r="F429" t="str">
        <f>TRIM(MID(Table15[[#This Row],[CONCERN.UNIQUEPATH]], IF( ISNUMBER( SEARCH("/",Table15[[#This Row],[CONCERN.UNIQUEPATH]])),SEARCH("/",Table15[[#This Row],[CONCERN.UNIQUEPATH]])+1,1),255))</f>
        <v>Maintainability/Modifiability/Development/Custom/Server/Services/Integration:3rdParty/GeoIPService</v>
      </c>
    </row>
    <row r="430" spans="1:6">
      <c r="A430" t="s">
        <v>1969</v>
      </c>
      <c r="B430" t="s">
        <v>2246</v>
      </c>
      <c r="C430" s="35" t="s">
        <v>4292</v>
      </c>
      <c r="D430" s="27" t="s">
        <v>4293</v>
      </c>
      <c r="E430" t="str">
        <f xml:space="preserve"> CONCATENATE( MID(Table15[[#This Row],[PHASE]],2,3), MID(Table15[[#This Row],[DELIVERABLE]],2,4), TRIM(SUBSTITUTE(MID(Table15[[#This Row],[CONCERN.ID]],2,20),"","") )  )</f>
        <v>08.461.5342.99.3624</v>
      </c>
      <c r="F430" t="str">
        <f>TRIM(MID(Table15[[#This Row],[CONCERN.UNIQUEPATH]], IF( ISNUMBER( SEARCH("/",Table15[[#This Row],[CONCERN.UNIQUEPATH]])),SEARCH("/",Table15[[#This Row],[CONCERN.UNIQUEPATH]])+1,1),255))</f>
        <v>Maintainability/Modifiability/Development/Custom/Server/Services/Integration:3rdParty/MapService</v>
      </c>
    </row>
    <row r="431" spans="1:6">
      <c r="A431" t="s">
        <v>1969</v>
      </c>
      <c r="B431" t="s">
        <v>2246</v>
      </c>
      <c r="C431" s="34" t="s">
        <v>4294</v>
      </c>
      <c r="D431" s="26" t="s">
        <v>4295</v>
      </c>
      <c r="E431" s="45" t="str">
        <f xml:space="preserve"> CONCATENATE( MID(Table15[[#This Row],[PHASE]],2,3), MID(Table15[[#This Row],[DELIVERABLE]],2,4), TRIM(SUBSTITUTE(MID(Table15[[#This Row],[CONCERN.ID]],2,20),"","") )  )</f>
        <v>08.461.5342.99.3625</v>
      </c>
      <c r="F431" t="str">
        <f>TRIM(MID(Table15[[#This Row],[CONCERN.UNIQUEPATH]], IF( ISNUMBER( SEARCH("/",Table15[[#This Row],[CONCERN.UNIQUEPATH]])),SEARCH("/",Table15[[#This Row],[CONCERN.UNIQUEPATH]])+1,1),255))</f>
        <v>Maintainability/Modifiability/Development/Custom/Server/Services/Integration:3rdParty/ValidationServices</v>
      </c>
    </row>
    <row r="432" spans="1:6">
      <c r="A432" t="s">
        <v>1969</v>
      </c>
      <c r="B432" t="s">
        <v>2246</v>
      </c>
      <c r="C432" s="35" t="s">
        <v>4296</v>
      </c>
      <c r="D432" s="27" t="s">
        <v>4297</v>
      </c>
      <c r="E432" t="str">
        <f xml:space="preserve"> CONCATENATE( MID(Table15[[#This Row],[PHASE]],2,3), MID(Table15[[#This Row],[DELIVERABLE]],2,4), TRIM(SUBSTITUTE(MID(Table15[[#This Row],[CONCERN.ID]],2,20),"","") )  )</f>
        <v>08.461.5342.99.3626</v>
      </c>
      <c r="F432" t="str">
        <f>TRIM(MID(Table15[[#This Row],[CONCERN.UNIQUEPATH]], IF( ISNUMBER( SEARCH("/",Table15[[#This Row],[CONCERN.UNIQUEPATH]])),SEARCH("/",Table15[[#This Row],[CONCERN.UNIQUEPATH]])+1,1),255))</f>
        <v>Maintainability/Modifiability/Development/Custom/Server/Services/Integration:3rdParty/SearchService</v>
      </c>
    </row>
    <row r="433" spans="1:6">
      <c r="A433" t="s">
        <v>1969</v>
      </c>
      <c r="B433" t="s">
        <v>2246</v>
      </c>
      <c r="C433" s="34" t="s">
        <v>4298</v>
      </c>
      <c r="D433" s="26" t="s">
        <v>4299</v>
      </c>
      <c r="E433" s="45" t="str">
        <f xml:space="preserve"> CONCATENATE( MID(Table15[[#This Row],[PHASE]],2,3), MID(Table15[[#This Row],[DELIVERABLE]],2,4), TRIM(SUBSTITUTE(MID(Table15[[#This Row],[CONCERN.ID]],2,20),"","") )  )</f>
        <v>08.461.5342.99.3627</v>
      </c>
      <c r="F433" t="str">
        <f>TRIM(MID(Table15[[#This Row],[CONCERN.UNIQUEPATH]], IF( ISNUMBER( SEARCH("/",Table15[[#This Row],[CONCERN.UNIQUEPATH]])),SEARCH("/",Table15[[#This Row],[CONCERN.UNIQUEPATH]])+1,1),255))</f>
        <v>Maintainability/Modifiability/Development/Custom/Server/Services/Integration:3rdParty/EmailSMTPService</v>
      </c>
    </row>
    <row r="434" spans="1:6">
      <c r="A434" t="s">
        <v>1969</v>
      </c>
      <c r="B434" t="s">
        <v>2246</v>
      </c>
      <c r="C434" s="35" t="s">
        <v>4300</v>
      </c>
      <c r="D434" s="27" t="s">
        <v>4301</v>
      </c>
      <c r="E434" t="str">
        <f xml:space="preserve"> CONCATENATE( MID(Table15[[#This Row],[PHASE]],2,3), MID(Table15[[#This Row],[DELIVERABLE]],2,4), TRIM(SUBSTITUTE(MID(Table15[[#This Row],[CONCERN.ID]],2,20),"","") )  )</f>
        <v>08.461.5342.99.3628</v>
      </c>
      <c r="F434" t="str">
        <f>TRIM(MID(Table15[[#This Row],[CONCERN.UNIQUEPATH]], IF( ISNUMBER( SEARCH("/",Table15[[#This Row],[CONCERN.UNIQUEPATH]])),SEARCH("/",Table15[[#This Row],[CONCERN.UNIQUEPATH]])+1,1),255))</f>
        <v>Maintainability/Modifiability/Development/Custom/Server/Services/Integration:3rdParty/RulesService</v>
      </c>
    </row>
    <row r="435" spans="1:6">
      <c r="A435" t="s">
        <v>1969</v>
      </c>
      <c r="B435" t="s">
        <v>2246</v>
      </c>
      <c r="C435" s="34" t="s">
        <v>4302</v>
      </c>
      <c r="D435" s="26" t="s">
        <v>4303</v>
      </c>
      <c r="E435" s="45" t="str">
        <f xml:space="preserve"> CONCATENATE( MID(Table15[[#This Row],[PHASE]],2,3), MID(Table15[[#This Row],[DELIVERABLE]],2,4), TRIM(SUBSTITUTE(MID(Table15[[#This Row],[CONCERN.ID]],2,20),"","") )  )</f>
        <v>08.461.5342.99.3629</v>
      </c>
      <c r="F435" t="str">
        <f>TRIM(MID(Table15[[#This Row],[CONCERN.UNIQUEPATH]], IF( ISNUMBER( SEARCH("/",Table15[[#This Row],[CONCERN.UNIQUEPATH]])),SEARCH("/",Table15[[#This Row],[CONCERN.UNIQUEPATH]])+1,1),255))</f>
        <v>Maintainability/Modifiability/Development/Custom/Server/Services/Integration:3rdParty/WorkflowService</v>
      </c>
    </row>
    <row r="436" spans="1:6">
      <c r="A436" t="s">
        <v>1969</v>
      </c>
      <c r="B436" t="s">
        <v>2246</v>
      </c>
      <c r="C436" s="35" t="s">
        <v>4304</v>
      </c>
      <c r="D436" s="27" t="s">
        <v>4305</v>
      </c>
      <c r="E436" t="str">
        <f xml:space="preserve"> CONCATENATE( MID(Table15[[#This Row],[PHASE]],2,3), MID(Table15[[#This Row],[DELIVERABLE]],2,4), TRIM(SUBSTITUTE(MID(Table15[[#This Row],[CONCERN.ID]],2,20),"","") )  )</f>
        <v>08.461.5342.99.3630</v>
      </c>
      <c r="F436" t="str">
        <f>TRIM(MID(Table15[[#This Row],[CONCERN.UNIQUEPATH]], IF( ISNUMBER( SEARCH("/",Table15[[#This Row],[CONCERN.UNIQUEPATH]])),SEARCH("/",Table15[[#This Row],[CONCERN.UNIQUEPATH]])+1,1),255))</f>
        <v>Maintainability/Modifiability/Development/Custom/Server/Services/Status</v>
      </c>
    </row>
    <row r="437" spans="1:6">
      <c r="A437" t="s">
        <v>1969</v>
      </c>
      <c r="B437" t="s">
        <v>2246</v>
      </c>
      <c r="C437" s="34" t="s">
        <v>4306</v>
      </c>
      <c r="D437" s="26" t="s">
        <v>4307</v>
      </c>
      <c r="E437" s="45" t="str">
        <f xml:space="preserve"> CONCATENATE( MID(Table15[[#This Row],[PHASE]],2,3), MID(Table15[[#This Row],[DELIVERABLE]],2,4), TRIM(SUBSTITUTE(MID(Table15[[#This Row],[CONCERN.ID]],2,20),"","") )  )</f>
        <v>08.461.5342.99.3631</v>
      </c>
      <c r="F437" t="str">
        <f>TRIM(MID(Table15[[#This Row],[CONCERN.UNIQUEPATH]], IF( ISNUMBER( SEARCH("/",Table15[[#This Row],[CONCERN.UNIQUEPATH]])),SEARCH("/",Table15[[#This Row],[CONCERN.UNIQUEPATH]])+1,1),255))</f>
        <v>Maintainability/Modifiability/Development/Custom/Server/Services/Status/ConnectionService</v>
      </c>
    </row>
    <row r="438" spans="1:6">
      <c r="A438" t="s">
        <v>1969</v>
      </c>
      <c r="B438" t="s">
        <v>2246</v>
      </c>
      <c r="C438" s="35" t="s">
        <v>4308</v>
      </c>
      <c r="D438" s="27" t="s">
        <v>4309</v>
      </c>
      <c r="E438" t="str">
        <f xml:space="preserve"> CONCATENATE( MID(Table15[[#This Row],[PHASE]],2,3), MID(Table15[[#This Row],[DELIVERABLE]],2,4), TRIM(SUBSTITUTE(MID(Table15[[#This Row],[CONCERN.ID]],2,20),"","") )  )</f>
        <v>08.461.5342.99.3632</v>
      </c>
      <c r="F438" t="str">
        <f>TRIM(MID(Table15[[#This Row],[CONCERN.UNIQUEPATH]], IF( ISNUMBER( SEARCH("/",Table15[[#This Row],[CONCERN.UNIQUEPATH]])),SEARCH("/",Table15[[#This Row],[CONCERN.UNIQUEPATH]])+1,1),255))</f>
        <v>Maintainability/Modifiability/Development/Custom/Server/Services/Status/DiagnosticsService</v>
      </c>
    </row>
    <row r="439" spans="1:6">
      <c r="A439" t="s">
        <v>1969</v>
      </c>
      <c r="B439" t="s">
        <v>2246</v>
      </c>
      <c r="C439" s="34" t="s">
        <v>4310</v>
      </c>
      <c r="D439" s="26" t="s">
        <v>4311</v>
      </c>
      <c r="E439" s="45" t="str">
        <f xml:space="preserve"> CONCATENATE( MID(Table15[[#This Row],[PHASE]],2,3), MID(Table15[[#This Row],[DELIVERABLE]],2,4), TRIM(SUBSTITUTE(MID(Table15[[#This Row],[CONCERN.ID]],2,20),"","") )  )</f>
        <v>08.461.5342.99.3633</v>
      </c>
      <c r="F439" t="str">
        <f>TRIM(MID(Table15[[#This Row],[CONCERN.UNIQUEPATH]], IF( ISNUMBER( SEARCH("/",Table15[[#This Row],[CONCERN.UNIQUEPATH]])),SEARCH("/",Table15[[#This Row],[CONCERN.UNIQUEPATH]])+1,1),255))</f>
        <v>Maintainability/Modifiability/Development/Custom/Server/Services/Status/ErrorsService</v>
      </c>
    </row>
    <row r="440" spans="1:6">
      <c r="A440" t="s">
        <v>1969</v>
      </c>
      <c r="B440" t="s">
        <v>2246</v>
      </c>
      <c r="C440" s="35" t="s">
        <v>4312</v>
      </c>
      <c r="D440" s="27" t="s">
        <v>4313</v>
      </c>
      <c r="E440" t="str">
        <f xml:space="preserve"> CONCATENATE( MID(Table15[[#This Row],[PHASE]],2,3), MID(Table15[[#This Row],[DELIVERABLE]],2,4), TRIM(SUBSTITUTE(MID(Table15[[#This Row],[CONCERN.ID]],2,20),"","") )  )</f>
        <v>08.461.5342.99.3640</v>
      </c>
      <c r="F440" t="str">
        <f>TRIM(MID(Table15[[#This Row],[CONCERN.UNIQUEPATH]], IF( ISNUMBER( SEARCH("/",Table15[[#This Row],[CONCERN.UNIQUEPATH]])),SEARCH("/",Table15[[#This Row],[CONCERN.UNIQUEPATH]])+1,1),255))</f>
        <v>Maintainability/Modifiability/Development/Custom/Server/Services/Contet</v>
      </c>
    </row>
    <row r="441" spans="1:6">
      <c r="A441" t="s">
        <v>1969</v>
      </c>
      <c r="B441" t="s">
        <v>2246</v>
      </c>
      <c r="C441" s="34" t="s">
        <v>4314</v>
      </c>
      <c r="D441" s="26" t="s">
        <v>4315</v>
      </c>
      <c r="E441" s="45" t="str">
        <f xml:space="preserve"> CONCATENATE( MID(Table15[[#This Row],[PHASE]],2,3), MID(Table15[[#This Row],[DELIVERABLE]],2,4), TRIM(SUBSTITUTE(MID(Table15[[#This Row],[CONCERN.ID]],2,20),"","") )  )</f>
        <v>08.461.5342.99.3641</v>
      </c>
      <c r="F441" t="str">
        <f>TRIM(MID(Table15[[#This Row],[CONCERN.UNIQUEPATH]], IF( ISNUMBER( SEARCH("/",Table15[[#This Row],[CONCERN.UNIQUEPATH]])),SEARCH("/",Table15[[#This Row],[CONCERN.UNIQUEPATH]])+1,1),255))</f>
        <v>Maintainability/Modifiability/Development/Custom/Server/Services/Contet/ContetService</v>
      </c>
    </row>
    <row r="442" spans="1:6">
      <c r="A442" t="s">
        <v>1969</v>
      </c>
      <c r="B442" t="s">
        <v>2246</v>
      </c>
      <c r="C442" s="35" t="s">
        <v>4316</v>
      </c>
      <c r="D442" s="27" t="s">
        <v>4317</v>
      </c>
      <c r="E442" t="str">
        <f xml:space="preserve"> CONCATENATE( MID(Table15[[#This Row],[PHASE]],2,3), MID(Table15[[#This Row],[DELIVERABLE]],2,4), TRIM(SUBSTITUTE(MID(Table15[[#This Row],[CONCERN.ID]],2,20),"","") )  )</f>
        <v>08.461.5342.99.3643</v>
      </c>
      <c r="F442" t="str">
        <f>TRIM(MID(Table15[[#This Row],[CONCERN.UNIQUEPATH]], IF( ISNUMBER( SEARCH("/",Table15[[#This Row],[CONCERN.UNIQUEPATH]])),SEARCH("/",Table15[[#This Row],[CONCERN.UNIQUEPATH]])+1,1),255))</f>
        <v>Maintainability/Modifiability/Development/Custom/Server/Services/Contet/SessionService</v>
      </c>
    </row>
    <row r="443" spans="1:6">
      <c r="A443" t="s">
        <v>1969</v>
      </c>
      <c r="B443" t="s">
        <v>2246</v>
      </c>
      <c r="C443" s="34" t="s">
        <v>4318</v>
      </c>
      <c r="D443" s="26" t="s">
        <v>4319</v>
      </c>
      <c r="E443" s="45" t="str">
        <f xml:space="preserve"> CONCATENATE( MID(Table15[[#This Row],[PHASE]],2,3), MID(Table15[[#This Row],[DELIVERABLE]],2,4), TRIM(SUBSTITUTE(MID(Table15[[#This Row],[CONCERN.ID]],2,20),"","") )  )</f>
        <v>08.461.5342.99.3644</v>
      </c>
      <c r="F443" t="str">
        <f>TRIM(MID(Table15[[#This Row],[CONCERN.UNIQUEPATH]], IF( ISNUMBER( SEARCH("/",Table15[[#This Row],[CONCERN.UNIQUEPATH]])),SEARCH("/",Table15[[#This Row],[CONCERN.UNIQUEPATH]])+1,1),255))</f>
        <v>Maintainability/Modifiability/Development/Custom/Server/Services/Contet/RequestService</v>
      </c>
    </row>
    <row r="444" spans="1:6">
      <c r="A444" t="s">
        <v>1969</v>
      </c>
      <c r="B444" t="s">
        <v>2246</v>
      </c>
      <c r="C444" s="35" t="s">
        <v>4320</v>
      </c>
      <c r="D444" s="27" t="s">
        <v>4321</v>
      </c>
      <c r="E444" t="str">
        <f xml:space="preserve"> CONCATENATE( MID(Table15[[#This Row],[PHASE]],2,3), MID(Table15[[#This Row],[DELIVERABLE]],2,4), TRIM(SUBSTITUTE(MID(Table15[[#This Row],[CONCERN.ID]],2,20),"","") )  )</f>
        <v>08.461.5342.99.3645</v>
      </c>
      <c r="F444" t="str">
        <f>TRIM(MID(Table15[[#This Row],[CONCERN.UNIQUEPATH]], IF( ISNUMBER( SEARCH("/",Table15[[#This Row],[CONCERN.UNIQUEPATH]])),SEARCH("/",Table15[[#This Row],[CONCERN.UNIQUEPATH]])+1,1),255))</f>
        <v>Maintainability/Modifiability/Development/Custom/Server/Services/Contet/TenancyService</v>
      </c>
    </row>
    <row r="445" spans="1:6">
      <c r="A445" t="s">
        <v>1969</v>
      </c>
      <c r="B445" t="s">
        <v>2246</v>
      </c>
      <c r="C445" s="34" t="s">
        <v>4322</v>
      </c>
      <c r="D445" s="26" t="s">
        <v>4323</v>
      </c>
      <c r="E445" s="45" t="str">
        <f xml:space="preserve"> CONCATENATE( MID(Table15[[#This Row],[PHASE]],2,3), MID(Table15[[#This Row],[DELIVERABLE]],2,4), TRIM(SUBSTITUTE(MID(Table15[[#This Row],[CONCERN.ID]],2,20),"","") )  )</f>
        <v>08.461.5342.99.3646</v>
      </c>
      <c r="F445" t="str">
        <f>TRIM(MID(Table15[[#This Row],[CONCERN.UNIQUEPATH]], IF( ISNUMBER( SEARCH("/",Table15[[#This Row],[CONCERN.UNIQUEPATH]])),SEARCH("/",Table15[[#This Row],[CONCERN.UNIQUEPATH]])+1,1),255))</f>
        <v>Maintainability/Modifiability/Development/Custom/Server/Services/Contet/NavigationService</v>
      </c>
    </row>
    <row r="446" spans="1:6">
      <c r="A446" t="s">
        <v>1969</v>
      </c>
      <c r="B446" t="s">
        <v>2246</v>
      </c>
      <c r="C446" s="35" t="s">
        <v>4324</v>
      </c>
      <c r="D446" s="27" t="s">
        <v>4325</v>
      </c>
      <c r="E446" t="str">
        <f xml:space="preserve"> CONCATENATE( MID(Table15[[#This Row],[PHASE]],2,3), MID(Table15[[#This Row],[DELIVERABLE]],2,4), TRIM(SUBSTITUTE(MID(Table15[[#This Row],[CONCERN.ID]],2,20),"","") )  )</f>
        <v>08.461.5342.99.3650</v>
      </c>
      <c r="F446" t="str">
        <f>TRIM(MID(Table15[[#This Row],[CONCERN.UNIQUEPATH]], IF( ISNUMBER( SEARCH("/",Table15[[#This Row],[CONCERN.UNIQUEPATH]])),SEARCH("/",Table15[[#This Row],[CONCERN.UNIQUEPATH]])+1,1),255))</f>
        <v>Maintainability/Modifiability/Development/Custom/Server/Services/Authorisation</v>
      </c>
    </row>
    <row r="447" spans="1:6">
      <c r="A447" t="s">
        <v>1969</v>
      </c>
      <c r="B447" t="s">
        <v>2246</v>
      </c>
      <c r="C447" s="34" t="s">
        <v>4324</v>
      </c>
      <c r="D447" s="26" t="s">
        <v>4326</v>
      </c>
      <c r="E447" s="45" t="str">
        <f xml:space="preserve"> CONCATENATE( MID(Table15[[#This Row],[PHASE]],2,3), MID(Table15[[#This Row],[DELIVERABLE]],2,4), TRIM(SUBSTITUTE(MID(Table15[[#This Row],[CONCERN.ID]],2,20),"","") )  )</f>
        <v>08.461.5342.99.3650</v>
      </c>
      <c r="F447" t="str">
        <f>TRIM(MID(Table15[[#This Row],[CONCERN.UNIQUEPATH]], IF( ISNUMBER( SEARCH("/",Table15[[#This Row],[CONCERN.UNIQUEPATH]])),SEARCH("/",Table15[[#This Row],[CONCERN.UNIQUEPATH]])+1,1),255))</f>
        <v>Maintainability/Modifiability/Development/Custom/Server/Services/Configuration</v>
      </c>
    </row>
    <row r="448" spans="1:6">
      <c r="A448" t="s">
        <v>1969</v>
      </c>
      <c r="B448" t="s">
        <v>2246</v>
      </c>
      <c r="C448" s="35" t="s">
        <v>4324</v>
      </c>
      <c r="D448" s="27" t="s">
        <v>4327</v>
      </c>
      <c r="E448" t="str">
        <f xml:space="preserve"> CONCATENATE( MID(Table15[[#This Row],[PHASE]],2,3), MID(Table15[[#This Row],[DELIVERABLE]],2,4), TRIM(SUBSTITUTE(MID(Table15[[#This Row],[CONCERN.ID]],2,20),"","") )  )</f>
        <v>08.461.5342.99.3650</v>
      </c>
      <c r="F448" t="str">
        <f>TRIM(MID(Table15[[#This Row],[CONCERN.UNIQUEPATH]], IF( ISNUMBER( SEARCH("/",Table15[[#This Row],[CONCERN.UNIQUEPATH]])),SEARCH("/",Table15[[#This Row],[CONCERN.UNIQUEPATH]])+1,1),255))</f>
        <v>Maintainability/Modifiability/Development/Custom/Server/Services/Configuration/GroupProfileService</v>
      </c>
    </row>
    <row r="449" spans="1:6">
      <c r="A449" t="s">
        <v>1969</v>
      </c>
      <c r="B449" t="s">
        <v>2246</v>
      </c>
      <c r="C449" s="34" t="s">
        <v>4324</v>
      </c>
      <c r="D449" s="26" t="s">
        <v>4328</v>
      </c>
      <c r="E449" s="45" t="str">
        <f xml:space="preserve"> CONCATENATE( MID(Table15[[#This Row],[PHASE]],2,3), MID(Table15[[#This Row],[DELIVERABLE]],2,4), TRIM(SUBSTITUTE(MID(Table15[[#This Row],[CONCERN.ID]],2,20),"","") )  )</f>
        <v>08.461.5342.99.3650</v>
      </c>
      <c r="F449" t="str">
        <f>TRIM(MID(Table15[[#This Row],[CONCERN.UNIQUEPATH]], IF( ISNUMBER( SEARCH("/",Table15[[#This Row],[CONCERN.UNIQUEPATH]])),SEARCH("/",Table15[[#This Row],[CONCERN.UNIQUEPATH]])+1,1),255))</f>
        <v>Maintainability/Modifiability/Development/Custom/Server/Services/Configuration/GroupSettingsService</v>
      </c>
    </row>
    <row r="450" spans="1:6">
      <c r="A450" t="s">
        <v>1969</v>
      </c>
      <c r="B450" t="s">
        <v>2246</v>
      </c>
      <c r="C450" s="35" t="s">
        <v>4324</v>
      </c>
      <c r="D450" s="27" t="s">
        <v>4329</v>
      </c>
      <c r="E450" t="str">
        <f xml:space="preserve"> CONCATENATE( MID(Table15[[#This Row],[PHASE]],2,3), MID(Table15[[#This Row],[DELIVERABLE]],2,4), TRIM(SUBSTITUTE(MID(Table15[[#This Row],[CONCERN.ID]],2,20),"","") )  )</f>
        <v>08.461.5342.99.3650</v>
      </c>
      <c r="F450" t="str">
        <f>TRIM(MID(Table15[[#This Row],[CONCERN.UNIQUEPATH]], IF( ISNUMBER( SEARCH("/",Table15[[#This Row],[CONCERN.UNIQUEPATH]])),SEARCH("/",Table15[[#This Row],[CONCERN.UNIQUEPATH]])+1,1),255))</f>
        <v>Maintainability/Modifiability/Development/Custom/Server/Services/Configuration/HostSettingsService</v>
      </c>
    </row>
    <row r="451" spans="1:6">
      <c r="A451" t="s">
        <v>1969</v>
      </c>
      <c r="B451" t="s">
        <v>2246</v>
      </c>
      <c r="C451" s="34" t="s">
        <v>4324</v>
      </c>
      <c r="D451" s="26" t="s">
        <v>4330</v>
      </c>
      <c r="E451" s="45" t="str">
        <f xml:space="preserve"> CONCATENATE( MID(Table15[[#This Row],[PHASE]],2,3), MID(Table15[[#This Row],[DELIVERABLE]],2,4), TRIM(SUBSTITUTE(MID(Table15[[#This Row],[CONCERN.ID]],2,20),"","") )  )</f>
        <v>08.461.5342.99.3650</v>
      </c>
      <c r="F451" t="str">
        <f>TRIM(MID(Table15[[#This Row],[CONCERN.UNIQUEPATH]], IF( ISNUMBER( SEARCH("/",Table15[[#This Row],[CONCERN.UNIQUEPATH]])),SEARCH("/",Table15[[#This Row],[CONCERN.UNIQUEPATH]])+1,1),255))</f>
        <v>Maintainability/Modifiability/Development/Custom/Server/Services/Configuration/OrganisationSettingsService</v>
      </c>
    </row>
    <row r="452" spans="1:6">
      <c r="A452" t="s">
        <v>1969</v>
      </c>
      <c r="B452" t="s">
        <v>2246</v>
      </c>
      <c r="C452" s="35" t="s">
        <v>4324</v>
      </c>
      <c r="D452" s="27" t="s">
        <v>4331</v>
      </c>
      <c r="E452" t="str">
        <f xml:space="preserve"> CONCATENATE( MID(Table15[[#This Row],[PHASE]],2,3), MID(Table15[[#This Row],[DELIVERABLE]],2,4), TRIM(SUBSTITUTE(MID(Table15[[#This Row],[CONCERN.ID]],2,20),"","") )  )</f>
        <v>08.461.5342.99.3650</v>
      </c>
      <c r="F452" t="str">
        <f>TRIM(MID(Table15[[#This Row],[CONCERN.UNIQUEPATH]], IF( ISNUMBER( SEARCH("/",Table15[[#This Row],[CONCERN.UNIQUEPATH]])),SEARCH("/",Table15[[#This Row],[CONCERN.UNIQUEPATH]])+1,1),255))</f>
        <v>Maintainability/Modifiability/Development/Custom/Server/Services/Configuration/SystemSettingsService</v>
      </c>
    </row>
    <row r="453" spans="1:6">
      <c r="A453" t="s">
        <v>1969</v>
      </c>
      <c r="B453" t="s">
        <v>2246</v>
      </c>
      <c r="C453" s="34" t="s">
        <v>4324</v>
      </c>
      <c r="D453" s="26" t="s">
        <v>4332</v>
      </c>
      <c r="E453" s="45" t="str">
        <f xml:space="preserve"> CONCATENATE( MID(Table15[[#This Row],[PHASE]],2,3), MID(Table15[[#This Row],[DELIVERABLE]],2,4), TRIM(SUBSTITUTE(MID(Table15[[#This Row],[CONCERN.ID]],2,20),"","") )  )</f>
        <v>08.461.5342.99.3650</v>
      </c>
      <c r="F453" t="str">
        <f>TRIM(MID(Table15[[#This Row],[CONCERN.UNIQUEPATH]], IF( ISNUMBER( SEARCH("/",Table15[[#This Row],[CONCERN.UNIQUEPATH]])),SEARCH("/",Table15[[#This Row],[CONCERN.UNIQUEPATH]])+1,1),255))</f>
        <v>Maintainability/Modifiability/Development/Custom/Server/Services/Configuration/TenantSettingsService</v>
      </c>
    </row>
    <row r="454" spans="1:6">
      <c r="A454" t="s">
        <v>1969</v>
      </c>
      <c r="B454" t="s">
        <v>2246</v>
      </c>
      <c r="C454" s="35" t="s">
        <v>4324</v>
      </c>
      <c r="D454" s="27" t="s">
        <v>4333</v>
      </c>
      <c r="E454" t="str">
        <f xml:space="preserve"> CONCATENATE( MID(Table15[[#This Row],[PHASE]],2,3), MID(Table15[[#This Row],[DELIVERABLE]],2,4), TRIM(SUBSTITUTE(MID(Table15[[#This Row],[CONCERN.ID]],2,20),"","") )  )</f>
        <v>08.461.5342.99.3650</v>
      </c>
      <c r="F454" t="str">
        <f>TRIM(MID(Table15[[#This Row],[CONCERN.UNIQUEPATH]], IF( ISNUMBER( SEARCH("/",Table15[[#This Row],[CONCERN.UNIQUEPATH]])),SEARCH("/",Table15[[#This Row],[CONCERN.UNIQUEPATH]])+1,1),255))</f>
        <v>Maintainability/Modifiability/Development/Custom/Server/Services/Configuration/UserProfileService</v>
      </c>
    </row>
    <row r="455" spans="1:6">
      <c r="A455" t="s">
        <v>1969</v>
      </c>
      <c r="B455" t="s">
        <v>2246</v>
      </c>
      <c r="C455" s="34" t="s">
        <v>4334</v>
      </c>
      <c r="D455" s="26" t="s">
        <v>4335</v>
      </c>
      <c r="E455" s="45" t="str">
        <f xml:space="preserve"> CONCATENATE( MID(Table15[[#This Row],[PHASE]],2,3), MID(Table15[[#This Row],[DELIVERABLE]],2,4), TRIM(SUBSTITUTE(MID(Table15[[#This Row],[CONCERN.ID]],2,20),"","") )  )</f>
        <v>08.461.5342.99.3651</v>
      </c>
      <c r="F455" t="str">
        <f>TRIM(MID(Table15[[#This Row],[CONCERN.UNIQUEPATH]], IF( ISNUMBER( SEARCH("/",Table15[[#This Row],[CONCERN.UNIQUEPATH]])),SEARCH("/",Table15[[#This Row],[CONCERN.UNIQUEPATH]])+1,1),255))</f>
        <v>Maintainability/Modifiability/Development/Custom/Server/Services/Authorisation/SessionService</v>
      </c>
    </row>
    <row r="456" spans="1:6">
      <c r="A456" t="s">
        <v>1969</v>
      </c>
      <c r="B456" t="s">
        <v>2246</v>
      </c>
      <c r="C456" s="35" t="s">
        <v>4336</v>
      </c>
      <c r="D456" s="27" t="s">
        <v>4337</v>
      </c>
      <c r="E456" t="str">
        <f xml:space="preserve"> CONCATENATE( MID(Table15[[#This Row],[PHASE]],2,3), MID(Table15[[#This Row],[DELIVERABLE]],2,4), TRIM(SUBSTITUTE(MID(Table15[[#This Row],[CONCERN.ID]],2,20),"","") )  )</f>
        <v>08.461.5342.99.3652</v>
      </c>
      <c r="F456" t="str">
        <f>TRIM(MID(Table15[[#This Row],[CONCERN.UNIQUEPATH]], IF( ISNUMBER( SEARCH("/",Table15[[#This Row],[CONCERN.UNIQUEPATH]])),SEARCH("/",Table15[[#This Row],[CONCERN.UNIQUEPATH]])+1,1),255))</f>
        <v>Maintainability/Modifiability/Development/Custom/Server/Services/Authorisation/OperationsAuditingService</v>
      </c>
    </row>
    <row r="457" spans="1:6">
      <c r="A457" t="s">
        <v>1969</v>
      </c>
      <c r="B457" t="s">
        <v>2246</v>
      </c>
      <c r="C457" s="34" t="s">
        <v>4338</v>
      </c>
      <c r="D457" s="26" t="s">
        <v>4339</v>
      </c>
      <c r="E457" s="45" t="str">
        <f xml:space="preserve"> CONCATENATE( MID(Table15[[#This Row],[PHASE]],2,3), MID(Table15[[#This Row],[DELIVERABLE]],2,4), TRIM(SUBSTITUTE(MID(Table15[[#This Row],[CONCERN.ID]],2,20),"","") )  )</f>
        <v>08.461.5342.99.3654</v>
      </c>
      <c r="F457" t="str">
        <f>TRIM(MID(Table15[[#This Row],[CONCERN.UNIQUEPATH]], IF( ISNUMBER( SEARCH("/",Table15[[#This Row],[CONCERN.UNIQUEPATH]])),SEARCH("/",Table15[[#This Row],[CONCERN.UNIQUEPATH]])+1,1),255))</f>
        <v>Maintainability/Modifiability/Development/Custom/Server/Services/Authorisation/UserService</v>
      </c>
    </row>
    <row r="458" spans="1:6">
      <c r="A458" t="s">
        <v>1969</v>
      </c>
      <c r="B458" t="s">
        <v>2246</v>
      </c>
      <c r="C458" s="35" t="s">
        <v>4340</v>
      </c>
      <c r="D458" s="27" t="s">
        <v>4341</v>
      </c>
      <c r="E458" t="str">
        <f xml:space="preserve"> CONCATENATE( MID(Table15[[#This Row],[PHASE]],2,3), MID(Table15[[#This Row],[DELIVERABLE]],2,4), TRIM(SUBSTITUTE(MID(Table15[[#This Row],[CONCERN.ID]],2,20),"","") )  )</f>
        <v>08.461.5342.99.3655</v>
      </c>
      <c r="F458" t="str">
        <f>TRIM(MID(Table15[[#This Row],[CONCERN.UNIQUEPATH]], IF( ISNUMBER( SEARCH("/",Table15[[#This Row],[CONCERN.UNIQUEPATH]])),SEARCH("/",Table15[[#This Row],[CONCERN.UNIQUEPATH]])+1,1),255))</f>
        <v>Maintainability/Modifiability/Development/Custom/Server/Services/Authorisation/GroupService</v>
      </c>
    </row>
    <row r="459" spans="1:6">
      <c r="A459" t="s">
        <v>1969</v>
      </c>
      <c r="B459" t="s">
        <v>2246</v>
      </c>
      <c r="C459" s="34" t="s">
        <v>4342</v>
      </c>
      <c r="D459" s="26" t="s">
        <v>4343</v>
      </c>
      <c r="E459" s="45" t="str">
        <f xml:space="preserve"> CONCATENATE( MID(Table15[[#This Row],[PHASE]],2,3), MID(Table15[[#This Row],[DELIVERABLE]],2,4), TRIM(SUBSTITUTE(MID(Table15[[#This Row],[CONCERN.ID]],2,20),"","") )  )</f>
        <v>08.461.5342.99.3656</v>
      </c>
      <c r="F459" t="str">
        <f>TRIM(MID(Table15[[#This Row],[CONCERN.UNIQUEPATH]], IF( ISNUMBER( SEARCH("/",Table15[[#This Row],[CONCERN.UNIQUEPATH]])),SEARCH("/",Table15[[#This Row],[CONCERN.UNIQUEPATH]])+1,1),255))</f>
        <v>Maintainability/Modifiability/Development/Custom/Server/Services/Authorisation/GroupRolesService</v>
      </c>
    </row>
    <row r="460" spans="1:6">
      <c r="A460" t="s">
        <v>1969</v>
      </c>
      <c r="B460" t="s">
        <v>2246</v>
      </c>
      <c r="C460" s="35" t="s">
        <v>4344</v>
      </c>
      <c r="D460" s="27" t="s">
        <v>4345</v>
      </c>
      <c r="E460" t="str">
        <f xml:space="preserve"> CONCATENATE( MID(Table15[[#This Row],[PHASE]],2,3), MID(Table15[[#This Row],[DELIVERABLE]],2,4), TRIM(SUBSTITUTE(MID(Table15[[#This Row],[CONCERN.ID]],2,20),"","") )  )</f>
        <v>08.461.5342.99.3657</v>
      </c>
      <c r="F460" t="str">
        <f>TRIM(MID(Table15[[#This Row],[CONCERN.UNIQUEPATH]], IF( ISNUMBER( SEARCH("/",Table15[[#This Row],[CONCERN.UNIQUEPATH]])),SEARCH("/",Table15[[#This Row],[CONCERN.UNIQUEPATH]])+1,1),255))</f>
        <v>Maintainability/Modifiability/Development/Custom/Server/Services/Authorisation/ModulePermissionsService</v>
      </c>
    </row>
    <row r="461" spans="1:6">
      <c r="A461" t="s">
        <v>1969</v>
      </c>
      <c r="B461" t="s">
        <v>2246</v>
      </c>
      <c r="C461" s="34" t="s">
        <v>4346</v>
      </c>
      <c r="D461" s="26" t="s">
        <v>4347</v>
      </c>
      <c r="E461" s="45" t="str">
        <f xml:space="preserve"> CONCATENATE( MID(Table15[[#This Row],[PHASE]],2,3), MID(Table15[[#This Row],[DELIVERABLE]],2,4), TRIM(SUBSTITUTE(MID(Table15[[#This Row],[CONCERN.ID]],2,20),"","") )  )</f>
        <v>08.461.5342.99.3658</v>
      </c>
      <c r="F461" t="str">
        <f>TRIM(MID(Table15[[#This Row],[CONCERN.UNIQUEPATH]], IF( ISNUMBER( SEARCH("/",Table15[[#This Row],[CONCERN.UNIQUEPATH]])),SEARCH("/",Table15[[#This Row],[CONCERN.UNIQUEPATH]])+1,1),255))</f>
        <v>Maintainability/Modifiability/Development/Custom/Server/Services/Authorisation/RolePermissionsService</v>
      </c>
    </row>
    <row r="462" spans="1:6">
      <c r="A462" t="s">
        <v>1969</v>
      </c>
      <c r="B462" t="s">
        <v>2246</v>
      </c>
      <c r="C462" s="35" t="s">
        <v>4348</v>
      </c>
      <c r="D462" s="27" t="s">
        <v>4349</v>
      </c>
      <c r="E462" t="str">
        <f xml:space="preserve"> CONCATENATE( MID(Table15[[#This Row],[PHASE]],2,3), MID(Table15[[#This Row],[DELIVERABLE]],2,4), TRIM(SUBSTITUTE(MID(Table15[[#This Row],[CONCERN.ID]],2,20),"","") )  )</f>
        <v>08.461.5342.99.3659</v>
      </c>
      <c r="F462" t="str">
        <f>TRIM(MID(Table15[[#This Row],[CONCERN.UNIQUEPATH]], IF( ISNUMBER( SEARCH("/",Table15[[#This Row],[CONCERN.UNIQUEPATH]])),SEARCH("/",Table15[[#This Row],[CONCERN.UNIQUEPATH]])+1,1),255))</f>
        <v>Maintainability/Modifiability/Development/Custom/Server/Services/Authorisation/ProductRolesService</v>
      </c>
    </row>
    <row r="463" spans="1:6">
      <c r="A463" t="s">
        <v>1969</v>
      </c>
      <c r="B463" t="s">
        <v>2246</v>
      </c>
      <c r="C463" s="34" t="s">
        <v>4350</v>
      </c>
      <c r="D463" s="26" t="s">
        <v>4351</v>
      </c>
      <c r="E463" s="45" t="str">
        <f xml:space="preserve"> CONCATENATE( MID(Table15[[#This Row],[PHASE]],2,3), MID(Table15[[#This Row],[DELIVERABLE]],2,4), TRIM(SUBSTITUTE(MID(Table15[[#This Row],[CONCERN.ID]],2,20),"","") )  )</f>
        <v>08.461.5342.99.3660</v>
      </c>
      <c r="F463" t="str">
        <f>TRIM(MID(Table15[[#This Row],[CONCERN.UNIQUEPATH]], IF( ISNUMBER( SEARCH("/",Table15[[#This Row],[CONCERN.UNIQUEPATH]])),SEARCH("/",Table15[[#This Row],[CONCERN.UNIQUEPATH]])+1,1),255))</f>
        <v>Maintainability/Modifiability/Development/Custom/Server/Services/Media</v>
      </c>
    </row>
    <row r="464" spans="1:6">
      <c r="A464" t="s">
        <v>1969</v>
      </c>
      <c r="B464" t="s">
        <v>2246</v>
      </c>
      <c r="C464" s="35" t="s">
        <v>4352</v>
      </c>
      <c r="D464" s="27" t="s">
        <v>4353</v>
      </c>
      <c r="E464" t="str">
        <f xml:space="preserve"> CONCATENATE( MID(Table15[[#This Row],[PHASE]],2,3), MID(Table15[[#This Row],[DELIVERABLE]],2,4), TRIM(SUBSTITUTE(MID(Table15[[#This Row],[CONCERN.ID]],2,20),"","") )  )</f>
        <v>08.461.5342.99.3661</v>
      </c>
      <c r="F464" t="str">
        <f>TRIM(MID(Table15[[#This Row],[CONCERN.UNIQUEPATH]], IF( ISNUMBER( SEARCH("/",Table15[[#This Row],[CONCERN.UNIQUEPATH]])),SEARCH("/",Table15[[#This Row],[CONCERN.UNIQUEPATH]])+1,1),255))</f>
        <v>Maintainability/Modifiability/Development/Custom/Server/Services/Media/TemplateService</v>
      </c>
    </row>
    <row r="465" spans="1:6">
      <c r="A465" t="s">
        <v>1969</v>
      </c>
      <c r="B465" t="s">
        <v>2246</v>
      </c>
      <c r="C465" s="34" t="s">
        <v>4354</v>
      </c>
      <c r="D465" s="26" t="s">
        <v>4355</v>
      </c>
      <c r="E465" s="45" t="str">
        <f xml:space="preserve"> CONCATENATE( MID(Table15[[#This Row],[PHASE]],2,3), MID(Table15[[#This Row],[DELIVERABLE]],2,4), TRIM(SUBSTITUTE(MID(Table15[[#This Row],[CONCERN.ID]],2,20),"","") )  )</f>
        <v>08.461.5342.99.3662</v>
      </c>
      <c r="F465" t="str">
        <f>TRIM(MID(Table15[[#This Row],[CONCERN.UNIQUEPATH]], IF( ISNUMBER( SEARCH("/",Table15[[#This Row],[CONCERN.UNIQUEPATH]])),SEARCH("/",Table15[[#This Row],[CONCERN.UNIQUEPATH]])+1,1),255))</f>
        <v>Maintainability/Modifiability/Development/Custom/Server/Services/Media/ReportingService</v>
      </c>
    </row>
    <row r="466" spans="1:6">
      <c r="A466" t="s">
        <v>1969</v>
      </c>
      <c r="B466" t="s">
        <v>2246</v>
      </c>
      <c r="C466" s="35" t="s">
        <v>4356</v>
      </c>
      <c r="D466" s="27" t="s">
        <v>4357</v>
      </c>
      <c r="E466" t="str">
        <f xml:space="preserve"> CONCATENATE( MID(Table15[[#This Row],[PHASE]],2,3), MID(Table15[[#This Row],[DELIVERABLE]],2,4), TRIM(SUBSTITUTE(MID(Table15[[#This Row],[CONCERN.ID]],2,20),"","") )  )</f>
        <v>08.461.5342.99.3663</v>
      </c>
      <c r="F466" t="str">
        <f>TRIM(MID(Table15[[#This Row],[CONCERN.UNIQUEPATH]], IF( ISNUMBER( SEARCH("/",Table15[[#This Row],[CONCERN.UNIQUEPATH]])),SEARCH("/",Table15[[#This Row],[CONCERN.UNIQUEPATH]])+1,1),255))</f>
        <v>Maintainability/Modifiability/Development/Custom/Server/Services/Media/MediaService</v>
      </c>
    </row>
    <row r="467" spans="1:6">
      <c r="A467" t="s">
        <v>1969</v>
      </c>
      <c r="B467" t="s">
        <v>2246</v>
      </c>
      <c r="C467" s="34" t="s">
        <v>4358</v>
      </c>
      <c r="D467" s="26" t="s">
        <v>4359</v>
      </c>
      <c r="E467" s="45" t="str">
        <f xml:space="preserve"> CONCATENATE( MID(Table15[[#This Row],[PHASE]],2,3), MID(Table15[[#This Row],[DELIVERABLE]],2,4), TRIM(SUBSTITUTE(MID(Table15[[#This Row],[CONCERN.ID]],2,20),"","") )  )</f>
        <v>08.461.5342.99.3664</v>
      </c>
      <c r="F467" t="str">
        <f>TRIM(MID(Table15[[#This Row],[CONCERN.UNIQUEPATH]], IF( ISNUMBER( SEARCH("/",Table15[[#This Row],[CONCERN.UNIQUEPATH]])),SEARCH("/",Table15[[#This Row],[CONCERN.UNIQUEPATH]])+1,1),255))</f>
        <v>Maintainability/Modifiability/Development/Custom/Server/Services/Media/MediaCollectionsService</v>
      </c>
    </row>
    <row r="468" spans="1:6">
      <c r="A468" t="s">
        <v>1969</v>
      </c>
      <c r="B468" t="s">
        <v>2246</v>
      </c>
      <c r="C468" s="35" t="s">
        <v>4358</v>
      </c>
      <c r="D468" s="27" t="s">
        <v>4360</v>
      </c>
      <c r="E468" t="str">
        <f xml:space="preserve"> CONCATENATE( MID(Table15[[#This Row],[PHASE]],2,3), MID(Table15[[#This Row],[DELIVERABLE]],2,4), TRIM(SUBSTITUTE(MID(Table15[[#This Row],[CONCERN.ID]],2,20),"","") )  )</f>
        <v>08.461.5342.99.3664</v>
      </c>
      <c r="F468" t="str">
        <f>TRIM(MID(Table15[[#This Row],[CONCERN.UNIQUEPATH]], IF( ISNUMBER( SEARCH("/",Table15[[#This Row],[CONCERN.UNIQUEPATH]])),SEARCH("/",Table15[[#This Row],[CONCERN.UNIQUEPATH]])+1,1),255))</f>
        <v>Maintainability/Modifiability/Development/Custom/Server/Services/Media/ZipService</v>
      </c>
    </row>
    <row r="469" spans="1:6">
      <c r="A469" t="s">
        <v>1969</v>
      </c>
      <c r="B469" t="s">
        <v>2246</v>
      </c>
      <c r="C469" s="34" t="s">
        <v>4361</v>
      </c>
      <c r="D469" s="26" t="s">
        <v>4362</v>
      </c>
      <c r="E469" s="45" t="str">
        <f xml:space="preserve"> CONCATENATE( MID(Table15[[#This Row],[PHASE]],2,3), MID(Table15[[#This Row],[DELIVERABLE]],2,4), TRIM(SUBSTITUTE(MID(Table15[[#This Row],[CONCERN.ID]],2,20),"","") )  )</f>
        <v>08.461.5342.99.3670</v>
      </c>
      <c r="F469" t="str">
        <f>TRIM(MID(Table15[[#This Row],[CONCERN.UNIQUEPATH]], IF( ISNUMBER( SEARCH("/",Table15[[#This Row],[CONCERN.UNIQUEPATH]])),SEARCH("/",Table15[[#This Row],[CONCERN.UNIQUEPATH]])+1,1),255))</f>
        <v>Maintainability/Modifiability/Development/Custom/Server/Services/Feedback</v>
      </c>
    </row>
    <row r="470" spans="1:6">
      <c r="A470" t="s">
        <v>1969</v>
      </c>
      <c r="B470" t="s">
        <v>2246</v>
      </c>
      <c r="C470" s="35" t="s">
        <v>4363</v>
      </c>
      <c r="D470" s="27" t="s">
        <v>4364</v>
      </c>
      <c r="E470" t="str">
        <f xml:space="preserve"> CONCATENATE( MID(Table15[[#This Row],[PHASE]],2,3), MID(Table15[[#This Row],[DELIVERABLE]],2,4), TRIM(SUBSTITUTE(MID(Table15[[#This Row],[CONCERN.ID]],2,20),"","") )  )</f>
        <v>08.461.5342.99.3671</v>
      </c>
      <c r="F470" t="str">
        <f>TRIM(MID(Table15[[#This Row],[CONCERN.UNIQUEPATH]], IF( ISNUMBER( SEARCH("/",Table15[[#This Row],[CONCERN.UNIQUEPATH]])),SEARCH("/",Table15[[#This Row],[CONCERN.UNIQUEPATH]])+1,1),255))</f>
        <v>Maintainability/Modifiability/Development/Custom/Server/Services/Feedback/SocialMediaService</v>
      </c>
    </row>
    <row r="471" spans="1:6">
      <c r="A471" t="s">
        <v>1969</v>
      </c>
      <c r="B471" t="s">
        <v>2246</v>
      </c>
      <c r="C471" s="34" t="s">
        <v>4365</v>
      </c>
      <c r="D471" s="26" t="s">
        <v>4366</v>
      </c>
      <c r="E471" s="45" t="str">
        <f xml:space="preserve"> CONCATENATE( MID(Table15[[#This Row],[PHASE]],2,3), MID(Table15[[#This Row],[DELIVERABLE]],2,4), TRIM(SUBSTITUTE(MID(Table15[[#This Row],[CONCERN.ID]],2,20),"","") )  )</f>
        <v>08.461.5342.99.3672</v>
      </c>
      <c r="F471" t="str">
        <f>TRIM(MID(Table15[[#This Row],[CONCERN.UNIQUEPATH]], IF( ISNUMBER( SEARCH("/",Table15[[#This Row],[CONCERN.UNIQUEPATH]])),SEARCH("/",Table15[[#This Row],[CONCERN.UNIQUEPATH]])+1,1),255))</f>
        <v>Maintainability/Modifiability/Development/Custom/Server/Services/Feedback/RatingsService</v>
      </c>
    </row>
    <row r="472" spans="1:6">
      <c r="A472" t="s">
        <v>1969</v>
      </c>
      <c r="B472" t="s">
        <v>2246</v>
      </c>
      <c r="C472" s="35" t="s">
        <v>4367</v>
      </c>
      <c r="D472" s="27" t="s">
        <v>4368</v>
      </c>
      <c r="E472" t="str">
        <f xml:space="preserve"> CONCATENATE( MID(Table15[[#This Row],[PHASE]],2,3), MID(Table15[[#This Row],[DELIVERABLE]],2,4), TRIM(SUBSTITUTE(MID(Table15[[#This Row],[CONCERN.ID]],2,20),"","") )  )</f>
        <v>08.461.5342.99.3673</v>
      </c>
      <c r="F472" t="str">
        <f>TRIM(MID(Table15[[#This Row],[CONCERN.UNIQUEPATH]], IF( ISNUMBER( SEARCH("/",Table15[[#This Row],[CONCERN.UNIQUEPATH]])),SEARCH("/",Table15[[#This Row],[CONCERN.UNIQUEPATH]])+1,1),255))</f>
        <v>Maintainability/Modifiability/Development/Custom/Server/Services/Feedback/CommentsService</v>
      </c>
    </row>
    <row r="473" spans="1:6">
      <c r="A473" t="s">
        <v>1969</v>
      </c>
      <c r="B473" t="s">
        <v>2246</v>
      </c>
      <c r="C473" s="34" t="s">
        <v>4369</v>
      </c>
      <c r="D473" s="26" t="s">
        <v>4370</v>
      </c>
      <c r="E473" s="45" t="str">
        <f xml:space="preserve"> CONCATENATE( MID(Table15[[#This Row],[PHASE]],2,3), MID(Table15[[#This Row],[DELIVERABLE]],2,4), TRIM(SUBSTITUTE(MID(Table15[[#This Row],[CONCERN.ID]],2,20),"","") )  )</f>
        <v>08.461.5342.99.3675</v>
      </c>
      <c r="F473" t="str">
        <f>TRIM(MID(Table15[[#This Row],[CONCERN.UNIQUEPATH]], IF( ISNUMBER( SEARCH("/",Table15[[#This Row],[CONCERN.UNIQUEPATH]])),SEARCH("/",Table15[[#This Row],[CONCERN.UNIQUEPATH]])+1,1),255))</f>
        <v>Maintainability/Modifiability/Development/Custom/Server/Services/Customisation/TaggingService</v>
      </c>
    </row>
    <row r="474" spans="1:6">
      <c r="A474" t="s">
        <v>1969</v>
      </c>
      <c r="B474" t="s">
        <v>2246</v>
      </c>
      <c r="C474" s="35" t="s">
        <v>4371</v>
      </c>
      <c r="D474" s="27" t="s">
        <v>4372</v>
      </c>
      <c r="E474" t="str">
        <f xml:space="preserve"> CONCATENATE( MID(Table15[[#This Row],[PHASE]],2,3), MID(Table15[[#This Row],[DELIVERABLE]],2,4), TRIM(SUBSTITUTE(MID(Table15[[#This Row],[CONCERN.ID]],2,20),"","") )  )</f>
        <v>08.461.5342.99.3680</v>
      </c>
      <c r="F474" t="str">
        <f>TRIM(MID(Table15[[#This Row],[CONCERN.UNIQUEPATH]], IF( ISNUMBER( SEARCH("/",Table15[[#This Row],[CONCERN.UNIQUEPATH]])),SEARCH("/",Table15[[#This Row],[CONCERN.UNIQUEPATH]])+1,1),255))</f>
        <v>Maintainability/Modifiability/Development/Custom/Server/Services/Product</v>
      </c>
    </row>
    <row r="475" spans="1:6">
      <c r="A475" t="s">
        <v>1969</v>
      </c>
      <c r="B475" t="s">
        <v>2246</v>
      </c>
      <c r="C475" s="34" t="s">
        <v>4373</v>
      </c>
      <c r="D475" s="26" t="s">
        <v>4374</v>
      </c>
      <c r="E475" s="45" t="str">
        <f xml:space="preserve"> CONCATENATE( MID(Table15[[#This Row],[PHASE]],2,3), MID(Table15[[#This Row],[DELIVERABLE]],2,4), TRIM(SUBSTITUTE(MID(Table15[[#This Row],[CONCERN.ID]],2,20),"","") )  )</f>
        <v>08.461.5342.99.3681</v>
      </c>
      <c r="F475" t="str">
        <f>TRIM(MID(Table15[[#This Row],[CONCERN.UNIQUEPATH]], IF( ISNUMBER( SEARCH("/",Table15[[#This Row],[CONCERN.UNIQUEPATH]])),SEARCH("/",Table15[[#This Row],[CONCERN.UNIQUEPATH]])+1,1),255))</f>
        <v>Maintainability/Modifiability/Development/Custom/Server/Services/ProductManagementService</v>
      </c>
    </row>
    <row r="476" spans="1:6">
      <c r="A476" t="s">
        <v>1969</v>
      </c>
      <c r="B476" t="s">
        <v>2246</v>
      </c>
      <c r="C476" s="35" t="s">
        <v>4375</v>
      </c>
      <c r="D476" s="27" t="s">
        <v>4376</v>
      </c>
      <c r="E476" t="str">
        <f xml:space="preserve"> CONCATENATE( MID(Table15[[#This Row],[PHASE]],2,3), MID(Table15[[#This Row],[DELIVERABLE]],2,4), TRIM(SUBSTITUTE(MID(Table15[[#This Row],[CONCERN.ID]],2,20),"","") )  )</f>
        <v>08.461.5342.99.3691</v>
      </c>
      <c r="F476" t="str">
        <f>TRIM(MID(Table15[[#This Row],[CONCERN.UNIQUEPATH]], IF( ISNUMBER( SEARCH("/",Table15[[#This Row],[CONCERN.UNIQUEPATH]])),SEARCH("/",Table15[[#This Row],[CONCERN.UNIQUEPATH]])+1,1),255))</f>
        <v>Maintainability/Modifiability/Development/Custom/Server/Services/Models/ModelValidationService</v>
      </c>
    </row>
    <row r="477" spans="1:6">
      <c r="A477" t="s">
        <v>1969</v>
      </c>
      <c r="B477" t="s">
        <v>2246</v>
      </c>
      <c r="C477" s="34" t="s">
        <v>4377</v>
      </c>
      <c r="D477" s="26" t="s">
        <v>4378</v>
      </c>
      <c r="E477" s="45" t="str">
        <f xml:space="preserve"> CONCATENATE( MID(Table15[[#This Row],[PHASE]],2,3), MID(Table15[[#This Row],[DELIVERABLE]],2,4), TRIM(SUBSTITUTE(MID(Table15[[#This Row],[CONCERN.ID]],2,20),"","") )  )</f>
        <v>08.461.5342.99.3692</v>
      </c>
      <c r="F477" t="str">
        <f>TRIM(MID(Table15[[#This Row],[CONCERN.UNIQUEPATH]], IF( ISNUMBER( SEARCH("/",Table15[[#This Row],[CONCERN.UNIQUEPATH]])),SEARCH("/",Table15[[#This Row],[CONCERN.UNIQUEPATH]])+1,1),255))</f>
        <v>Maintainability/Modifiability/Development/Custom/Server/Services/Models/ModelMappingService</v>
      </c>
    </row>
    <row r="478" spans="1:6">
      <c r="A478" t="s">
        <v>1969</v>
      </c>
      <c r="B478" t="s">
        <v>2246</v>
      </c>
      <c r="C478" s="35" t="s">
        <v>4379</v>
      </c>
      <c r="D478" s="27" t="s">
        <v>4380</v>
      </c>
      <c r="E478" t="str">
        <f xml:space="preserve"> CONCATENATE( MID(Table15[[#This Row],[PHASE]],2,3), MID(Table15[[#This Row],[DELIVERABLE]],2,4), TRIM(SUBSTITUTE(MID(Table15[[#This Row],[CONCERN.ID]],2,20),"","") )  )</f>
        <v>08.461.5342.99.3693</v>
      </c>
      <c r="F478" t="str">
        <f>TRIM(MID(Table15[[#This Row],[CONCERN.UNIQUEPATH]], IF( ISNUMBER( SEARCH("/",Table15[[#This Row],[CONCERN.UNIQUEPATH]])),SEARCH("/",Table15[[#This Row],[CONCERN.UNIQUEPATH]])+1,1),255))</f>
        <v>Maintainability/Modifiability/Development/Custom/Server/Services/Models/AsyncQueueProcessingService</v>
      </c>
    </row>
    <row r="479" spans="1:6">
      <c r="A479" t="s">
        <v>1969</v>
      </c>
      <c r="B479" t="s">
        <v>2246</v>
      </c>
      <c r="C479" s="34" t="s">
        <v>4381</v>
      </c>
      <c r="D479" s="26" t="s">
        <v>4382</v>
      </c>
      <c r="E479" s="45" t="str">
        <f xml:space="preserve"> CONCATENATE( MID(Table15[[#This Row],[PHASE]],2,3), MID(Table15[[#This Row],[DELIVERABLE]],2,4), TRIM(SUBSTITUTE(MID(Table15[[#This Row],[CONCERN.ID]],2,20),"","") )  )</f>
        <v>08.461.5342.99.3694</v>
      </c>
      <c r="F479" t="str">
        <f>TRIM(MID(Table15[[#This Row],[CONCERN.UNIQUEPATH]], IF( ISNUMBER( SEARCH("/",Table15[[#This Row],[CONCERN.UNIQUEPATH]])),SEARCH("/",Table15[[#This Row],[CONCERN.UNIQUEPATH]])+1,1),255))</f>
        <v>Maintainability/Modifiability/Development/Custom/Server/Services/Models/UUIDGenerationService</v>
      </c>
    </row>
    <row r="480" spans="1:6">
      <c r="A480" t="s">
        <v>1969</v>
      </c>
      <c r="B480" t="s">
        <v>2246</v>
      </c>
      <c r="C480" s="35" t="s">
        <v>4383</v>
      </c>
      <c r="D480" s="27" t="s">
        <v>4384</v>
      </c>
      <c r="E480" t="str">
        <f xml:space="preserve"> CONCATENATE( MID(Table15[[#This Row],[PHASE]],2,3), MID(Table15[[#This Row],[DELIVERABLE]],2,4), TRIM(SUBSTITUTE(MID(Table15[[#This Row],[CONCERN.ID]],2,20),"","") )  )</f>
        <v>08.461.5342.99.3700</v>
      </c>
      <c r="F480" t="str">
        <f>TRIM(MID(Table15[[#This Row],[CONCERN.UNIQUEPATH]], IF( ISNUMBER( SEARCH("/",Table15[[#This Row],[CONCERN.UNIQUEPATH]])),SEARCH("/",Table15[[#This Row],[CONCERN.UNIQUEPATH]])+1,1),255))</f>
        <v>Maintainability/Modifiability/Development/Custom/Server/Libraries</v>
      </c>
    </row>
    <row r="481" spans="1:6">
      <c r="A481" t="s">
        <v>1969</v>
      </c>
      <c r="B481" t="s">
        <v>2246</v>
      </c>
      <c r="C481" s="34" t="s">
        <v>4385</v>
      </c>
      <c r="D481" s="26" t="s">
        <v>4386</v>
      </c>
      <c r="E481" s="45" t="str">
        <f xml:space="preserve"> CONCATENATE( MID(Table15[[#This Row],[PHASE]],2,3), MID(Table15[[#This Row],[DELIVERABLE]],2,4), TRIM(SUBSTITUTE(MID(Table15[[#This Row],[CONCERN.ID]],2,20),"","") )  )</f>
        <v>08.461.5342.99.3710</v>
      </c>
      <c r="F481" t="str">
        <f>TRIM(MID(Table15[[#This Row],[CONCERN.UNIQUEPATH]], IF( ISNUMBER( SEARCH("/",Table15[[#This Row],[CONCERN.UNIQUEPATH]])),SEARCH("/",Table15[[#This Row],[CONCERN.UNIQUEPATH]])+1,1),255))</f>
        <v>Maintainability/Modifiability/Development/Custom/Server/Libraries/Prefer Open Source</v>
      </c>
    </row>
    <row r="482" spans="1:6">
      <c r="A482" t="s">
        <v>1969</v>
      </c>
      <c r="B482" t="s">
        <v>2246</v>
      </c>
      <c r="C482" s="35" t="s">
        <v>4387</v>
      </c>
      <c r="D482" s="27" t="s">
        <v>4388</v>
      </c>
      <c r="E482" t="str">
        <f xml:space="preserve"> CONCATENATE( MID(Table15[[#This Row],[PHASE]],2,3), MID(Table15[[#This Row],[DELIVERABLE]],2,4), TRIM(SUBSTITUTE(MID(Table15[[#This Row],[CONCERN.ID]],2,20),"","") )  )</f>
        <v>08.461.5342.99.3720</v>
      </c>
      <c r="F482" t="str">
        <f>TRIM(MID(Table15[[#This Row],[CONCERN.UNIQUEPATH]], IF( ISNUMBER( SEARCH("/",Table15[[#This Row],[CONCERN.UNIQUEPATH]])),SEARCH("/",Table15[[#This Row],[CONCERN.UNIQUEPATH]])+1,1),255))</f>
        <v>Maintainability/Modifiability/Development/Custom/Server/Libraries/Cloud Services are the new DLLs</v>
      </c>
    </row>
    <row r="483" spans="1:6">
      <c r="A483" t="s">
        <v>1969</v>
      </c>
      <c r="B483" t="s">
        <v>2246</v>
      </c>
      <c r="C483" s="34" t="s">
        <v>4389</v>
      </c>
      <c r="D483" s="26" t="s">
        <v>4390</v>
      </c>
      <c r="E483" s="45" t="str">
        <f xml:space="preserve"> CONCATENATE( MID(Table15[[#This Row],[PHASE]],2,3), MID(Table15[[#This Row],[DELIVERABLE]],2,4), TRIM(SUBSTITUTE(MID(Table15[[#This Row],[CONCERN.ID]],2,20),"","") )  )</f>
        <v>08.461.5342.99.3800</v>
      </c>
      <c r="F483" t="str">
        <f>TRIM(MID(Table15[[#This Row],[CONCERN.UNIQUEPATH]], IF( ISNUMBER( SEARCH("/",Table15[[#This Row],[CONCERN.UNIQUEPATH]])),SEARCH("/",Table15[[#This Row],[CONCERN.UNIQUEPATH]])+1,1),255))</f>
        <v>Maintainability/Modifiability/Development/Custom/Server/Dependencies</v>
      </c>
    </row>
    <row r="484" spans="1:6">
      <c r="A484" t="s">
        <v>1969</v>
      </c>
      <c r="B484" t="s">
        <v>2246</v>
      </c>
      <c r="C484" s="35" t="s">
        <v>4391</v>
      </c>
      <c r="D484" s="27" t="s">
        <v>4392</v>
      </c>
      <c r="E484" t="str">
        <f xml:space="preserve"> CONCATENATE( MID(Table15[[#This Row],[PHASE]],2,3), MID(Table15[[#This Row],[DELIVERABLE]],2,4), TRIM(SUBSTITUTE(MID(Table15[[#This Row],[CONCERN.ID]],2,20),"","") )  )</f>
        <v>08.461.5342.99.3810</v>
      </c>
      <c r="F484" t="str">
        <f>TRIM(MID(Table15[[#This Row],[CONCERN.UNIQUEPATH]], IF( ISNUMBER( SEARCH("/",Table15[[#This Row],[CONCERN.UNIQUEPATH]])),SEARCH("/",Table15[[#This Row],[CONCERN.UNIQUEPATH]])+1,1),255))</f>
        <v>Maintainability/Modifiability/Development/Custom/Server/Dependencies/Contet</v>
      </c>
    </row>
    <row r="485" spans="1:6">
      <c r="A485" t="s">
        <v>1969</v>
      </c>
      <c r="B485" t="s">
        <v>2246</v>
      </c>
      <c r="C485" s="34" t="s">
        <v>4393</v>
      </c>
      <c r="D485" s="26" t="s">
        <v>4394</v>
      </c>
      <c r="E485" s="45" t="str">
        <f xml:space="preserve"> CONCATENATE( MID(Table15[[#This Row],[PHASE]],2,3), MID(Table15[[#This Row],[DELIVERABLE]],2,4), TRIM(SUBSTITUTE(MID(Table15[[#This Row],[CONCERN.ID]],2,20),"","") )  )</f>
        <v>08.461.5342.99.3811</v>
      </c>
      <c r="F485" t="str">
        <f>TRIM(MID(Table15[[#This Row],[CONCERN.UNIQUEPATH]], IF( ISNUMBER( SEARCH("/",Table15[[#This Row],[CONCERN.UNIQUEPATH]])),SEARCH("/",Table15[[#This Row],[CONCERN.UNIQUEPATH]])+1,1),255))</f>
        <v>Maintainability/Modifiability/Development/Custom/Server/Dependencies/Contet/GeoIP</v>
      </c>
    </row>
    <row r="486" spans="1:6">
      <c r="A486" t="s">
        <v>1969</v>
      </c>
      <c r="B486" t="s">
        <v>2246</v>
      </c>
      <c r="C486" s="35" t="s">
        <v>4395</v>
      </c>
      <c r="D486" s="27" t="s">
        <v>4396</v>
      </c>
      <c r="E486" t="str">
        <f xml:space="preserve"> CONCATENATE( MID(Table15[[#This Row],[PHASE]],2,3), MID(Table15[[#This Row],[DELIVERABLE]],2,4), TRIM(SUBSTITUTE(MID(Table15[[#This Row],[CONCERN.ID]],2,20),"","") )  )</f>
        <v>08.461.5342.99.3830</v>
      </c>
      <c r="F486" t="str">
        <f>TRIM(MID(Table15[[#This Row],[CONCERN.UNIQUEPATH]], IF( ISNUMBER( SEARCH("/",Table15[[#This Row],[CONCERN.UNIQUEPATH]])),SEARCH("/",Table15[[#This Row],[CONCERN.UNIQUEPATH]])+1,1),255))</f>
        <v>Maintainability/Modifiability/Development/Custom/Server/Dependencies/Validation</v>
      </c>
    </row>
    <row r="487" spans="1:6">
      <c r="A487" t="s">
        <v>1969</v>
      </c>
      <c r="B487" t="s">
        <v>2246</v>
      </c>
      <c r="C487" s="34" t="s">
        <v>4397</v>
      </c>
      <c r="D487" s="26" t="s">
        <v>4398</v>
      </c>
      <c r="E487" s="45" t="str">
        <f xml:space="preserve"> CONCATENATE( MID(Table15[[#This Row],[PHASE]],2,3), MID(Table15[[#This Row],[DELIVERABLE]],2,4), TRIM(SUBSTITUTE(MID(Table15[[#This Row],[CONCERN.ID]],2,20),"","") )  )</f>
        <v>08.461.5342.99.3831</v>
      </c>
      <c r="F487" t="str">
        <f>TRIM(MID(Table15[[#This Row],[CONCERN.UNIQUEPATH]], IF( ISNUMBER( SEARCH("/",Table15[[#This Row],[CONCERN.UNIQUEPATH]])),SEARCH("/",Table15[[#This Row],[CONCERN.UNIQUEPATH]])+1,1),255))</f>
        <v>Maintainability/Modifiability/Development/Custom/Server/Dependencies/Validation/Malware</v>
      </c>
    </row>
    <row r="488" spans="1:6">
      <c r="A488" t="s">
        <v>1969</v>
      </c>
      <c r="B488" t="s">
        <v>2246</v>
      </c>
      <c r="C488" s="35" t="s">
        <v>4399</v>
      </c>
      <c r="D488" s="27" t="s">
        <v>4400</v>
      </c>
      <c r="E488" t="str">
        <f xml:space="preserve"> CONCATENATE( MID(Table15[[#This Row],[PHASE]],2,3), MID(Table15[[#This Row],[DELIVERABLE]],2,4), TRIM(SUBSTITUTE(MID(Table15[[#This Row],[CONCERN.ID]],2,20),"","") )  )</f>
        <v>08.461.5342.99.3832</v>
      </c>
      <c r="F488" t="str">
        <f>TRIM(MID(Table15[[#This Row],[CONCERN.UNIQUEPATH]], IF( ISNUMBER( SEARCH("/",Table15[[#This Row],[CONCERN.UNIQUEPATH]])),SEARCH("/",Table15[[#This Row],[CONCERN.UNIQUEPATH]])+1,1),255))</f>
        <v>Maintainability/Modifiability/Development/Custom/Server/Dependencies/Validation/Comments</v>
      </c>
    </row>
    <row r="489" spans="1:6">
      <c r="A489" t="s">
        <v>1969</v>
      </c>
      <c r="B489" t="s">
        <v>2246</v>
      </c>
      <c r="C489" s="34" t="s">
        <v>4401</v>
      </c>
      <c r="D489" s="26" t="s">
        <v>4402</v>
      </c>
      <c r="E489" s="45" t="str">
        <f xml:space="preserve"> CONCATENATE( MID(Table15[[#This Row],[PHASE]],2,3), MID(Table15[[#This Row],[DELIVERABLE]],2,4), TRIM(SUBSTITUTE(MID(Table15[[#This Row],[CONCERN.ID]],2,20),"","") )  )</f>
        <v>08.461.5342.99.3840</v>
      </c>
      <c r="F489" t="str">
        <f>TRIM(MID(Table15[[#This Row],[CONCERN.UNIQUEPATH]], IF( ISNUMBER( SEARCH("/",Table15[[#This Row],[CONCERN.UNIQUEPATH]])),SEARCH("/",Table15[[#This Row],[CONCERN.UNIQUEPATH]])+1,1),255))</f>
        <v>Maintainability/Modifiability/Development/Custom/Server/Dependencies/Storage</v>
      </c>
    </row>
    <row r="490" spans="1:6">
      <c r="A490" t="s">
        <v>1969</v>
      </c>
      <c r="B490" t="s">
        <v>2246</v>
      </c>
      <c r="C490" s="35" t="s">
        <v>4403</v>
      </c>
      <c r="D490" s="27" t="s">
        <v>4404</v>
      </c>
      <c r="E490" t="str">
        <f xml:space="preserve"> CONCATENATE( MID(Table15[[#This Row],[PHASE]],2,3), MID(Table15[[#This Row],[DELIVERABLE]],2,4), TRIM(SUBSTITUTE(MID(Table15[[#This Row],[CONCERN.ID]],2,20),"","") )  )</f>
        <v>08.461.5342.99.3841</v>
      </c>
      <c r="F490" t="str">
        <f>TRIM(MID(Table15[[#This Row],[CONCERN.UNIQUEPATH]], IF( ISNUMBER( SEARCH("/",Table15[[#This Row],[CONCERN.UNIQUEPATH]])),SEARCH("/",Table15[[#This Row],[CONCERN.UNIQUEPATH]])+1,1),255))</f>
        <v>Maintainability/Modifiability/Development/Custom/Server/Dependencies/Storage/SecureStorage</v>
      </c>
    </row>
    <row r="491" spans="1:6">
      <c r="A491" t="s">
        <v>1969</v>
      </c>
      <c r="B491" t="s">
        <v>2246</v>
      </c>
      <c r="C491" s="34" t="s">
        <v>4405</v>
      </c>
      <c r="D491" s="26" t="s">
        <v>4406</v>
      </c>
      <c r="E491" s="45" t="str">
        <f xml:space="preserve"> CONCATENATE( MID(Table15[[#This Row],[PHASE]],2,3), MID(Table15[[#This Row],[DELIVERABLE]],2,4), TRIM(SUBSTITUTE(MID(Table15[[#This Row],[CONCERN.ID]],2,20),"","") )  )</f>
        <v>08.461.5342.99.3842</v>
      </c>
      <c r="F491" t="str">
        <f>TRIM(MID(Table15[[#This Row],[CONCERN.UNIQUEPATH]], IF( ISNUMBER( SEARCH("/",Table15[[#This Row],[CONCERN.UNIQUEPATH]])),SEARCH("/",Table15[[#This Row],[CONCERN.UNIQUEPATH]])+1,1),255))</f>
        <v>Maintainability/Modifiability/Development/Custom/Server/Dependencies/Storage/IdP</v>
      </c>
    </row>
    <row r="492" spans="1:6">
      <c r="A492" t="s">
        <v>1969</v>
      </c>
      <c r="B492" t="s">
        <v>2246</v>
      </c>
      <c r="C492" s="35" t="s">
        <v>4407</v>
      </c>
      <c r="D492" s="27" t="s">
        <v>4408</v>
      </c>
      <c r="E492" t="str">
        <f xml:space="preserve"> CONCATENATE( MID(Table15[[#This Row],[PHASE]],2,3), MID(Table15[[#This Row],[DELIVERABLE]],2,4), TRIM(SUBSTITUTE(MID(Table15[[#This Row],[CONCERN.ID]],2,20),"","") )  )</f>
        <v>08.461.5342.99.3843</v>
      </c>
      <c r="F492" t="str">
        <f>TRIM(MID(Table15[[#This Row],[CONCERN.UNIQUEPATH]], IF( ISNUMBER( SEARCH("/",Table15[[#This Row],[CONCERN.UNIQUEPATH]])),SEARCH("/",Table15[[#This Row],[CONCERN.UNIQUEPATH]])+1,1),255))</f>
        <v>Maintainability/Modifiability/Development/Custom/Server/Dependencies/Storage/DB</v>
      </c>
    </row>
    <row r="493" spans="1:6">
      <c r="A493" t="s">
        <v>1969</v>
      </c>
      <c r="B493" t="s">
        <v>2246</v>
      </c>
      <c r="C493" s="34" t="s">
        <v>4409</v>
      </c>
      <c r="D493" s="26" t="s">
        <v>4410</v>
      </c>
      <c r="E493" s="45" t="str">
        <f xml:space="preserve"> CONCATENATE( MID(Table15[[#This Row],[PHASE]],2,3), MID(Table15[[#This Row],[DELIVERABLE]],2,4), TRIM(SUBSTITUTE(MID(Table15[[#This Row],[CONCERN.ID]],2,20),"","") )  )</f>
        <v>08.461.5342.99.3844</v>
      </c>
      <c r="F493" t="str">
        <f>TRIM(MID(Table15[[#This Row],[CONCERN.UNIQUEPATH]], IF( ISNUMBER( SEARCH("/",Table15[[#This Row],[CONCERN.UNIQUEPATH]])),SEARCH("/",Table15[[#This Row],[CONCERN.UNIQUEPATH]])+1,1),255))</f>
        <v>Maintainability/Modifiability/Development/Custom/Server/Dependencies/Storage/DocumentDB</v>
      </c>
    </row>
    <row r="494" spans="1:6">
      <c r="A494" t="s">
        <v>1969</v>
      </c>
      <c r="B494" t="s">
        <v>2246</v>
      </c>
      <c r="C494" s="35" t="s">
        <v>4411</v>
      </c>
      <c r="D494" s="27" t="s">
        <v>4412</v>
      </c>
      <c r="E494" t="str">
        <f xml:space="preserve"> CONCATENATE( MID(Table15[[#This Row],[PHASE]],2,3), MID(Table15[[#This Row],[DELIVERABLE]],2,4), TRIM(SUBSTITUTE(MID(Table15[[#This Row],[CONCERN.ID]],2,20),"","") )  )</f>
        <v>08.461.5342.99.3845</v>
      </c>
      <c r="F494" t="str">
        <f>TRIM(MID(Table15[[#This Row],[CONCERN.UNIQUEPATH]], IF( ISNUMBER( SEARCH("/",Table15[[#This Row],[CONCERN.UNIQUEPATH]])),SEARCH("/",Table15[[#This Row],[CONCERN.UNIQUEPATH]])+1,1),255))</f>
        <v>Maintainability/Modifiability/Development/Custom/Server/Dependencies/Storage/GraphDB</v>
      </c>
    </row>
    <row r="495" spans="1:6">
      <c r="A495" t="s">
        <v>1969</v>
      </c>
      <c r="B495" t="s">
        <v>2246</v>
      </c>
      <c r="C495" s="34" t="s">
        <v>4413</v>
      </c>
      <c r="D495" s="26" t="s">
        <v>4414</v>
      </c>
      <c r="E495" s="45" t="str">
        <f xml:space="preserve"> CONCATENATE( MID(Table15[[#This Row],[PHASE]],2,3), MID(Table15[[#This Row],[DELIVERABLE]],2,4), TRIM(SUBSTITUTE(MID(Table15[[#This Row],[CONCERN.ID]],2,20),"","") )  )</f>
        <v>08.461.5342.99.3850</v>
      </c>
      <c r="F495" t="str">
        <f>TRIM(MID(Table15[[#This Row],[CONCERN.UNIQUEPATH]], IF( ISNUMBER( SEARCH("/",Table15[[#This Row],[CONCERN.UNIQUEPATH]])),SEARCH("/",Table15[[#This Row],[CONCERN.UNIQUEPATH]])+1,1),255))</f>
        <v>Maintainability/Modifiability/Development/Custom/Server/Dependencies/Cache</v>
      </c>
    </row>
    <row r="496" spans="1:6">
      <c r="A496" t="s">
        <v>1969</v>
      </c>
      <c r="B496" t="s">
        <v>2246</v>
      </c>
      <c r="C496" s="35" t="s">
        <v>4415</v>
      </c>
      <c r="D496" s="27" t="s">
        <v>4416</v>
      </c>
      <c r="E496" t="str">
        <f xml:space="preserve"> CONCATENATE( MID(Table15[[#This Row],[PHASE]],2,3), MID(Table15[[#This Row],[DELIVERABLE]],2,4), TRIM(SUBSTITUTE(MID(Table15[[#This Row],[CONCERN.ID]],2,20),"","") )  )</f>
        <v>08.461.5342.99.3860</v>
      </c>
      <c r="F496" t="str">
        <f>TRIM(MID(Table15[[#This Row],[CONCERN.UNIQUEPATH]], IF( ISNUMBER( SEARCH("/",Table15[[#This Row],[CONCERN.UNIQUEPATH]])),SEARCH("/",Table15[[#This Row],[CONCERN.UNIQUEPATH]])+1,1),255))</f>
        <v>Maintainability/Modifiability/Development/Custom/Server/Dependencies/Email</v>
      </c>
    </row>
    <row r="497" spans="1:6">
      <c r="A497" t="s">
        <v>1969</v>
      </c>
      <c r="B497" t="s">
        <v>2246</v>
      </c>
      <c r="C497" s="34" t="s">
        <v>4417</v>
      </c>
      <c r="D497" s="26" t="s">
        <v>4418</v>
      </c>
      <c r="E497" s="45" t="str">
        <f xml:space="preserve"> CONCATENATE( MID(Table15[[#This Row],[PHASE]],2,3), MID(Table15[[#This Row],[DELIVERABLE]],2,4), TRIM(SUBSTITUTE(MID(Table15[[#This Row],[CONCERN.ID]],2,20),"","") )  )</f>
        <v>08.461.5342.99.3870</v>
      </c>
      <c r="F497" t="str">
        <f>TRIM(MID(Table15[[#This Row],[CONCERN.UNIQUEPATH]], IF( ISNUMBER( SEARCH("/",Table15[[#This Row],[CONCERN.UNIQUEPATH]])),SEARCH("/",Table15[[#This Row],[CONCERN.UNIQUEPATH]])+1,1),255))</f>
        <v>Maintainability/Modifiability/Development/Custom/Server/Dependencies/Search</v>
      </c>
    </row>
    <row r="498" spans="1:6">
      <c r="A498" t="s">
        <v>1969</v>
      </c>
      <c r="B498" t="s">
        <v>2246</v>
      </c>
      <c r="C498" s="35" t="s">
        <v>4419</v>
      </c>
      <c r="D498" s="27" t="s">
        <v>4420</v>
      </c>
      <c r="E498" t="str">
        <f xml:space="preserve"> CONCATENATE( MID(Table15[[#This Row],[PHASE]],2,3), MID(Table15[[#This Row],[DELIVERABLE]],2,4), TRIM(SUBSTITUTE(MID(Table15[[#This Row],[CONCERN.ID]],2,20),"","") )  )</f>
        <v>08.461.5342.99.3880</v>
      </c>
      <c r="F498" t="str">
        <f>TRIM(MID(Table15[[#This Row],[CONCERN.UNIQUEPATH]], IF( ISNUMBER( SEARCH("/",Table15[[#This Row],[CONCERN.UNIQUEPATH]])),SEARCH("/",Table15[[#This Row],[CONCERN.UNIQUEPATH]])+1,1),255))</f>
        <v>Maintainability/Modifiability/Development/Custom/Server/Dependencies/Rules</v>
      </c>
    </row>
    <row r="499" spans="1:6">
      <c r="A499" t="s">
        <v>1969</v>
      </c>
      <c r="B499" t="s">
        <v>2246</v>
      </c>
      <c r="C499" s="34" t="s">
        <v>4421</v>
      </c>
      <c r="D499" s="26" t="s">
        <v>4422</v>
      </c>
      <c r="E499" s="45" t="str">
        <f xml:space="preserve"> CONCATENATE( MID(Table15[[#This Row],[PHASE]],2,3), MID(Table15[[#This Row],[DELIVERABLE]],2,4), TRIM(SUBSTITUTE(MID(Table15[[#This Row],[CONCERN.ID]],2,20),"","") )  )</f>
        <v>08.461.5342.99.3890</v>
      </c>
      <c r="F499" t="str">
        <f>TRIM(MID(Table15[[#This Row],[CONCERN.UNIQUEPATH]], IF( ISNUMBER( SEARCH("/",Table15[[#This Row],[CONCERN.UNIQUEPATH]])),SEARCH("/",Table15[[#This Row],[CONCERN.UNIQUEPATH]])+1,1),255))</f>
        <v>Maintainability/Modifiability/Development/Custom/Server/Dependencies/Workflows</v>
      </c>
    </row>
    <row r="500" spans="1:6">
      <c r="A500" t="s">
        <v>1969</v>
      </c>
      <c r="B500" t="s">
        <v>2246</v>
      </c>
      <c r="C500" s="35" t="s">
        <v>4423</v>
      </c>
      <c r="D500" s="27" t="s">
        <v>4424</v>
      </c>
      <c r="E500" t="str">
        <f xml:space="preserve"> CONCATENATE( MID(Table15[[#This Row],[PHASE]],2,3), MID(Table15[[#This Row],[DELIVERABLE]],2,4), TRIM(SUBSTITUTE(MID(Table15[[#This Row],[CONCERN.ID]],2,20),"","") )  )</f>
        <v>08.461.5342.99.3900</v>
      </c>
      <c r="F500" t="str">
        <f>TRIM(MID(Table15[[#This Row],[CONCERN.UNIQUEPATH]], IF( ISNUMBER( SEARCH("/",Table15[[#This Row],[CONCERN.UNIQUEPATH]])),SEARCH("/",Table15[[#This Row],[CONCERN.UNIQUEPATH]])+1,1),255))</f>
        <v>Maintainability/Modifiability/Development/Custom/Server/Environment</v>
      </c>
    </row>
    <row r="501" spans="1:6">
      <c r="A501" t="s">
        <v>1969</v>
      </c>
      <c r="B501" t="s">
        <v>2246</v>
      </c>
      <c r="C501" s="34" t="s">
        <v>4425</v>
      </c>
      <c r="D501" s="26" t="s">
        <v>4426</v>
      </c>
      <c r="E501" s="45" t="str">
        <f xml:space="preserve"> CONCATENATE( MID(Table15[[#This Row],[PHASE]],2,3), MID(Table15[[#This Row],[DELIVERABLE]],2,4), TRIM(SUBSTITUTE(MID(Table15[[#This Row],[CONCERN.ID]],2,20),"","") )  )</f>
        <v>08.461.5342.99.3910</v>
      </c>
      <c r="F501" t="str">
        <f>TRIM(MID(Table15[[#This Row],[CONCERN.UNIQUEPATH]], IF( ISNUMBER( SEARCH("/",Table15[[#This Row],[CONCERN.UNIQUEPATH]])),SEARCH("/",Table15[[#This Row],[CONCERN.UNIQUEPATH]])+1,1),255))</f>
        <v>Maintainability/Modifiability/Development/Custom/Server/Environment/Cloud-First</v>
      </c>
    </row>
    <row r="502" spans="1:6">
      <c r="A502" t="s">
        <v>1969</v>
      </c>
      <c r="B502" t="s">
        <v>2246</v>
      </c>
      <c r="C502" s="33" t="s">
        <v>4427</v>
      </c>
      <c r="D502" s="27" t="s">
        <v>4428</v>
      </c>
      <c r="E502" t="str">
        <f xml:space="preserve"> CONCATENATE( MID(Table15[[#This Row],[PHASE]],2,3), MID(Table15[[#This Row],[DELIVERABLE]],2,4), TRIM(SUBSTITUTE(MID(Table15[[#This Row],[CONCERN.ID]],2,20),"","") )  )</f>
        <v>08.461.5342.99.5000</v>
      </c>
      <c r="F502" t="str">
        <f>TRIM(MID(Table15[[#This Row],[CONCERN.UNIQUEPATH]], IF( ISNUMBER( SEARCH("/",Table15[[#This Row],[CONCERN.UNIQUEPATH]])),SEARCH("/",Table15[[#This Row],[CONCERN.UNIQUEPATH]])+1,1),255))</f>
        <v>Maintainability/Modifiability/Development/Custom/Client</v>
      </c>
    </row>
    <row r="503" spans="1:6">
      <c r="A503" t="s">
        <v>1969</v>
      </c>
      <c r="B503" t="s">
        <v>2246</v>
      </c>
      <c r="C503" s="34" t="s">
        <v>4429</v>
      </c>
      <c r="D503" s="26" t="s">
        <v>4430</v>
      </c>
      <c r="E503" s="45" t="str">
        <f xml:space="preserve"> CONCATENATE( MID(Table15[[#This Row],[PHASE]],2,3), MID(Table15[[#This Row],[DELIVERABLE]],2,4), TRIM(SUBSTITUTE(MID(Table15[[#This Row],[CONCERN.ID]],2,20),"","") )  )</f>
        <v>08.461.5342.99.5110</v>
      </c>
      <c r="F503" t="str">
        <f>TRIM(MID(Table15[[#This Row],[CONCERN.UNIQUEPATH]], IF( ISNUMBER( SEARCH("/",Table15[[#This Row],[CONCERN.UNIQUEPATH]])),SEARCH("/",Table15[[#This Row],[CONCERN.UNIQUEPATH]])+1,1),255))</f>
        <v>Maintainability/Modifiability/Development/Custom/Client/Patterns/SPA</v>
      </c>
    </row>
    <row r="504" spans="1:6">
      <c r="A504" t="s">
        <v>1969</v>
      </c>
      <c r="B504" t="s">
        <v>2246</v>
      </c>
      <c r="C504" s="35" t="s">
        <v>4431</v>
      </c>
      <c r="D504" s="27" t="s">
        <v>4432</v>
      </c>
      <c r="E504" t="str">
        <f xml:space="preserve"> CONCATENATE( MID(Table15[[#This Row],[PHASE]],2,3), MID(Table15[[#This Row],[DELIVERABLE]],2,4), TRIM(SUBSTITUTE(MID(Table15[[#This Row],[CONCERN.ID]],2,20),"","") )  )</f>
        <v>08.461.5342.99.5120</v>
      </c>
      <c r="F504" t="str">
        <f>TRIM(MID(Table15[[#This Row],[CONCERN.UNIQUEPATH]], IF( ISNUMBER( SEARCH("/",Table15[[#This Row],[CONCERN.UNIQUEPATH]])),SEARCH("/",Table15[[#This Row],[CONCERN.UNIQUEPATH]])+1,1),255))</f>
        <v>Maintainability/Modifiability/Development/Custom/Client/Patterns/PWA</v>
      </c>
    </row>
    <row r="505" spans="1:6">
      <c r="A505" t="s">
        <v>1969</v>
      </c>
      <c r="B505" t="s">
        <v>2246</v>
      </c>
      <c r="C505" s="34" t="s">
        <v>4433</v>
      </c>
      <c r="D505" s="26" t="s">
        <v>4434</v>
      </c>
      <c r="E505" s="45" t="str">
        <f xml:space="preserve"> CONCATENATE( MID(Table15[[#This Row],[PHASE]],2,3), MID(Table15[[#This Row],[DELIVERABLE]],2,4), TRIM(SUBSTITUTE(MID(Table15[[#This Row],[CONCERN.ID]],2,20),"","") )  )</f>
        <v>08.461.5342.99.5130</v>
      </c>
      <c r="F505" t="str">
        <f>TRIM(MID(Table15[[#This Row],[CONCERN.UNIQUEPATH]], IF( ISNUMBER( SEARCH("/",Table15[[#This Row],[CONCERN.UNIQUEPATH]])),SEARCH("/",Table15[[#This Row],[CONCERN.UNIQUEPATH]])+1,1),255))</f>
        <v>Maintainability/Modifiability/Development/Custom/Client/Patterns/BREAD</v>
      </c>
    </row>
    <row r="506" spans="1:6">
      <c r="A506" t="s">
        <v>1969</v>
      </c>
      <c r="B506" t="s">
        <v>2246</v>
      </c>
      <c r="C506" s="35" t="s">
        <v>4435</v>
      </c>
      <c r="D506" s="27" t="s">
        <v>4436</v>
      </c>
      <c r="E506" t="str">
        <f xml:space="preserve"> CONCATENATE( MID(Table15[[#This Row],[PHASE]],2,3), MID(Table15[[#This Row],[DELIVERABLE]],2,4), TRIM(SUBSTITUTE(MID(Table15[[#This Row],[CONCERN.ID]],2,20),"","") )  )</f>
        <v>08.461.5342.99.5140</v>
      </c>
      <c r="F506" t="str">
        <f>TRIM(MID(Table15[[#This Row],[CONCERN.UNIQUEPATH]], IF( ISNUMBER( SEARCH("/",Table15[[#This Row],[CONCERN.UNIQUEPATH]])),SEARCH("/",Table15[[#This Row],[CONCERN.UNIQUEPATH]])+1,1),255))</f>
        <v>Maintainability/Modifiability/Development/Custom/Client/Patterns/View Composition</v>
      </c>
    </row>
    <row r="507" spans="1:6">
      <c r="A507" t="s">
        <v>1969</v>
      </c>
      <c r="B507" t="s">
        <v>2246</v>
      </c>
      <c r="C507" s="34" t="s">
        <v>4437</v>
      </c>
      <c r="D507" s="26" t="s">
        <v>4438</v>
      </c>
      <c r="E507" s="45" t="str">
        <f xml:space="preserve"> CONCATENATE( MID(Table15[[#This Row],[PHASE]],2,3), MID(Table15[[#This Row],[DELIVERABLE]],2,4), TRIM(SUBSTITUTE(MID(Table15[[#This Row],[CONCERN.ID]],2,20),"","") )  )</f>
        <v>08.461.5342.99.5141</v>
      </c>
      <c r="F507" t="str">
        <f>TRIM(MID(Table15[[#This Row],[CONCERN.UNIQUEPATH]], IF( ISNUMBER( SEARCH("/",Table15[[#This Row],[CONCERN.UNIQUEPATH]])),SEARCH("/",Table15[[#This Row],[CONCERN.UNIQUEPATH]])+1,1),255))</f>
        <v>Maintainability/Modifiability/Development/Custom/Client/Patterns/Views/Input, Output or Container</v>
      </c>
    </row>
    <row r="508" spans="1:6">
      <c r="A508" t="s">
        <v>1969</v>
      </c>
      <c r="B508" t="s">
        <v>2246</v>
      </c>
      <c r="C508" s="35" t="s">
        <v>4439</v>
      </c>
      <c r="D508" s="27" t="s">
        <v>4440</v>
      </c>
      <c r="E508" t="str">
        <f xml:space="preserve"> CONCATENATE( MID(Table15[[#This Row],[PHASE]],2,3), MID(Table15[[#This Row],[DELIVERABLE]],2,4), TRIM(SUBSTITUTE(MID(Table15[[#This Row],[CONCERN.ID]],2,20),"","") )  )</f>
        <v>08.461.5342.99.5200</v>
      </c>
      <c r="F508" t="str">
        <f>TRIM(MID(Table15[[#This Row],[CONCERN.UNIQUEPATH]], IF( ISNUMBER( SEARCH("/",Table15[[#This Row],[CONCERN.UNIQUEPATH]])),SEARCH("/",Table15[[#This Row],[CONCERN.UNIQUEPATH]])+1,1),255))</f>
        <v>Maintainability/Modifiability/Development/Custom/Client/Views</v>
      </c>
    </row>
    <row r="509" spans="1:6">
      <c r="A509" t="s">
        <v>1969</v>
      </c>
      <c r="B509" t="s">
        <v>2246</v>
      </c>
      <c r="C509" s="34" t="s">
        <v>4441</v>
      </c>
      <c r="D509" s="26" t="s">
        <v>4442</v>
      </c>
      <c r="E509" s="45" t="str">
        <f xml:space="preserve"> CONCATENATE( MID(Table15[[#This Row],[PHASE]],2,3), MID(Table15[[#This Row],[DELIVERABLE]],2,4), TRIM(SUBSTITUTE(MID(Table15[[#This Row],[CONCERN.ID]],2,20),"","") )  )</f>
        <v>08.461.5342.99.5210</v>
      </c>
      <c r="F509" t="str">
        <f>TRIM(MID(Table15[[#This Row],[CONCERN.UNIQUEPATH]], IF( ISNUMBER( SEARCH("/",Table15[[#This Row],[CONCERN.UNIQUEPATH]])),SEARCH("/",Table15[[#This Row],[CONCERN.UNIQUEPATH]])+1,1),255))</f>
        <v>Maintainability/Modifiability/Development/Custom/Client/Views/Contet</v>
      </c>
    </row>
    <row r="510" spans="1:6">
      <c r="A510" t="s">
        <v>1969</v>
      </c>
      <c r="B510" t="s">
        <v>2246</v>
      </c>
      <c r="C510" s="35" t="s">
        <v>4443</v>
      </c>
      <c r="D510" s="27" t="s">
        <v>4444</v>
      </c>
      <c r="E510" t="str">
        <f xml:space="preserve"> CONCATENATE( MID(Table15[[#This Row],[PHASE]],2,3), MID(Table15[[#This Row],[DELIVERABLE]],2,4), TRIM(SUBSTITUTE(MID(Table15[[#This Row],[CONCERN.ID]],2,20),"","") )  )</f>
        <v>08.461.5342.99.5211</v>
      </c>
      <c r="F510" t="str">
        <f>TRIM(MID(Table15[[#This Row],[CONCERN.UNIQUEPATH]], IF( ISNUMBER( SEARCH("/",Table15[[#This Row],[CONCERN.UNIQUEPATH]])),SEARCH("/",Table15[[#This Row],[CONCERN.UNIQUEPATH]])+1,1),255))</f>
        <v>Maintainability/Modifiability/Development/Custom/Client/Views/Contet/System</v>
      </c>
    </row>
    <row r="511" spans="1:6">
      <c r="A511" t="s">
        <v>1969</v>
      </c>
      <c r="B511" t="s">
        <v>2246</v>
      </c>
      <c r="C511" s="34" t="s">
        <v>4445</v>
      </c>
      <c r="D511" s="26" t="s">
        <v>4446</v>
      </c>
      <c r="E511" s="45" t="str">
        <f xml:space="preserve"> CONCATENATE( MID(Table15[[#This Row],[PHASE]],2,3), MID(Table15[[#This Row],[DELIVERABLE]],2,4), TRIM(SUBSTITUTE(MID(Table15[[#This Row],[CONCERN.ID]],2,20),"","") )  )</f>
        <v>08.461.5342.99.5212</v>
      </c>
      <c r="F511" t="str">
        <f>TRIM(MID(Table15[[#This Row],[CONCERN.UNIQUEPATH]], IF( ISNUMBER( SEARCH("/",Table15[[#This Row],[CONCERN.UNIQUEPATH]])),SEARCH("/",Table15[[#This Row],[CONCERN.UNIQUEPATH]])+1,1),255))</f>
        <v>Maintainability/Modifiability/Development/Custom/Client/Views/Contet/Tenancy</v>
      </c>
    </row>
    <row r="512" spans="1:6">
      <c r="A512" t="s">
        <v>1969</v>
      </c>
      <c r="B512" t="s">
        <v>2246</v>
      </c>
      <c r="C512" s="35" t="s">
        <v>4447</v>
      </c>
      <c r="D512" s="27" t="s">
        <v>4448</v>
      </c>
      <c r="E512" t="str">
        <f xml:space="preserve"> CONCATENATE( MID(Table15[[#This Row],[PHASE]],2,3), MID(Table15[[#This Row],[DELIVERABLE]],2,4), TRIM(SUBSTITUTE(MID(Table15[[#This Row],[CONCERN.ID]],2,20),"","") )  )</f>
        <v>08.461.5342.99.5213</v>
      </c>
      <c r="F512" t="str">
        <f>TRIM(MID(Table15[[#This Row],[CONCERN.UNIQUEPATH]], IF( ISNUMBER( SEARCH("/",Table15[[#This Row],[CONCERN.UNIQUEPATH]])),SEARCH("/",Table15[[#This Row],[CONCERN.UNIQUEPATH]])+1,1),255))</f>
        <v>Maintainability/Modifiability/Development/Custom/Client/Views/Contet/Organisation</v>
      </c>
    </row>
    <row r="513" spans="1:7">
      <c r="A513" t="s">
        <v>1969</v>
      </c>
      <c r="B513" t="s">
        <v>2246</v>
      </c>
      <c r="C513" s="34" t="s">
        <v>4449</v>
      </c>
      <c r="D513" s="26" t="s">
        <v>4450</v>
      </c>
      <c r="E513" s="45" t="str">
        <f xml:space="preserve"> CONCATENATE( MID(Table15[[#This Row],[PHASE]],2,3), MID(Table15[[#This Row],[DELIVERABLE]],2,4), TRIM(SUBSTITUTE(MID(Table15[[#This Row],[CONCERN.ID]],2,20),"","") )  )</f>
        <v>08.461.5342.99.5214</v>
      </c>
      <c r="F513" t="str">
        <f>TRIM(MID(Table15[[#This Row],[CONCERN.UNIQUEPATH]], IF( ISNUMBER( SEARCH("/",Table15[[#This Row],[CONCERN.UNIQUEPATH]])),SEARCH("/",Table15[[#This Row],[CONCERN.UNIQUEPATH]])+1,1),255))</f>
        <v>Maintainability/Modifiability/Development/Custom/Client/Views/Contet/Resource</v>
      </c>
    </row>
    <row r="514" spans="1:7">
      <c r="A514" t="s">
        <v>1969</v>
      </c>
      <c r="B514" t="s">
        <v>2246</v>
      </c>
      <c r="C514" s="35" t="s">
        <v>4451</v>
      </c>
      <c r="D514" s="27" t="s">
        <v>4452</v>
      </c>
      <c r="E514" t="str">
        <f xml:space="preserve"> CONCATENATE( MID(Table15[[#This Row],[PHASE]],2,3), MID(Table15[[#This Row],[DELIVERABLE]],2,4), TRIM(SUBSTITUTE(MID(Table15[[#This Row],[CONCERN.ID]],2,20),"","") )  )</f>
        <v>08.461.5342.99.5220</v>
      </c>
      <c r="F514" t="str">
        <f>TRIM(MID(Table15[[#This Row],[CONCERN.UNIQUEPATH]], IF( ISNUMBER( SEARCH("/",Table15[[#This Row],[CONCERN.UNIQUEPATH]])),SEARCH("/",Table15[[#This Row],[CONCERN.UNIQUEPATH]])+1,1),255))</f>
        <v>Maintainability/Modifiability/Development/Custom/Client/Views/Resources</v>
      </c>
    </row>
    <row r="515" spans="1:7">
      <c r="A515" t="s">
        <v>1969</v>
      </c>
      <c r="B515" t="s">
        <v>2246</v>
      </c>
      <c r="C515" s="34" t="s">
        <v>4453</v>
      </c>
      <c r="D515" s="26" t="s">
        <v>4454</v>
      </c>
      <c r="E515" s="45" t="str">
        <f xml:space="preserve"> CONCATENATE( MID(Table15[[#This Row],[PHASE]],2,3), MID(Table15[[#This Row],[DELIVERABLE]],2,4), TRIM(SUBSTITUTE(MID(Table15[[#This Row],[CONCERN.ID]],2,20),"","") )  )</f>
        <v>08.461.5342.99.5230</v>
      </c>
      <c r="F515" t="str">
        <f>TRIM(MID(Table15[[#This Row],[CONCERN.UNIQUEPATH]], IF( ISNUMBER( SEARCH("/",Table15[[#This Row],[CONCERN.UNIQUEPATH]])),SEARCH("/",Table15[[#This Row],[CONCERN.UNIQUEPATH]])+1,1),255))</f>
        <v>Maintainability/Modifiability/Development/Custom/Client/Views/Body</v>
      </c>
    </row>
    <row r="516" spans="1:7">
      <c r="A516" t="s">
        <v>1969</v>
      </c>
      <c r="B516" t="s">
        <v>2246</v>
      </c>
      <c r="C516" s="35" t="s">
        <v>4453</v>
      </c>
      <c r="D516" s="27" t="s">
        <v>4455</v>
      </c>
      <c r="E516" t="str">
        <f xml:space="preserve"> CONCATENATE( MID(Table15[[#This Row],[PHASE]],2,3), MID(Table15[[#This Row],[DELIVERABLE]],2,4), TRIM(SUBSTITUTE(MID(Table15[[#This Row],[CONCERN.ID]],2,20),"","") )  )</f>
        <v>08.461.5342.99.5230</v>
      </c>
      <c r="F516" t="str">
        <f>TRIM(MID(Table15[[#This Row],[CONCERN.UNIQUEPATH]], IF( ISNUMBER( SEARCH("/",Table15[[#This Row],[CONCERN.UNIQUEPATH]])),SEARCH("/",Table15[[#This Row],[CONCERN.UNIQUEPATH]])+1,1),255))</f>
        <v>Maintainability/Modifiability/Development/Custom/Client/Views/Status</v>
      </c>
    </row>
    <row r="517" spans="1:7">
      <c r="A517" t="s">
        <v>1969</v>
      </c>
      <c r="B517" t="s">
        <v>2246</v>
      </c>
      <c r="C517" s="34" t="s">
        <v>4456</v>
      </c>
      <c r="D517" s="26" t="s">
        <v>4457</v>
      </c>
      <c r="E517" s="45" t="str">
        <f xml:space="preserve"> CONCATENATE( MID(Table15[[#This Row],[PHASE]],2,3), MID(Table15[[#This Row],[DELIVERABLE]],2,4), TRIM(SUBSTITUTE(MID(Table15[[#This Row],[CONCERN.ID]],2,20),"","") )  )</f>
        <v>08.461.5342.99.5231</v>
      </c>
      <c r="F517" t="str">
        <f>TRIM(MID(Table15[[#This Row],[CONCERN.UNIQUEPATH]], IF( ISNUMBER( SEARCH("/",Table15[[#This Row],[CONCERN.UNIQUEPATH]])),SEARCH("/",Table15[[#This Row],[CONCERN.UNIQUEPATH]])+1,1),255))</f>
        <v>Maintainability/Modifiability/Development/Custom/Client/Views/Body/Home</v>
      </c>
    </row>
    <row r="518" spans="1:7">
      <c r="A518" t="s">
        <v>1969</v>
      </c>
      <c r="B518" t="s">
        <v>2246</v>
      </c>
      <c r="C518" s="35" t="s">
        <v>4456</v>
      </c>
      <c r="D518" s="27" t="s">
        <v>4458</v>
      </c>
      <c r="E518" t="str">
        <f xml:space="preserve"> CONCATENATE( MID(Table15[[#This Row],[PHASE]],2,3), MID(Table15[[#This Row],[DELIVERABLE]],2,4), TRIM(SUBSTITUTE(MID(Table15[[#This Row],[CONCERN.ID]],2,20),"","") )  )</f>
        <v>08.461.5342.99.5231</v>
      </c>
      <c r="F518" t="str">
        <f>TRIM(MID(Table15[[#This Row],[CONCERN.UNIQUEPATH]], IF( ISNUMBER( SEARCH("/",Table15[[#This Row],[CONCERN.UNIQUEPATH]])),SEARCH("/",Table15[[#This Row],[CONCERN.UNIQUEPATH]])+1,1),255))</f>
        <v>Maintainability/Modifiability/Development/Custom/Client/Views/Status/Client</v>
      </c>
    </row>
    <row r="519" spans="1:7">
      <c r="A519" t="s">
        <v>1969</v>
      </c>
      <c r="B519" t="s">
        <v>2246</v>
      </c>
      <c r="C519" s="34" t="s">
        <v>4459</v>
      </c>
      <c r="D519" s="26" t="s">
        <v>4460</v>
      </c>
      <c r="E519" s="45" t="str">
        <f xml:space="preserve"> CONCATENATE( MID(Table15[[#This Row],[PHASE]],2,3), MID(Table15[[#This Row],[DELIVERABLE]],2,4), TRIM(SUBSTITUTE(MID(Table15[[#This Row],[CONCERN.ID]],2,20),"","") )  )</f>
        <v>08.461.5342.99.5232</v>
      </c>
      <c r="F519" t="str">
        <f>TRIM(MID(Table15[[#This Row],[CONCERN.UNIQUEPATH]], IF( ISNUMBER( SEARCH("/",Table15[[#This Row],[CONCERN.UNIQUEPATH]])),SEARCH("/",Table15[[#This Row],[CONCERN.UNIQUEPATH]])+1,1),255))</f>
        <v>Maintainability/Modifiability/Development/Custom/Client/Views/Body/Dashboard</v>
      </c>
    </row>
    <row r="520" spans="1:7">
      <c r="A520" t="s">
        <v>1969</v>
      </c>
      <c r="B520" t="s">
        <v>2246</v>
      </c>
      <c r="C520" s="35" t="s">
        <v>4459</v>
      </c>
      <c r="D520" s="27" t="s">
        <v>4461</v>
      </c>
      <c r="E520" t="str">
        <f xml:space="preserve"> CONCATENATE( MID(Table15[[#This Row],[PHASE]],2,3), MID(Table15[[#This Row],[DELIVERABLE]],2,4), TRIM(SUBSTITUTE(MID(Table15[[#This Row],[CONCERN.ID]],2,20),"","") )  )</f>
        <v>08.461.5342.99.5232</v>
      </c>
      <c r="F520" t="str">
        <f>TRIM(MID(Table15[[#This Row],[CONCERN.UNIQUEPATH]], IF( ISNUMBER( SEARCH("/",Table15[[#This Row],[CONCERN.UNIQUEPATH]])),SEARCH("/",Table15[[#This Row],[CONCERN.UNIQUEPATH]])+1,1),255))</f>
        <v>Maintainability/Modifiability/Development/Custom/Client/Views/Status/Network</v>
      </c>
    </row>
    <row r="521" spans="1:7">
      <c r="A521" t="s">
        <v>1969</v>
      </c>
      <c r="B521" t="s">
        <v>2246</v>
      </c>
      <c r="C521" s="34" t="s">
        <v>4462</v>
      </c>
      <c r="D521" s="26" t="s">
        <v>4463</v>
      </c>
      <c r="E521" s="45" t="str">
        <f xml:space="preserve"> CONCATENATE( MID(Table15[[#This Row],[PHASE]],2,3), MID(Table15[[#This Row],[DELIVERABLE]],2,4), TRIM(SUBSTITUTE(MID(Table15[[#This Row],[CONCERN.ID]],2,20),"","") )  )</f>
        <v>08.461.5342.99.5233</v>
      </c>
      <c r="F521" t="str">
        <f>TRIM(MID(Table15[[#This Row],[CONCERN.UNIQUEPATH]], IF( ISNUMBER( SEARCH("/",Table15[[#This Row],[CONCERN.UNIQUEPATH]])),SEARCH("/",Table15[[#This Row],[CONCERN.UNIQUEPATH]])+1,1),255))</f>
        <v>Maintainability/Modifiability/Development/Custom/Client/Views/Status/Server</v>
      </c>
    </row>
    <row r="522" spans="1:7">
      <c r="A522" t="s">
        <v>1969</v>
      </c>
      <c r="B522" t="s">
        <v>2246</v>
      </c>
      <c r="C522" s="29" t="s">
        <v>4464</v>
      </c>
      <c r="D522" s="27" t="s">
        <v>4465</v>
      </c>
      <c r="E522" t="str">
        <f xml:space="preserve"> CONCATENATE( MID(Table15[[#This Row],[PHASE]],2,3), MID(Table15[[#This Row],[DELIVERABLE]],2,4), TRIM(SUBSTITUTE(MID(Table15[[#This Row],[CONCERN.ID]],2,20),"","") )  )</f>
        <v>08.461.5350.00.0000</v>
      </c>
      <c r="F522" t="str">
        <f>TRIM(MID(Table15[[#This Row],[CONCERN.UNIQUEPATH]], IF( ISNUMBER( SEARCH("/",Table15[[#This Row],[CONCERN.UNIQUEPATH]])),SEARCH("/",Table15[[#This Row],[CONCERN.UNIQUEPATH]])+1,1),255))</f>
        <v>Maintainability/Modularity</v>
      </c>
      <c r="G522" t="s">
        <v>4466</v>
      </c>
    </row>
    <row r="523" spans="1:7">
      <c r="A523" t="s">
        <v>1969</v>
      </c>
      <c r="B523" t="s">
        <v>2246</v>
      </c>
      <c r="C523" s="30" t="s">
        <v>4467</v>
      </c>
      <c r="D523" s="26" t="s">
        <v>4468</v>
      </c>
      <c r="E523" s="45" t="str">
        <f xml:space="preserve"> CONCATENATE( MID(Table15[[#This Row],[PHASE]],2,3), MID(Table15[[#This Row],[DELIVERABLE]],2,4), TRIM(SUBSTITUTE(MID(Table15[[#This Row],[CONCERN.ID]],2,20),"","") )  )</f>
        <v>08.461.5351.00.0000</v>
      </c>
      <c r="F523" t="str">
        <f>TRIM(MID(Table15[[#This Row],[CONCERN.UNIQUEPATH]], IF( ISNUMBER( SEARCH("/",Table15[[#This Row],[CONCERN.UNIQUEPATH]])),SEARCH("/",Table15[[#This Row],[CONCERN.UNIQUEPATH]])+1,1),255))</f>
        <v>Maintainability/Modularity/Tiers</v>
      </c>
      <c r="G523" t="s">
        <v>4469</v>
      </c>
    </row>
    <row r="524" spans="1:7">
      <c r="A524" t="s">
        <v>1969</v>
      </c>
      <c r="B524" t="s">
        <v>2246</v>
      </c>
      <c r="C524" s="29" t="s">
        <v>4470</v>
      </c>
      <c r="D524" s="27" t="s">
        <v>4471</v>
      </c>
      <c r="E524" t="str">
        <f xml:space="preserve"> CONCATENATE( MID(Table15[[#This Row],[PHASE]],2,3), MID(Table15[[#This Row],[DELIVERABLE]],2,4), TRIM(SUBSTITUTE(MID(Table15[[#This Row],[CONCERN.ID]],2,20),"","") )  )</f>
        <v>08.461.5352.00.0000</v>
      </c>
      <c r="F524" t="str">
        <f>TRIM(MID(Table15[[#This Row],[CONCERN.UNIQUEPATH]], IF( ISNUMBER( SEARCH("/",Table15[[#This Row],[CONCERN.UNIQUEPATH]])),SEARCH("/",Table15[[#This Row],[CONCERN.UNIQUEPATH]])+1,1),255))</f>
        <v>Maintainability/Modularity/Developability</v>
      </c>
      <c r="G524" t="s">
        <v>4472</v>
      </c>
    </row>
    <row r="525" spans="1:7">
      <c r="A525" t="s">
        <v>1969</v>
      </c>
      <c r="B525" t="s">
        <v>2246</v>
      </c>
      <c r="C525" s="31" t="s">
        <v>4473</v>
      </c>
      <c r="D525" s="26" t="s">
        <v>4474</v>
      </c>
      <c r="E525" s="45" t="str">
        <f xml:space="preserve"> CONCATENATE( MID(Table15[[#This Row],[PHASE]],2,3), MID(Table15[[#This Row],[DELIVERABLE]],2,4), TRIM(SUBSTITUTE(MID(Table15[[#This Row],[CONCERN.ID]],2,20),"","") )  )</f>
        <v>08.461.5352.01.0000</v>
      </c>
      <c r="F525" t="str">
        <f>TRIM(MID(Table15[[#This Row],[CONCERN.UNIQUEPATH]], IF( ISNUMBER( SEARCH("/",Table15[[#This Row],[CONCERN.UNIQUEPATH]])),SEARCH("/",Table15[[#This Row],[CONCERN.UNIQUEPATH]])+1,1),255))</f>
        <v>Maintainability/Modularity/Developability/Functionality Modules</v>
      </c>
    </row>
    <row r="526" spans="1:7">
      <c r="A526" t="s">
        <v>1969</v>
      </c>
      <c r="B526" t="s">
        <v>2246</v>
      </c>
      <c r="C526" s="32" t="s">
        <v>4475</v>
      </c>
      <c r="D526" s="27" t="s">
        <v>4476</v>
      </c>
      <c r="E526" t="str">
        <f xml:space="preserve"> CONCATENATE( MID(Table15[[#This Row],[PHASE]],2,3), MID(Table15[[#This Row],[DELIVERABLE]],2,4), TRIM(SUBSTITUTE(MID(Table15[[#This Row],[CONCERN.ID]],2,20),"","") )  )</f>
        <v>08.461.5352.99.0000</v>
      </c>
      <c r="F526" t="str">
        <f>TRIM(MID(Table15[[#This Row],[CONCERN.UNIQUEPATH]], IF( ISNUMBER( SEARCH("/",Table15[[#This Row],[CONCERN.UNIQUEPATH]])),SEARCH("/",Table15[[#This Row],[CONCERN.UNIQUEPATH]])+1,1),255))</f>
        <v>Maintainability/Modularity/Developability/Custom</v>
      </c>
    </row>
    <row r="527" spans="1:7">
      <c r="A527" t="s">
        <v>1969</v>
      </c>
      <c r="B527" t="s">
        <v>2246</v>
      </c>
      <c r="C527" s="36" t="s">
        <v>4477</v>
      </c>
      <c r="D527" s="26" t="s">
        <v>4478</v>
      </c>
      <c r="E527" s="45" t="str">
        <f xml:space="preserve"> CONCATENATE( MID(Table15[[#This Row],[PHASE]],2,3), MID(Table15[[#This Row],[DELIVERABLE]],2,4), TRIM(SUBSTITUTE(MID(Table15[[#This Row],[CONCERN.ID]],2,20),"","") )  )</f>
        <v>08.461.5352.99.1000</v>
      </c>
      <c r="F527" t="str">
        <f>TRIM(MID(Table15[[#This Row],[CONCERN.UNIQUEPATH]], IF( ISNUMBER( SEARCH("/",Table15[[#This Row],[CONCERN.UNIQUEPATH]])),SEARCH("/",Table15[[#This Row],[CONCERN.UNIQUEPATH]])+1,1),255))</f>
        <v>Maintainability/Modularity/Developability/Custom/Layers</v>
      </c>
    </row>
    <row r="528" spans="1:7">
      <c r="A528" t="s">
        <v>1969</v>
      </c>
      <c r="B528" t="s">
        <v>2246</v>
      </c>
      <c r="C528" s="33" t="s">
        <v>4479</v>
      </c>
      <c r="D528" s="27" t="s">
        <v>4480</v>
      </c>
      <c r="E528" t="str">
        <f xml:space="preserve"> CONCATENATE( MID(Table15[[#This Row],[PHASE]],2,3), MID(Table15[[#This Row],[DELIVERABLE]],2,4), TRIM(SUBSTITUTE(MID(Table15[[#This Row],[CONCERN.ID]],2,20),"","") )  )</f>
        <v>08.461.5352.99.2000</v>
      </c>
      <c r="F528" t="str">
        <f>TRIM(MID(Table15[[#This Row],[CONCERN.UNIQUEPATH]], IF( ISNUMBER( SEARCH("/",Table15[[#This Row],[CONCERN.UNIQUEPATH]])),SEARCH("/",Table15[[#This Row],[CONCERN.UNIQUEPATH]])+1,1),255))</f>
        <v>Maintainability/Modularity/Developability/Custom/Logical Modules</v>
      </c>
    </row>
    <row r="529" spans="1:7">
      <c r="A529" t="s">
        <v>1969</v>
      </c>
      <c r="B529" t="s">
        <v>2246</v>
      </c>
      <c r="C529" s="36" t="s">
        <v>4481</v>
      </c>
      <c r="D529" s="26" t="s">
        <v>4482</v>
      </c>
      <c r="E529" s="45" t="str">
        <f xml:space="preserve"> CONCATENATE( MID(Table15[[#This Row],[PHASE]],2,3), MID(Table15[[#This Row],[DELIVERABLE]],2,4), TRIM(SUBSTITUTE(MID(Table15[[#This Row],[CONCERN.ID]],2,20),"","") )  )</f>
        <v>08.461.5352.99.3000</v>
      </c>
      <c r="F529" t="str">
        <f>TRIM(MID(Table15[[#This Row],[CONCERN.UNIQUEPATH]], IF( ISNUMBER( SEARCH("/",Table15[[#This Row],[CONCERN.UNIQUEPATH]])),SEARCH("/",Table15[[#This Row],[CONCERN.UNIQUEPATH]])+1,1),255))</f>
        <v>Maintainability/Modularity/Developability/Custom/Components</v>
      </c>
    </row>
    <row r="530" spans="1:7">
      <c r="A530" t="s">
        <v>1969</v>
      </c>
      <c r="B530" t="s">
        <v>2246</v>
      </c>
      <c r="C530" s="35" t="s">
        <v>4483</v>
      </c>
      <c r="D530" s="27" t="s">
        <v>4484</v>
      </c>
      <c r="E530" t="str">
        <f xml:space="preserve"> CONCATENATE( MID(Table15[[#This Row],[PHASE]],2,3), MID(Table15[[#This Row],[DELIVERABLE]],2,4), TRIM(SUBSTITUTE(MID(Table15[[#This Row],[CONCERN.ID]],2,20),"","") )  )</f>
        <v>08.461.5352.99.3100</v>
      </c>
      <c r="F530" t="str">
        <f>TRIM(MID(Table15[[#This Row],[CONCERN.UNIQUEPATH]], IF( ISNUMBER( SEARCH("/",Table15[[#This Row],[CONCERN.UNIQUEPATH]])),SEARCH("/",Table15[[#This Row],[CONCERN.UNIQUEPATH]])+1,1),255))</f>
        <v>Maintainability/Modularity/Developability/Custom/Components/Controllers</v>
      </c>
    </row>
    <row r="531" spans="1:7">
      <c r="A531" t="s">
        <v>1969</v>
      </c>
      <c r="B531" t="s">
        <v>2246</v>
      </c>
      <c r="C531" s="34" t="s">
        <v>4485</v>
      </c>
      <c r="D531" s="26" t="s">
        <v>4486</v>
      </c>
      <c r="E531" s="45" t="str">
        <f xml:space="preserve"> CONCATENATE( MID(Table15[[#This Row],[PHASE]],2,3), MID(Table15[[#This Row],[DELIVERABLE]],2,4), TRIM(SUBSTITUTE(MID(Table15[[#This Row],[CONCERN.ID]],2,20),"","") )  )</f>
        <v>08.461.5352.99.3200</v>
      </c>
      <c r="F531" t="str">
        <f>TRIM(MID(Table15[[#This Row],[CONCERN.UNIQUEPATH]], IF( ISNUMBER( SEARCH("/",Table15[[#This Row],[CONCERN.UNIQUEPATH]])),SEARCH("/",Table15[[#This Row],[CONCERN.UNIQUEPATH]])+1,1),255))</f>
        <v>Maintainability/Modularity/Developability/Custom/Components/Controls</v>
      </c>
    </row>
    <row r="532" spans="1:7">
      <c r="A532" t="s">
        <v>1969</v>
      </c>
      <c r="B532" t="s">
        <v>2246</v>
      </c>
      <c r="C532" s="35" t="s">
        <v>4487</v>
      </c>
      <c r="D532" s="27" t="s">
        <v>4488</v>
      </c>
      <c r="E532" t="str">
        <f xml:space="preserve"> CONCATENATE( MID(Table15[[#This Row],[PHASE]],2,3), MID(Table15[[#This Row],[DELIVERABLE]],2,4), TRIM(SUBSTITUTE(MID(Table15[[#This Row],[CONCERN.ID]],2,20),"","") )  )</f>
        <v>08.461.5352.99.3300</v>
      </c>
      <c r="F532" t="str">
        <f>TRIM(MID(Table15[[#This Row],[CONCERN.UNIQUEPATH]], IF( ISNUMBER( SEARCH("/",Table15[[#This Row],[CONCERN.UNIQUEPATH]])),SEARCH("/",Table15[[#This Row],[CONCERN.UNIQUEPATH]])+1,1),255))</f>
        <v>Maintainability/Modularity/Developability/Custom/Components/Views</v>
      </c>
    </row>
    <row r="533" spans="1:7">
      <c r="A533" t="s">
        <v>1969</v>
      </c>
      <c r="B533" t="s">
        <v>2246</v>
      </c>
      <c r="C533" s="34" t="s">
        <v>4489</v>
      </c>
      <c r="D533" s="26" t="s">
        <v>4490</v>
      </c>
      <c r="E533" s="45" t="str">
        <f xml:space="preserve"> CONCATENATE( MID(Table15[[#This Row],[PHASE]],2,3), MID(Table15[[#This Row],[DELIVERABLE]],2,4), TRIM(SUBSTITUTE(MID(Table15[[#This Row],[CONCERN.ID]],2,20),"","") )  )</f>
        <v>08.461.5352.99.3600</v>
      </c>
      <c r="F533" t="str">
        <f>TRIM(MID(Table15[[#This Row],[CONCERN.UNIQUEPATH]], IF( ISNUMBER( SEARCH("/",Table15[[#This Row],[CONCERN.UNIQUEPATH]])),SEARCH("/",Table15[[#This Row],[CONCERN.UNIQUEPATH]])+1,1),255))</f>
        <v>Maintainability/Modularity/Developability/Custom/Components/Domains</v>
      </c>
    </row>
    <row r="534" spans="1:7">
      <c r="A534" t="s">
        <v>1969</v>
      </c>
      <c r="B534" t="s">
        <v>2246</v>
      </c>
      <c r="C534" s="35" t="s">
        <v>4489</v>
      </c>
      <c r="D534" s="27" t="s">
        <v>4491</v>
      </c>
      <c r="E534" t="str">
        <f xml:space="preserve"> CONCATENATE( MID(Table15[[#This Row],[PHASE]],2,3), MID(Table15[[#This Row],[DELIVERABLE]],2,4), TRIM(SUBSTITUTE(MID(Table15[[#This Row],[CONCERN.ID]],2,20),"","") )  )</f>
        <v>08.461.5352.99.3600</v>
      </c>
      <c r="F534" t="str">
        <f>TRIM(MID(Table15[[#This Row],[CONCERN.UNIQUEPATH]], IF( ISNUMBER( SEARCH("/",Table15[[#This Row],[CONCERN.UNIQUEPATH]])),SEARCH("/",Table15[[#This Row],[CONCERN.UNIQUEPATH]])+1,1),255))</f>
        <v>Maintainability/Modularity/Developability/Custom/Components/Domains/Infrastructure</v>
      </c>
    </row>
    <row r="535" spans="1:7">
      <c r="A535" t="s">
        <v>1969</v>
      </c>
      <c r="B535" t="s">
        <v>2246</v>
      </c>
      <c r="C535" s="34" t="s">
        <v>4492</v>
      </c>
      <c r="D535" s="26" t="s">
        <v>4493</v>
      </c>
      <c r="E535" s="45" t="str">
        <f xml:space="preserve"> CONCATENATE( MID(Table15[[#This Row],[PHASE]],2,3), MID(Table15[[#This Row],[DELIVERABLE]],2,4), TRIM(SUBSTITUTE(MID(Table15[[#This Row],[CONCERN.ID]],2,20),"","") )  )</f>
        <v>08.461.5352.99.3610</v>
      </c>
      <c r="F535" t="str">
        <f>TRIM(MID(Table15[[#This Row],[CONCERN.UNIQUEPATH]], IF( ISNUMBER( SEARCH("/",Table15[[#This Row],[CONCERN.UNIQUEPATH]])),SEARCH("/",Table15[[#This Row],[CONCERN.UNIQUEPATH]])+1,1),255))</f>
        <v>Maintainability/Modularity/Developability/Custom/Components/Domains/Infrastructure/Libraries</v>
      </c>
    </row>
    <row r="536" spans="1:7">
      <c r="A536" t="s">
        <v>1969</v>
      </c>
      <c r="B536" t="s">
        <v>2246</v>
      </c>
      <c r="C536" s="35" t="s">
        <v>4494</v>
      </c>
      <c r="D536" s="27" t="s">
        <v>4495</v>
      </c>
      <c r="E536" t="str">
        <f xml:space="preserve"> CONCATENATE( MID(Table15[[#This Row],[PHASE]],2,3), MID(Table15[[#This Row],[DELIVERABLE]],2,4), TRIM(SUBSTITUTE(MID(Table15[[#This Row],[CONCERN.ID]],2,20),"","") )  )</f>
        <v>08.461.5352.99.3620</v>
      </c>
      <c r="F536" t="str">
        <f>TRIM(MID(Table15[[#This Row],[CONCERN.UNIQUEPATH]], IF( ISNUMBER( SEARCH("/",Table15[[#This Row],[CONCERN.UNIQUEPATH]])),SEARCH("/",Table15[[#This Row],[CONCERN.UNIQUEPATH]])+1,1),255))</f>
        <v>Maintainability/Modularity/Developability/Custom/Components/Domains/Infrastructure/Services</v>
      </c>
    </row>
    <row r="537" spans="1:7">
      <c r="A537" t="s">
        <v>1969</v>
      </c>
      <c r="B537" t="s">
        <v>2246</v>
      </c>
      <c r="C537" s="34" t="s">
        <v>4496</v>
      </c>
      <c r="D537" s="26" t="s">
        <v>4497</v>
      </c>
      <c r="E537" s="45" t="str">
        <f xml:space="preserve"> CONCATENATE( MID(Table15[[#This Row],[PHASE]],2,3), MID(Table15[[#This Row],[DELIVERABLE]],2,4), TRIM(SUBSTITUTE(MID(Table15[[#This Row],[CONCERN.ID]],2,20),"","") )  )</f>
        <v>08.461.5352.99.3700</v>
      </c>
      <c r="F537" t="str">
        <f>TRIM(MID(Table15[[#This Row],[CONCERN.UNIQUEPATH]], IF( ISNUMBER( SEARCH("/",Table15[[#This Row],[CONCERN.UNIQUEPATH]])),SEARCH("/",Table15[[#This Row],[CONCERN.UNIQUEPATH]])+1,1),255))</f>
        <v>Maintainability/Modularity/Developability/Custom/Components/Domains/Business</v>
      </c>
    </row>
    <row r="538" spans="1:7">
      <c r="A538" t="s">
        <v>1969</v>
      </c>
      <c r="B538" t="s">
        <v>2246</v>
      </c>
      <c r="C538" s="35" t="s">
        <v>4498</v>
      </c>
      <c r="D538" s="27" t="s">
        <v>4499</v>
      </c>
      <c r="E538" t="str">
        <f xml:space="preserve"> CONCATENATE( MID(Table15[[#This Row],[PHASE]],2,3), MID(Table15[[#This Row],[DELIVERABLE]],2,4), TRIM(SUBSTITUTE(MID(Table15[[#This Row],[CONCERN.ID]],2,20),"","") )  )</f>
        <v>08.461.5352.99.3800</v>
      </c>
      <c r="F538" t="str">
        <f>TRIM(MID(Table15[[#This Row],[CONCERN.UNIQUEPATH]], IF( ISNUMBER( SEARCH("/",Table15[[#This Row],[CONCERN.UNIQUEPATH]])),SEARCH("/",Table15[[#This Row],[CONCERN.UNIQUEPATH]])+1,1),255))</f>
        <v>Maintainability/Modularity/Developability/Custom/Components/Domains/Shared</v>
      </c>
    </row>
    <row r="539" spans="1:7">
      <c r="A539" t="s">
        <v>1969</v>
      </c>
      <c r="B539" t="s">
        <v>2246</v>
      </c>
      <c r="C539" s="30" t="s">
        <v>4500</v>
      </c>
      <c r="D539" s="26" t="s">
        <v>4501</v>
      </c>
      <c r="E539" s="45" t="str">
        <f xml:space="preserve"> CONCATENATE( MID(Table15[[#This Row],[PHASE]],2,3), MID(Table15[[#This Row],[DELIVERABLE]],2,4), TRIM(SUBSTITUTE(MID(Table15[[#This Row],[CONCERN.ID]],2,20),"","") )  )</f>
        <v>08.461.5360.00.0000</v>
      </c>
      <c r="F539" t="str">
        <f>TRIM(MID(Table15[[#This Row],[CONCERN.UNIQUEPATH]], IF( ISNUMBER( SEARCH("/",Table15[[#This Row],[CONCERN.UNIQUEPATH]])),SEARCH("/",Table15[[#This Row],[CONCERN.UNIQUEPATH]])+1,1),255))</f>
        <v>Maintainability/Reusability</v>
      </c>
    </row>
    <row r="540" spans="1:7">
      <c r="A540" t="s">
        <v>1969</v>
      </c>
      <c r="B540" t="s">
        <v>2246</v>
      </c>
      <c r="C540" s="32" t="s">
        <v>4502</v>
      </c>
      <c r="D540" s="27" t="s">
        <v>4503</v>
      </c>
      <c r="E540" t="str">
        <f xml:space="preserve"> CONCATENATE( MID(Table15[[#This Row],[PHASE]],2,3), MID(Table15[[#This Row],[DELIVERABLE]],2,4), TRIM(SUBSTITUTE(MID(Table15[[#This Row],[CONCERN.ID]],2,20),"","") )  )</f>
        <v>08.461.5361.01.0000</v>
      </c>
      <c r="F540" t="str">
        <f>TRIM(MID(Table15[[#This Row],[CONCERN.UNIQUEPATH]], IF( ISNUMBER( SEARCH("/",Table15[[#This Row],[CONCERN.UNIQUEPATH]])),SEARCH("/",Table15[[#This Row],[CONCERN.UNIQUEPATH]])+1,1),255))</f>
        <v>Maintainability/Reusability/APIs</v>
      </c>
    </row>
    <row r="541" spans="1:7">
      <c r="A541" t="s">
        <v>1969</v>
      </c>
      <c r="B541" t="s">
        <v>2246</v>
      </c>
      <c r="C541" s="36" t="s">
        <v>4504</v>
      </c>
      <c r="D541" s="26" t="s">
        <v>4505</v>
      </c>
      <c r="E541" s="45" t="str">
        <f xml:space="preserve"> CONCATENATE( MID(Table15[[#This Row],[PHASE]],2,3), MID(Table15[[#This Row],[DELIVERABLE]],2,4), TRIM(SUBSTITUTE(MID(Table15[[#This Row],[CONCERN.ID]],2,20),"","") )  )</f>
        <v>08.461.5361.01.1000</v>
      </c>
      <c r="F541" t="str">
        <f>TRIM(MID(Table15[[#This Row],[CONCERN.UNIQUEPATH]], IF( ISNUMBER( SEARCH("/",Table15[[#This Row],[CONCERN.UNIQUEPATH]])),SEARCH("/",Table15[[#This Row],[CONCERN.UNIQUEPATH]])+1,1),255))</f>
        <v>Maintainability/Reusability/APIs/Querability</v>
      </c>
    </row>
    <row r="542" spans="1:7">
      <c r="A542" t="s">
        <v>1969</v>
      </c>
      <c r="B542" t="s">
        <v>2246</v>
      </c>
      <c r="C542" s="33" t="s">
        <v>4504</v>
      </c>
      <c r="D542" s="27" t="s">
        <v>4506</v>
      </c>
      <c r="E542" t="str">
        <f xml:space="preserve"> CONCATENATE( MID(Table15[[#This Row],[PHASE]],2,3), MID(Table15[[#This Row],[DELIVERABLE]],2,4), TRIM(SUBSTITUTE(MID(Table15[[#This Row],[CONCERN.ID]],2,20),"","") )  )</f>
        <v>08.461.5361.01.1000</v>
      </c>
      <c r="F542" t="str">
        <f>TRIM(MID(Table15[[#This Row],[CONCERN.UNIQUEPATH]], IF( ISNUMBER( SEARCH("/",Table15[[#This Row],[CONCERN.UNIQUEPATH]])),SEARCH("/",Table15[[#This Row],[CONCERN.UNIQUEPATH]])+1,1),255))</f>
        <v>Maintainability/Reusability/APIs/SDK</v>
      </c>
    </row>
    <row r="543" spans="1:7">
      <c r="A543" t="s">
        <v>1969</v>
      </c>
      <c r="B543" t="s">
        <v>2246</v>
      </c>
      <c r="C543" s="30" t="s">
        <v>4507</v>
      </c>
      <c r="D543" s="26" t="s">
        <v>4508</v>
      </c>
      <c r="E543" s="45" t="str">
        <f xml:space="preserve"> CONCATENATE( MID(Table15[[#This Row],[PHASE]],2,3), MID(Table15[[#This Row],[DELIVERABLE]],2,4), TRIM(SUBSTITUTE(MID(Table15[[#This Row],[CONCERN.ID]],2,20),"","") )  )</f>
        <v>08.461.5370.00.0000</v>
      </c>
      <c r="F543" t="str">
        <f>TRIM(MID(Table15[[#This Row],[CONCERN.UNIQUEPATH]], IF( ISNUMBER( SEARCH("/",Table15[[#This Row],[CONCERN.UNIQUEPATH]])),SEARCH("/",Table15[[#This Row],[CONCERN.UNIQUEPATH]])+1,1),255))</f>
        <v>Maintainability/Testability</v>
      </c>
    </row>
    <row r="544" spans="1:7">
      <c r="A544" t="s">
        <v>1969</v>
      </c>
      <c r="B544" t="s">
        <v>2246</v>
      </c>
      <c r="C544" s="29" t="s">
        <v>4509</v>
      </c>
      <c r="D544" s="27" t="s">
        <v>4510</v>
      </c>
      <c r="E544" t="str">
        <f xml:space="preserve"> CONCATENATE( MID(Table15[[#This Row],[PHASE]],2,3), MID(Table15[[#This Row],[DELIVERABLE]],2,4), TRIM(SUBSTITUTE(MID(Table15[[#This Row],[CONCERN.ID]],2,20),"","") )  )</f>
        <v>08.461.5371.00.0000</v>
      </c>
      <c r="F544" t="str">
        <f>TRIM(MID(Table15[[#This Row],[CONCERN.UNIQUEPATH]], IF( ISNUMBER( SEARCH("/",Table15[[#This Row],[CONCERN.UNIQUEPATH]])),SEARCH("/",Table15[[#This Row],[CONCERN.UNIQUEPATH]])+1,1),255))</f>
        <v>Maintainability/Testability/100% Automated</v>
      </c>
      <c r="G544" t="s">
        <v>4511</v>
      </c>
    </row>
    <row r="545" spans="1:7">
      <c r="A545" t="s">
        <v>1969</v>
      </c>
      <c r="B545" t="s">
        <v>2246</v>
      </c>
      <c r="C545" s="31" t="s">
        <v>4512</v>
      </c>
      <c r="D545" s="26" t="s">
        <v>4513</v>
      </c>
      <c r="E545" s="45" t="str">
        <f xml:space="preserve"> CONCATENATE( MID(Table15[[#This Row],[PHASE]],2,3), MID(Table15[[#This Row],[DELIVERABLE]],2,4), TRIM(SUBSTITUTE(MID(Table15[[#This Row],[CONCERN.ID]],2,20),"","") )  )</f>
        <v>08.461.5371.01.0000</v>
      </c>
      <c r="F545" t="str">
        <f>TRIM(MID(Table15[[#This Row],[CONCERN.UNIQUEPATH]], IF( ISNUMBER( SEARCH("/",Table15[[#This Row],[CONCERN.UNIQUEPATH]])),SEARCH("/",Table15[[#This Row],[CONCERN.UNIQUEPATH]])+1,1),255))</f>
        <v>Maintainability/Testability/100% Automated/Within Delivery Pipeline</v>
      </c>
    </row>
    <row r="546" spans="1:7">
      <c r="A546" t="s">
        <v>1969</v>
      </c>
      <c r="B546" t="s">
        <v>2246</v>
      </c>
      <c r="C546" s="29" t="s">
        <v>4514</v>
      </c>
      <c r="D546" s="27" t="s">
        <v>4515</v>
      </c>
      <c r="E546" t="str">
        <f xml:space="preserve"> CONCATENATE( MID(Table15[[#This Row],[PHASE]],2,3), MID(Table15[[#This Row],[DELIVERABLE]],2,4), TRIM(SUBSTITUTE(MID(Table15[[#This Row],[CONCERN.ID]],2,20),"","") )  )</f>
        <v>08.461.5372.00.0000</v>
      </c>
      <c r="F546" t="str">
        <f>TRIM(MID(Table15[[#This Row],[CONCERN.UNIQUEPATH]], IF( ISNUMBER( SEARCH("/",Table15[[#This Row],[CONCERN.UNIQUEPATH]])),SEARCH("/",Table15[[#This Row],[CONCERN.UNIQUEPATH]])+1,1),255))</f>
        <v>Maintainability/Testability/API Coverage</v>
      </c>
      <c r="G546" t="s">
        <v>4516</v>
      </c>
    </row>
    <row r="547" spans="1:7">
      <c r="A547" t="s">
        <v>1969</v>
      </c>
      <c r="B547" t="s">
        <v>2246</v>
      </c>
      <c r="C547" s="31" t="s">
        <v>4517</v>
      </c>
      <c r="D547" s="26" t="s">
        <v>4518</v>
      </c>
      <c r="E547" s="45" t="str">
        <f xml:space="preserve"> CONCATENATE( MID(Table15[[#This Row],[PHASE]],2,3), MID(Table15[[#This Row],[DELIVERABLE]],2,4), TRIM(SUBSTITUTE(MID(Table15[[#This Row],[CONCERN.ID]],2,20),"","") )  )</f>
        <v>08.461.5372.01.0000</v>
      </c>
      <c r="F547" t="str">
        <f>TRIM(MID(Table15[[#This Row],[CONCERN.UNIQUEPATH]], IF( ISNUMBER( SEARCH("/",Table15[[#This Row],[CONCERN.UNIQUEPATH]])),SEARCH("/",Table15[[#This Row],[CONCERN.UNIQUEPATH]])+1,1),255))</f>
        <v>Maintainability/Testability/100% Coverage/More important than Code Coverage</v>
      </c>
    </row>
    <row r="548" spans="1:7">
      <c r="A548" t="s">
        <v>1969</v>
      </c>
      <c r="B548" t="s">
        <v>2246</v>
      </c>
      <c r="C548" s="29" t="s">
        <v>4519</v>
      </c>
      <c r="D548" s="27" t="s">
        <v>4520</v>
      </c>
      <c r="E548" t="str">
        <f xml:space="preserve"> CONCATENATE( MID(Table15[[#This Row],[PHASE]],2,3), MID(Table15[[#This Row],[DELIVERABLE]],2,4), TRIM(SUBSTITUTE(MID(Table15[[#This Row],[CONCERN.ID]],2,20),"","") )  )</f>
        <v>08.461.5373.00.0000</v>
      </c>
      <c r="F548" t="str">
        <f>TRIM(MID(Table15[[#This Row],[CONCERN.UNIQUEPATH]], IF( ISNUMBER( SEARCH("/",Table15[[#This Row],[CONCERN.UNIQUEPATH]])),SEARCH("/",Table15[[#This Row],[CONCERN.UNIQUEPATH]])+1,1),255))</f>
        <v>Maintainability/Testability/Compiled Languages</v>
      </c>
      <c r="G548" t="s">
        <v>4521</v>
      </c>
    </row>
    <row r="549" spans="1:7">
      <c r="A549" t="s">
        <v>1969</v>
      </c>
      <c r="B549" t="s">
        <v>2246</v>
      </c>
      <c r="C549" s="30" t="s">
        <v>4522</v>
      </c>
      <c r="D549" s="26" t="s">
        <v>4523</v>
      </c>
      <c r="E549" s="45" t="str">
        <f xml:space="preserve"> CONCATENATE( MID(Table15[[#This Row],[PHASE]],2,3), MID(Table15[[#This Row],[DELIVERABLE]],2,4), TRIM(SUBSTITUTE(MID(Table15[[#This Row],[CONCERN.ID]],2,20),"","") )  )</f>
        <v>08.461.5374.00.0000</v>
      </c>
      <c r="F549" t="str">
        <f>TRIM(MID(Table15[[#This Row],[CONCERN.UNIQUEPATH]], IF( ISNUMBER( SEARCH("/",Table15[[#This Row],[CONCERN.UNIQUEPATH]])),SEARCH("/",Table15[[#This Row],[CONCERN.UNIQUEPATH]])+1,1),255))</f>
        <v>Maintainability/Testability/Static Tests</v>
      </c>
    </row>
    <row r="550" spans="1:7">
      <c r="A550" t="s">
        <v>1969</v>
      </c>
      <c r="B550" t="s">
        <v>2246</v>
      </c>
      <c r="C550" s="32" t="s">
        <v>4524</v>
      </c>
      <c r="D550" s="27" t="s">
        <v>4525</v>
      </c>
      <c r="E550" t="str">
        <f xml:space="preserve"> CONCATENATE( MID(Table15[[#This Row],[PHASE]],2,3), MID(Table15[[#This Row],[DELIVERABLE]],2,4), TRIM(SUBSTITUTE(MID(Table15[[#This Row],[CONCERN.ID]],2,20),"","") )  )</f>
        <v>08.461.5374.01.0000</v>
      </c>
      <c r="F550" t="str">
        <f>TRIM(MID(Table15[[#This Row],[CONCERN.UNIQUEPATH]], IF( ISNUMBER( SEARCH("/",Table15[[#This Row],[CONCERN.UNIQUEPATH]])),SEARCH("/",Table15[[#This Row],[CONCERN.UNIQUEPATH]])+1,1),255))</f>
        <v>Maintainability/Testability/Static Tests/AAA</v>
      </c>
    </row>
    <row r="551" spans="1:7">
      <c r="A551" t="s">
        <v>1969</v>
      </c>
      <c r="B551" t="s">
        <v>2246</v>
      </c>
      <c r="C551" s="31" t="s">
        <v>4526</v>
      </c>
      <c r="D551" s="26" t="s">
        <v>4527</v>
      </c>
      <c r="E551" s="45" t="str">
        <f xml:space="preserve"> CONCATENATE( MID(Table15[[#This Row],[PHASE]],2,3), MID(Table15[[#This Row],[DELIVERABLE]],2,4), TRIM(SUBSTITUTE(MID(Table15[[#This Row],[CONCERN.ID]],2,20),"","") )  )</f>
        <v>08.461.5374.02.0000</v>
      </c>
      <c r="F551" t="str">
        <f>TRIM(MID(Table15[[#This Row],[CONCERN.UNIQUEPATH]], IF( ISNUMBER( SEARCH("/",Table15[[#This Row],[CONCERN.UNIQUEPATH]])),SEARCH("/",Table15[[#This Row],[CONCERN.UNIQUEPATH]])+1,1),255))</f>
        <v>Maintainability/Testability/Static Tests/Can Run in Parrallel</v>
      </c>
    </row>
    <row r="552" spans="1:7">
      <c r="A552" t="s">
        <v>1969</v>
      </c>
      <c r="B552" t="s">
        <v>2246</v>
      </c>
      <c r="C552" s="32" t="s">
        <v>4528</v>
      </c>
      <c r="D552" s="27" t="s">
        <v>4529</v>
      </c>
      <c r="E552" t="str">
        <f xml:space="preserve"> CONCATENATE( MID(Table15[[#This Row],[PHASE]],2,3), MID(Table15[[#This Row],[DELIVERABLE]],2,4), TRIM(SUBSTITUTE(MID(Table15[[#This Row],[CONCERN.ID]],2,20),"","") )  )</f>
        <v>08.461.5374.03.0000</v>
      </c>
      <c r="F552" t="str">
        <f>TRIM(MID(Table15[[#This Row],[CONCERN.UNIQUEPATH]], IF( ISNUMBER( SEARCH("/",Table15[[#This Row],[CONCERN.UNIQUEPATH]])),SEARCH("/",Table15[[#This Row],[CONCERN.UNIQUEPATH]])+1,1),255))</f>
        <v>Maintainability/Testability/Static Tests/Do Not Change Persisted State</v>
      </c>
    </row>
    <row r="553" spans="1:7">
      <c r="A553" t="s">
        <v>1969</v>
      </c>
      <c r="B553" t="s">
        <v>2246</v>
      </c>
      <c r="C553" s="30" t="s">
        <v>4530</v>
      </c>
      <c r="D553" s="26" t="s">
        <v>4531</v>
      </c>
      <c r="E553" s="45" t="str">
        <f xml:space="preserve"> CONCATENATE( MID(Table15[[#This Row],[PHASE]],2,3), MID(Table15[[#This Row],[DELIVERABLE]],2,4), TRIM(SUBSTITUTE(MID(Table15[[#This Row],[CONCERN.ID]],2,20),"","") )  )</f>
        <v>08.461.5375.00.0000</v>
      </c>
      <c r="F553" t="str">
        <f>TRIM(MID(Table15[[#This Row],[CONCERN.UNIQUEPATH]], IF( ISNUMBER( SEARCH("/",Table15[[#This Row],[CONCERN.UNIQUEPATH]])),SEARCH("/",Table15[[#This Row],[CONCERN.UNIQUEPATH]])+1,1),255))</f>
        <v>Maintainability/Testability/Dynamic Tests</v>
      </c>
    </row>
    <row r="554" spans="1:7">
      <c r="A554" t="s">
        <v>1969</v>
      </c>
      <c r="B554" t="s">
        <v>2246</v>
      </c>
      <c r="C554" s="32" t="s">
        <v>4532</v>
      </c>
      <c r="D554" s="27" t="s">
        <v>4533</v>
      </c>
      <c r="E554" t="str">
        <f xml:space="preserve"> CONCATENATE( MID(Table15[[#This Row],[PHASE]],2,3), MID(Table15[[#This Row],[DELIVERABLE]],2,4), TRIM(SUBSTITUTE(MID(Table15[[#This Row],[CONCERN.ID]],2,20),"","") )  )</f>
        <v>08.461.5375.01.0000</v>
      </c>
      <c r="F554" t="str">
        <f>TRIM(MID(Table15[[#This Row],[CONCERN.UNIQUEPATH]], IF( ISNUMBER( SEARCH("/",Table15[[#This Row],[CONCERN.UNIQUEPATH]])),SEARCH("/",Table15[[#This Row],[CONCERN.UNIQUEPATH]])+1,1),255))</f>
        <v>Maintainability/Testability/Dynamic Tests/Can Run in Parrallel</v>
      </c>
    </row>
    <row r="555" spans="1:7">
      <c r="A555" t="s">
        <v>1969</v>
      </c>
      <c r="B555" t="s">
        <v>2246</v>
      </c>
      <c r="C555" s="31" t="s">
        <v>4534</v>
      </c>
      <c r="D555" s="26" t="s">
        <v>4535</v>
      </c>
      <c r="E555" s="45" t="str">
        <f xml:space="preserve"> CONCATENATE( MID(Table15[[#This Row],[PHASE]],2,3), MID(Table15[[#This Row],[DELIVERABLE]],2,4), TRIM(SUBSTITUTE(MID(Table15[[#This Row],[CONCERN.ID]],2,20),"","") )  )</f>
        <v>08.461.5375.02.0000</v>
      </c>
      <c r="F555" t="str">
        <f>TRIM(MID(Table15[[#This Row],[CONCERN.UNIQUEPATH]], IF( ISNUMBER( SEARCH("/",Table15[[#This Row],[CONCERN.UNIQUEPATH]])),SEARCH("/",Table15[[#This Row],[CONCERN.UNIQUEPATH]])+1,1),255))</f>
        <v>Maintainability/Testability/Dynamic Tests/Sequence Independent</v>
      </c>
    </row>
    <row r="556" spans="1:7">
      <c r="A556" t="s">
        <v>1969</v>
      </c>
      <c r="B556" t="s">
        <v>2246</v>
      </c>
      <c r="C556" s="32" t="s">
        <v>4536</v>
      </c>
      <c r="D556" s="27" t="s">
        <v>4537</v>
      </c>
      <c r="E556" t="str">
        <f xml:space="preserve"> CONCATENATE( MID(Table15[[#This Row],[PHASE]],2,3), MID(Table15[[#This Row],[DELIVERABLE]],2,4), TRIM(SUBSTITUTE(MID(Table15[[#This Row],[CONCERN.ID]],2,20),"","") )  )</f>
        <v>08.461.5375.03.0000</v>
      </c>
      <c r="F556" t="str">
        <f>TRIM(MID(Table15[[#This Row],[CONCERN.UNIQUEPATH]], IF( ISNUMBER( SEARCH("/",Table15[[#This Row],[CONCERN.UNIQUEPATH]])),SEARCH("/",Table15[[#This Row],[CONCERN.UNIQUEPATH]])+1,1),255))</f>
        <v>Maintainability/Testability/Dynamic Tests/Reset Data After Test</v>
      </c>
    </row>
    <row r="557" spans="1:7">
      <c r="A557" t="s">
        <v>1969</v>
      </c>
      <c r="B557" t="s">
        <v>2246</v>
      </c>
      <c r="C557" s="30" t="s">
        <v>4538</v>
      </c>
      <c r="D557" s="26" t="s">
        <v>4539</v>
      </c>
      <c r="E557" s="45" t="str">
        <f xml:space="preserve"> CONCATENATE( MID(Table15[[#This Row],[PHASE]],2,3), MID(Table15[[#This Row],[DELIVERABLE]],2,4), TRIM(SUBSTITUTE(MID(Table15[[#This Row],[CONCERN.ID]],2,20),"","") )  )</f>
        <v>08.461.5376.00.0000</v>
      </c>
      <c r="F557" t="str">
        <f>TRIM(MID(Table15[[#This Row],[CONCERN.UNIQUEPATH]], IF( ISNUMBER( SEARCH("/",Table15[[#This Row],[CONCERN.UNIQUEPATH]])),SEARCH("/",Table15[[#This Row],[CONCERN.UNIQUEPATH]])+1,1),255))</f>
        <v>Maintainability/Testability/Connectivity Tests</v>
      </c>
      <c r="G557" t="s">
        <v>4540</v>
      </c>
    </row>
    <row r="558" spans="1:7">
      <c r="A558" t="s">
        <v>1969</v>
      </c>
      <c r="B558" t="s">
        <v>2246</v>
      </c>
      <c r="C558" s="29" t="s">
        <v>4541</v>
      </c>
      <c r="D558" s="27" t="s">
        <v>4542</v>
      </c>
      <c r="E558" t="str">
        <f xml:space="preserve"> CONCATENATE( MID(Table15[[#This Row],[PHASE]],2,3), MID(Table15[[#This Row],[DELIVERABLE]],2,4), TRIM(SUBSTITUTE(MID(Table15[[#This Row],[CONCERN.ID]],2,20),"","") )  )</f>
        <v>08.461.5380.00.0000</v>
      </c>
      <c r="F558" t="str">
        <f>TRIM(MID(Table15[[#This Row],[CONCERN.UNIQUEPATH]], IF( ISNUMBER( SEARCH("/",Table15[[#This Row],[CONCERN.UNIQUEPATH]])),SEARCH("/",Table15[[#This Row],[CONCERN.UNIQUEPATH]])+1,1),255))</f>
        <v>Maintainability/Documentation</v>
      </c>
    </row>
    <row r="559" spans="1:7">
      <c r="A559" t="s">
        <v>1969</v>
      </c>
      <c r="B559" t="s">
        <v>2246</v>
      </c>
      <c r="C559" s="31" t="s">
        <v>4543</v>
      </c>
      <c r="D559" s="26" t="s">
        <v>4544</v>
      </c>
      <c r="E559" s="45" t="str">
        <f xml:space="preserve"> CONCATENATE( MID(Table15[[#This Row],[PHASE]],2,3), MID(Table15[[#This Row],[DELIVERABLE]],2,4), TRIM(SUBSTITUTE(MID(Table15[[#This Row],[CONCERN.ID]],2,20),"","") )  )</f>
        <v>08.461.5380.01.0000</v>
      </c>
      <c r="F559" t="str">
        <f>TRIM(MID(Table15[[#This Row],[CONCERN.UNIQUEPATH]], IF( ISNUMBER( SEARCH("/",Table15[[#This Row],[CONCERN.UNIQUEPATH]])),SEARCH("/",Table15[[#This Row],[CONCERN.UNIQUEPATH]])+1,1),255))</f>
        <v>Maintainability/Documentation/Updatable</v>
      </c>
    </row>
    <row r="560" spans="1:7">
      <c r="A560" t="s">
        <v>1969</v>
      </c>
      <c r="B560" t="s">
        <v>2246</v>
      </c>
      <c r="C560" s="32" t="s">
        <v>4545</v>
      </c>
      <c r="D560" s="27" t="s">
        <v>4546</v>
      </c>
      <c r="E560" t="str">
        <f xml:space="preserve"> CONCATENATE( MID(Table15[[#This Row],[PHASE]],2,3), MID(Table15[[#This Row],[DELIVERABLE]],2,4), TRIM(SUBSTITUTE(MID(Table15[[#This Row],[CONCERN.ID]],2,20),"","") )  )</f>
        <v>08.461.5380.02.0000</v>
      </c>
      <c r="F560" t="str">
        <f>TRIM(MID(Table15[[#This Row],[CONCERN.UNIQUEPATH]], IF( ISNUMBER( SEARCH("/",Table15[[#This Row],[CONCERN.UNIQUEPATH]])),SEARCH("/",Table15[[#This Row],[CONCERN.UNIQUEPATH]])+1,1),255))</f>
        <v>Maintainability/Documentation/Stored Separately</v>
      </c>
    </row>
    <row r="561" spans="1:7">
      <c r="A561" t="s">
        <v>1969</v>
      </c>
      <c r="B561" t="s">
        <v>2246</v>
      </c>
      <c r="C561" s="30" t="s">
        <v>4547</v>
      </c>
      <c r="D561" s="26" t="s">
        <v>4548</v>
      </c>
      <c r="E561" s="45" t="str">
        <f xml:space="preserve"> CONCATENATE( MID(Table15[[#This Row],[PHASE]],2,3), MID(Table15[[#This Row],[DELIVERABLE]],2,4), TRIM(SUBSTITUTE(MID(Table15[[#This Row],[CONCERN.ID]],2,20),"","") )  )</f>
        <v>08.461.5382.00.0000</v>
      </c>
      <c r="F561" t="str">
        <f>TRIM(MID(Table15[[#This Row],[CONCERN.UNIQUEPATH]], IF( ISNUMBER( SEARCH("/",Table15[[#This Row],[CONCERN.UNIQUEPATH]])),SEARCH("/",Table15[[#This Row],[CONCERN.UNIQUEPATH]])+1,1),255))</f>
        <v>Maintainability/Documentation/Configuration Guide</v>
      </c>
    </row>
    <row r="562" spans="1:7">
      <c r="A562" t="s">
        <v>1969</v>
      </c>
      <c r="B562" t="s">
        <v>2246</v>
      </c>
      <c r="C562" s="29" t="s">
        <v>4549</v>
      </c>
      <c r="D562" s="27" t="s">
        <v>4550</v>
      </c>
      <c r="E562" t="str">
        <f xml:space="preserve"> CONCATENATE( MID(Table15[[#This Row],[PHASE]],2,3), MID(Table15[[#This Row],[DELIVERABLE]],2,4), TRIM(SUBSTITUTE(MID(Table15[[#This Row],[CONCERN.ID]],2,20),"","") )  )</f>
        <v>08.461.5383.00.0000</v>
      </c>
      <c r="F562" t="str">
        <f>TRIM(MID(Table15[[#This Row],[CONCERN.UNIQUEPATH]], IF( ISNUMBER( SEARCH("/",Table15[[#This Row],[CONCERN.UNIQUEPATH]])),SEARCH("/",Table15[[#This Row],[CONCERN.UNIQUEPATH]])+1,1),255))</f>
        <v>Maintainability/Documentation/Deployment Guide</v>
      </c>
    </row>
    <row r="563" spans="1:7">
      <c r="A563" t="s">
        <v>1969</v>
      </c>
      <c r="B563" t="s">
        <v>2246</v>
      </c>
      <c r="C563" s="30" t="s">
        <v>4551</v>
      </c>
      <c r="D563" s="26" t="s">
        <v>4552</v>
      </c>
      <c r="E563" s="45" t="str">
        <f xml:space="preserve"> CONCATENATE( MID(Table15[[#This Row],[PHASE]],2,3), MID(Table15[[#This Row],[DELIVERABLE]],2,4), TRIM(SUBSTITUTE(MID(Table15[[#This Row],[CONCERN.ID]],2,20),"","") )  )</f>
        <v>08.461.5384.00.0000</v>
      </c>
      <c r="F563" t="str">
        <f>TRIM(MID(Table15[[#This Row],[CONCERN.UNIQUEPATH]], IF( ISNUMBER( SEARCH("/",Table15[[#This Row],[CONCERN.UNIQUEPATH]])),SEARCH("/",Table15[[#This Row],[CONCERN.UNIQUEPATH]])+1,1),255))</f>
        <v>Maintainability/Documentation/DR Guide</v>
      </c>
    </row>
    <row r="564" spans="1:7">
      <c r="A564" t="s">
        <v>1969</v>
      </c>
      <c r="B564" t="s">
        <v>2246</v>
      </c>
      <c r="C564" s="29" t="s">
        <v>4553</v>
      </c>
      <c r="D564" s="27" t="s">
        <v>4554</v>
      </c>
      <c r="E564" t="str">
        <f xml:space="preserve"> CONCATENATE( MID(Table15[[#This Row],[PHASE]],2,3), MID(Table15[[#This Row],[DELIVERABLE]],2,4), TRIM(SUBSTITUTE(MID(Table15[[#This Row],[CONCERN.ID]],2,20),"","") )  )</f>
        <v>08.461.5385.00.0000</v>
      </c>
      <c r="F564" t="str">
        <f>TRIM(MID(Table15[[#This Row],[CONCERN.UNIQUEPATH]], IF( ISNUMBER( SEARCH("/",Table15[[#This Row],[CONCERN.UNIQUEPATH]])),SEARCH("/",Table15[[#This Row],[CONCERN.UNIQUEPATH]])+1,1),255))</f>
        <v>Maintainability/Documentation/BCP</v>
      </c>
      <c r="G564" t="s">
        <v>4555</v>
      </c>
    </row>
    <row r="565" spans="1:7">
      <c r="A565" t="s">
        <v>1969</v>
      </c>
      <c r="B565" t="s">
        <v>2246</v>
      </c>
      <c r="C565" s="30" t="s">
        <v>4556</v>
      </c>
      <c r="D565" s="26" t="s">
        <v>4557</v>
      </c>
      <c r="E565" s="45" t="str">
        <f xml:space="preserve"> CONCATENATE( MID(Table15[[#This Row],[PHASE]],2,3), MID(Table15[[#This Row],[DELIVERABLE]],2,4), TRIM(SUBSTITUTE(MID(Table15[[#This Row],[CONCERN.ID]],2,20),"","") )  )</f>
        <v>08.461.5386.00.0000</v>
      </c>
      <c r="F565" t="str">
        <f>TRIM(MID(Table15[[#This Row],[CONCERN.UNIQUEPATH]], IF( ISNUMBER( SEARCH("/",Table15[[#This Row],[CONCERN.UNIQUEPATH]])),SEARCH("/",Table15[[#This Row],[CONCERN.UNIQUEPATH]])+1,1),255))</f>
        <v>Maintainability/Documentation/Operations Guide</v>
      </c>
      <c r="G565" t="s">
        <v>4558</v>
      </c>
    </row>
    <row r="566" spans="1:7">
      <c r="A566" t="s">
        <v>1969</v>
      </c>
      <c r="B566" t="s">
        <v>2246</v>
      </c>
      <c r="C566" s="32" t="s">
        <v>4559</v>
      </c>
      <c r="D566" s="27" t="s">
        <v>4560</v>
      </c>
      <c r="E566" t="str">
        <f xml:space="preserve"> CONCATENATE( MID(Table15[[#This Row],[PHASE]],2,3), MID(Table15[[#This Row],[DELIVERABLE]],2,4), TRIM(SUBSTITUTE(MID(Table15[[#This Row],[CONCERN.ID]],2,20),"","") )  )</f>
        <v>08.461.5386.01.0000</v>
      </c>
      <c r="F566" t="str">
        <f>TRIM(MID(Table15[[#This Row],[CONCERN.UNIQUEPATH]], IF( ISNUMBER( SEARCH("/",Table15[[#This Row],[CONCERN.UNIQUEPATH]])),SEARCH("/",Table15[[#This Row],[CONCERN.UNIQUEPATH]])+1,1),255))</f>
        <v>Maintainability/Documentation/Operation Guide/Decommissioning</v>
      </c>
    </row>
    <row r="567" spans="1:7">
      <c r="A567" t="s">
        <v>1969</v>
      </c>
      <c r="B567" t="s">
        <v>2246</v>
      </c>
      <c r="C567" s="36" t="s">
        <v>4561</v>
      </c>
      <c r="D567" s="26" t="s">
        <v>4562</v>
      </c>
      <c r="E567" s="45" t="str">
        <f xml:space="preserve"> CONCATENATE( MID(Table15[[#This Row],[PHASE]],2,3), MID(Table15[[#This Row],[DELIVERABLE]],2,4), TRIM(SUBSTITUTE(MID(Table15[[#This Row],[CONCERN.ID]],2,20),"","") )  )</f>
        <v>08.461.5386.01.1000</v>
      </c>
      <c r="F567" t="str">
        <f>TRIM(MID(Table15[[#This Row],[CONCERN.UNIQUEPATH]], IF( ISNUMBER( SEARCH("/",Table15[[#This Row],[CONCERN.UNIQUEPATH]])),SEARCH("/",Table15[[#This Row],[CONCERN.UNIQUEPATH]])+1,1),255))</f>
        <v>Maintainability/Documentation/Operation Guide/Decommissioning/Secure Data Deletion</v>
      </c>
    </row>
    <row r="568" spans="1:7">
      <c r="A568" t="s">
        <v>1969</v>
      </c>
      <c r="B568" t="s">
        <v>2246</v>
      </c>
      <c r="C568" s="33" t="s">
        <v>4563</v>
      </c>
      <c r="D568" s="27" t="s">
        <v>4564</v>
      </c>
      <c r="E568" t="str">
        <f xml:space="preserve"> CONCATENATE( MID(Table15[[#This Row],[PHASE]],2,3), MID(Table15[[#This Row],[DELIVERABLE]],2,4), TRIM(SUBSTITUTE(MID(Table15[[#This Row],[CONCERN.ID]],2,20),"","") )  )</f>
        <v>08.461.5386.01.2000</v>
      </c>
      <c r="F568" t="str">
        <f>TRIM(MID(Table15[[#This Row],[CONCERN.UNIQUEPATH]], IF( ISNUMBER( SEARCH("/",Table15[[#This Row],[CONCERN.UNIQUEPATH]])),SEARCH("/",Table15[[#This Row],[CONCERN.UNIQUEPATH]])+1,1),255))</f>
        <v>Maintainability/Documentation/Operation Guide/Decommissioning/Secure Environment Deletion</v>
      </c>
    </row>
    <row r="569" spans="1:7">
      <c r="A569" t="s">
        <v>1969</v>
      </c>
      <c r="B569" t="s">
        <v>2246</v>
      </c>
      <c r="C569" s="30" t="s">
        <v>4565</v>
      </c>
      <c r="D569" s="26" t="s">
        <v>4566</v>
      </c>
      <c r="E569" s="45" t="str">
        <f xml:space="preserve"> CONCATENATE( MID(Table15[[#This Row],[PHASE]],2,3), MID(Table15[[#This Row],[DELIVERABLE]],2,4), TRIM(SUBSTITUTE(MID(Table15[[#This Row],[CONCERN.ID]],2,20),"","") )  )</f>
        <v>08.461.5387.00.0000</v>
      </c>
      <c r="F569" t="str">
        <f>TRIM(MID(Table15[[#This Row],[CONCERN.UNIQUEPATH]], IF( ISNUMBER( SEARCH("/",Table15[[#This Row],[CONCERN.UNIQUEPATH]])),SEARCH("/",Table15[[#This Row],[CONCERN.UNIQUEPATH]])+1,1),255))</f>
        <v>Maintainability/Documentation/Support Guide</v>
      </c>
    </row>
    <row r="570" spans="1:7">
      <c r="A570" t="s">
        <v>1969</v>
      </c>
      <c r="B570" t="s">
        <v>2246</v>
      </c>
      <c r="C570" s="29" t="s">
        <v>4567</v>
      </c>
      <c r="D570" s="27" t="s">
        <v>4568</v>
      </c>
      <c r="E570" t="str">
        <f xml:space="preserve"> CONCATENATE( MID(Table15[[#This Row],[PHASE]],2,3), MID(Table15[[#This Row],[DELIVERABLE]],2,4), TRIM(SUBSTITUTE(MID(Table15[[#This Row],[CONCERN.ID]],2,20),"","") )  )</f>
        <v>08.461.5388.00.0000</v>
      </c>
      <c r="F570" t="str">
        <f>TRIM(MID(Table15[[#This Row],[CONCERN.UNIQUEPATH]], IF( ISNUMBER( SEARCH("/",Table15[[#This Row],[CONCERN.UNIQUEPATH]])),SEARCH("/",Table15[[#This Row],[CONCERN.UNIQUEPATH]])+1,1),255))</f>
        <v>Maintainability/Documentation/User Guide</v>
      </c>
      <c r="G570" t="s">
        <v>4569</v>
      </c>
    </row>
    <row r="571" spans="1:7">
      <c r="A571" t="s">
        <v>1969</v>
      </c>
      <c r="B571" t="s">
        <v>2246</v>
      </c>
      <c r="C571" s="30" t="s">
        <v>4570</v>
      </c>
      <c r="D571" s="26" t="s">
        <v>4571</v>
      </c>
      <c r="E571" s="45" t="str">
        <f xml:space="preserve"> CONCATENATE( MID(Table15[[#This Row],[PHASE]],2,3), MID(Table15[[#This Row],[DELIVERABLE]],2,4), TRIM(SUBSTITUTE(MID(Table15[[#This Row],[CONCERN.ID]],2,20),"","") )  )</f>
        <v>08.461.5389.00.0000</v>
      </c>
      <c r="F571" t="str">
        <f>TRIM(MID(Table15[[#This Row],[CONCERN.UNIQUEPATH]], IF( ISNUMBER( SEARCH("/",Table15[[#This Row],[CONCERN.UNIQUEPATH]])),SEARCH("/",Table15[[#This Row],[CONCERN.UNIQUEPATH]])+1,1),255))</f>
        <v>Maintainability/Documentation/Development Guide</v>
      </c>
      <c r="G571" t="s">
        <v>4572</v>
      </c>
    </row>
    <row r="572" spans="1:7">
      <c r="A572" t="s">
        <v>1969</v>
      </c>
      <c r="B572" t="s">
        <v>2246</v>
      </c>
      <c r="C572" s="32" t="s">
        <v>4573</v>
      </c>
      <c r="D572" s="27" t="s">
        <v>4574</v>
      </c>
      <c r="E572" t="str">
        <f xml:space="preserve"> CONCATENATE( MID(Table15[[#This Row],[PHASE]],2,3), MID(Table15[[#This Row],[DELIVERABLE]],2,4), TRIM(SUBSTITUTE(MID(Table15[[#This Row],[CONCERN.ID]],2,20),"","") )  )</f>
        <v>08.461.5389.01.0000</v>
      </c>
      <c r="F572" t="str">
        <f>TRIM(MID(Table15[[#This Row],[CONCERN.UNIQUEPATH]], IF( ISNUMBER( SEARCH("/",Table15[[#This Row],[CONCERN.UNIQUEPATH]])),SEARCH("/",Table15[[#This Row],[CONCERN.UNIQUEPATH]])+1,1),255))</f>
        <v>Maintainability/Documentation/Development Guide/Maintainability</v>
      </c>
    </row>
    <row r="573" spans="1:7">
      <c r="A573" t="s">
        <v>1969</v>
      </c>
      <c r="B573" t="s">
        <v>2246</v>
      </c>
      <c r="C573" s="31" t="s">
        <v>4575</v>
      </c>
      <c r="D573" s="26" t="s">
        <v>4576</v>
      </c>
      <c r="E573" s="45" t="str">
        <f xml:space="preserve"> CONCATENATE( MID(Table15[[#This Row],[PHASE]],2,3), MID(Table15[[#This Row],[DELIVERABLE]],2,4), TRIM(SUBSTITUTE(MID(Table15[[#This Row],[CONCERN.ID]],2,20),"","") )  )</f>
        <v>08.461.5389.02.0000</v>
      </c>
      <c r="F573" t="str">
        <f>TRIM(MID(Table15[[#This Row],[CONCERN.UNIQUEPATH]], IF( ISNUMBER( SEARCH("/",Table15[[#This Row],[CONCERN.UNIQUEPATH]])),SEARCH("/",Table15[[#This Row],[CONCERN.UNIQUEPATH]])+1,1),255))</f>
        <v>Maintainability/Documentation/Development Guide/Security</v>
      </c>
    </row>
    <row r="574" spans="1:7">
      <c r="A574" t="s">
        <v>1969</v>
      </c>
      <c r="B574" t="s">
        <v>2246</v>
      </c>
      <c r="C574" s="33" t="s">
        <v>4577</v>
      </c>
      <c r="D574" s="27" t="s">
        <v>4578</v>
      </c>
      <c r="E574" t="str">
        <f xml:space="preserve"> CONCATENATE( MID(Table15[[#This Row],[PHASE]],2,3), MID(Table15[[#This Row],[DELIVERABLE]],2,4), TRIM(SUBSTITUTE(MID(Table15[[#This Row],[CONCERN.ID]],2,20),"","") )  )</f>
        <v>08.461.5389.02.1000</v>
      </c>
      <c r="F574" t="str">
        <f>TRIM(MID(Table15[[#This Row],[CONCERN.UNIQUEPATH]], IF( ISNUMBER( SEARCH("/",Table15[[#This Row],[CONCERN.UNIQUEPATH]])),SEARCH("/",Table15[[#This Row],[CONCERN.UNIQUEPATH]])+1,1),255))</f>
        <v>Maintainability/Documentation/Development Guide/Security/Credentials out of Repositories</v>
      </c>
    </row>
    <row r="575" spans="1:7">
      <c r="A575" t="s">
        <v>1969</v>
      </c>
      <c r="B575" t="s">
        <v>2246</v>
      </c>
      <c r="C575" s="36" t="s">
        <v>4579</v>
      </c>
      <c r="D575" s="26" t="s">
        <v>4580</v>
      </c>
      <c r="E575" s="45" t="str">
        <f xml:space="preserve"> CONCATENATE( MID(Table15[[#This Row],[PHASE]],2,3), MID(Table15[[#This Row],[DELIVERABLE]],2,4), TRIM(SUBSTITUTE(MID(Table15[[#This Row],[CONCERN.ID]],2,20),"","") )  )</f>
        <v>08.461.5389.02.2000</v>
      </c>
      <c r="F575" t="str">
        <f>TRIM(MID(Table15[[#This Row],[CONCERN.UNIQUEPATH]], IF( ISNUMBER( SEARCH("/",Table15[[#This Row],[CONCERN.UNIQUEPATH]])),SEARCH("/",Table15[[#This Row],[CONCERN.UNIQUEPATH]])+1,1),255))</f>
        <v>Maintainability/Documentation/Development Guide/Security/Credentials out of Documentation</v>
      </c>
    </row>
    <row r="576" spans="1:7">
      <c r="A576" t="s">
        <v>1969</v>
      </c>
      <c r="B576" t="s">
        <v>2246</v>
      </c>
      <c r="C576" s="33" t="s">
        <v>4581</v>
      </c>
      <c r="D576" s="27" t="s">
        <v>4582</v>
      </c>
      <c r="E576" t="str">
        <f xml:space="preserve"> CONCATENATE( MID(Table15[[#This Row],[PHASE]],2,3), MID(Table15[[#This Row],[DELIVERABLE]],2,4), TRIM(SUBSTITUTE(MID(Table15[[#This Row],[CONCERN.ID]],2,20),"","") )  )</f>
        <v>08.461.5389.02.3000</v>
      </c>
      <c r="F576" t="str">
        <f>TRIM(MID(Table15[[#This Row],[CONCERN.UNIQUEPATH]], IF( ISNUMBER( SEARCH("/",Table15[[#This Row],[CONCERN.UNIQUEPATH]])),SEARCH("/",Table15[[#This Row],[CONCERN.UNIQUEPATH]])+1,1),255))</f>
        <v>Maintainability/Documentation/Development Guide/Security/Credentials out of System Configuration</v>
      </c>
    </row>
    <row r="577" spans="1:7">
      <c r="A577" t="s">
        <v>1969</v>
      </c>
      <c r="B577" t="s">
        <v>2246</v>
      </c>
      <c r="C577" s="36" t="s">
        <v>4583</v>
      </c>
      <c r="D577" s="26" t="s">
        <v>4584</v>
      </c>
      <c r="E577" s="45" t="str">
        <f xml:space="preserve"> CONCATENATE( MID(Table15[[#This Row],[PHASE]],2,3), MID(Table15[[#This Row],[DELIVERABLE]],2,4), TRIM(SUBSTITUTE(MID(Table15[[#This Row],[CONCERN.ID]],2,20),"","") )  )</f>
        <v>08.461.5389.02.4000</v>
      </c>
      <c r="F577" t="str">
        <f>TRIM(MID(Table15[[#This Row],[CONCERN.UNIQUEPATH]], IF( ISNUMBER( SEARCH("/",Table15[[#This Row],[CONCERN.UNIQUEPATH]])),SEARCH("/",Table15[[#This Row],[CONCERN.UNIQUEPATH]])+1,1),255))</f>
        <v>Maintainability/Documentation/Development Guide/Security/Credentials out of Pipeline Automations</v>
      </c>
    </row>
    <row r="578" spans="1:7">
      <c r="A578" t="s">
        <v>1969</v>
      </c>
      <c r="B578" t="s">
        <v>2246</v>
      </c>
      <c r="C578" s="29" t="s">
        <v>4585</v>
      </c>
      <c r="D578" s="27" t="s">
        <v>4586</v>
      </c>
      <c r="E578" t="str">
        <f xml:space="preserve"> CONCATENATE( MID(Table15[[#This Row],[PHASE]],2,3), MID(Table15[[#This Row],[DELIVERABLE]],2,4), TRIM(SUBSTITUTE(MID(Table15[[#This Row],[CONCERN.ID]],2,20),"","") )  )</f>
        <v>08.461.5390.00.0000</v>
      </c>
      <c r="F578" t="str">
        <f>TRIM(MID(Table15[[#This Row],[CONCERN.UNIQUEPATH]], IF( ISNUMBER( SEARCH("/",Table15[[#This Row],[CONCERN.UNIQUEPATH]])),SEARCH("/",Table15[[#This Row],[CONCERN.UNIQUEPATH]])+1,1),255))</f>
        <v>Maintainability/Current</v>
      </c>
    </row>
    <row r="579" spans="1:7">
      <c r="A579" t="s">
        <v>1969</v>
      </c>
      <c r="B579" t="s">
        <v>2246</v>
      </c>
      <c r="C579" s="30" t="s">
        <v>4587</v>
      </c>
      <c r="D579" s="26" t="s">
        <v>4588</v>
      </c>
      <c r="E579" s="45" t="str">
        <f xml:space="preserve"> CONCATENATE( MID(Table15[[#This Row],[PHASE]],2,3), MID(Table15[[#This Row],[DELIVERABLE]],2,4), TRIM(SUBSTITUTE(MID(Table15[[#This Row],[CONCERN.ID]],2,20),"","") )  )</f>
        <v>08.461.5391.00.0000</v>
      </c>
      <c r="F579" t="str">
        <f>TRIM(MID(Table15[[#This Row],[CONCERN.UNIQUEPATH]], IF( ISNUMBER( SEARCH("/",Table15[[#This Row],[CONCERN.UNIQUEPATH]])),SEARCH("/",Table15[[#This Row],[CONCERN.UNIQUEPATH]])+1,1),255))</f>
        <v>Maintainability/Current/Supported</v>
      </c>
    </row>
    <row r="580" spans="1:7">
      <c r="A580" t="s">
        <v>1969</v>
      </c>
      <c r="B580" t="s">
        <v>2246</v>
      </c>
      <c r="C580" s="29" t="s">
        <v>4589</v>
      </c>
      <c r="D580" s="27" t="s">
        <v>4590</v>
      </c>
      <c r="E580" t="str">
        <f xml:space="preserve"> CONCATENATE( MID(Table15[[#This Row],[PHASE]],2,3), MID(Table15[[#This Row],[DELIVERABLE]],2,4), TRIM(SUBSTITUTE(MID(Table15[[#This Row],[CONCERN.ID]],2,20),"","") )  )</f>
        <v>08.461.5392.00.0000</v>
      </c>
      <c r="F580" t="str">
        <f>TRIM(MID(Table15[[#This Row],[CONCERN.UNIQUEPATH]], IF( ISNUMBER( SEARCH("/",Table15[[#This Row],[CONCERN.UNIQUEPATH]])),SEARCH("/",Table15[[#This Row],[CONCERN.UNIQUEPATH]])+1,1),255))</f>
        <v>Maintainability/Current/Secure</v>
      </c>
    </row>
    <row r="581" spans="1:7">
      <c r="A581" t="s">
        <v>1969</v>
      </c>
      <c r="B581" t="s">
        <v>2246</v>
      </c>
      <c r="C581" s="30" t="s">
        <v>4591</v>
      </c>
      <c r="D581" s="26" t="s">
        <v>4592</v>
      </c>
      <c r="E581" s="45" t="str">
        <f xml:space="preserve"> CONCATENATE( MID(Table15[[#This Row],[PHASE]],2,3), MID(Table15[[#This Row],[DELIVERABLE]],2,4), TRIM(SUBSTITUTE(MID(Table15[[#This Row],[CONCERN.ID]],2,20),"","") )  )</f>
        <v>08.461.5400.00.0000</v>
      </c>
      <c r="F581" t="str">
        <f>TRIM(MID(Table15[[#This Row],[CONCERN.UNIQUEPATH]], IF( ISNUMBER( SEARCH("/",Table15[[#This Row],[CONCERN.UNIQUEPATH]])),SEARCH("/",Table15[[#This Row],[CONCERN.UNIQUEPATH]])+1,1),255))</f>
        <v>Performance</v>
      </c>
    </row>
    <row r="582" spans="1:7">
      <c r="A582" t="s">
        <v>1969</v>
      </c>
      <c r="B582" t="s">
        <v>2246</v>
      </c>
      <c r="C582" s="29" t="s">
        <v>4593</v>
      </c>
      <c r="D582" s="27" t="s">
        <v>4594</v>
      </c>
      <c r="E582" t="str">
        <f xml:space="preserve"> CONCATENATE( MID(Table15[[#This Row],[PHASE]],2,3), MID(Table15[[#This Row],[DELIVERABLE]],2,4), TRIM(SUBSTITUTE(MID(Table15[[#This Row],[CONCERN.ID]],2,20),"","") )  )</f>
        <v>08.461.5410.00.0000</v>
      </c>
      <c r="F582" t="str">
        <f>TRIM(MID(Table15[[#This Row],[CONCERN.UNIQUEPATH]], IF( ISNUMBER( SEARCH("/",Table15[[#This Row],[CONCERN.UNIQUEPATH]])),SEARCH("/",Table15[[#This Row],[CONCERN.UNIQUEPATH]])+1,1),255))</f>
        <v>Performance/Capacity</v>
      </c>
    </row>
    <row r="583" spans="1:7">
      <c r="A583" t="s">
        <v>1969</v>
      </c>
      <c r="B583" t="s">
        <v>2246</v>
      </c>
      <c r="C583" s="30" t="s">
        <v>4595</v>
      </c>
      <c r="D583" s="26" t="s">
        <v>4596</v>
      </c>
      <c r="E583" s="45" t="str">
        <f xml:space="preserve"> CONCATENATE( MID(Table15[[#This Row],[PHASE]],2,3), MID(Table15[[#This Row],[DELIVERABLE]],2,4), TRIM(SUBSTITUTE(MID(Table15[[#This Row],[CONCERN.ID]],2,20),"","") )  )</f>
        <v>08.461.5411.00.0000</v>
      </c>
      <c r="F583" t="str">
        <f>TRIM(MID(Table15[[#This Row],[CONCERN.UNIQUEPATH]], IF( ISNUMBER( SEARCH("/",Table15[[#This Row],[CONCERN.UNIQUEPATH]])),SEARCH("/",Table15[[#This Row],[CONCERN.UNIQUEPATH]])+1,1),255))</f>
        <v>Performance/Capacity/Concurrent</v>
      </c>
      <c r="G583" t="s">
        <v>4597</v>
      </c>
    </row>
    <row r="584" spans="1:7">
      <c r="A584" t="s">
        <v>1969</v>
      </c>
      <c r="B584" t="s">
        <v>2246</v>
      </c>
      <c r="C584" s="29" t="s">
        <v>4598</v>
      </c>
      <c r="D584" s="27" t="s">
        <v>4599</v>
      </c>
      <c r="E584" t="str">
        <f xml:space="preserve"> CONCATENATE( MID(Table15[[#This Row],[PHASE]],2,3), MID(Table15[[#This Row],[DELIVERABLE]],2,4), TRIM(SUBSTITUTE(MID(Table15[[#This Row],[CONCERN.ID]],2,20),"","") )  )</f>
        <v>08.461.5412.00.0000</v>
      </c>
      <c r="F584" t="str">
        <f>TRIM(MID(Table15[[#This Row],[CONCERN.UNIQUEPATH]], IF( ISNUMBER( SEARCH("/",Table15[[#This Row],[CONCERN.UNIQUEPATH]])),SEARCH("/",Table15[[#This Row],[CONCERN.UNIQUEPATH]])+1,1),255))</f>
        <v>Performance/Capacity/MaDemand</v>
      </c>
    </row>
    <row r="585" spans="1:7">
      <c r="A585" t="s">
        <v>1969</v>
      </c>
      <c r="B585" t="s">
        <v>2246</v>
      </c>
      <c r="C585" s="30" t="s">
        <v>4600</v>
      </c>
      <c r="D585" s="26" t="s">
        <v>4601</v>
      </c>
      <c r="E585" s="45" t="str">
        <f xml:space="preserve"> CONCATENATE( MID(Table15[[#This Row],[PHASE]],2,3), MID(Table15[[#This Row],[DELIVERABLE]],2,4), TRIM(SUBSTITUTE(MID(Table15[[#This Row],[CONCERN.ID]],2,20),"","") )  )</f>
        <v>08.461.5420.00.0000</v>
      </c>
      <c r="F585" t="str">
        <f>TRIM(MID(Table15[[#This Row],[CONCERN.UNIQUEPATH]], IF( ISNUMBER( SEARCH("/",Table15[[#This Row],[CONCERN.UNIQUEPATH]])),SEARCH("/",Table15[[#This Row],[CONCERN.UNIQUEPATH]])+1,1),255))</f>
        <v>Performance/Capacity/Throughput</v>
      </c>
    </row>
    <row r="586" spans="1:7">
      <c r="A586" t="s">
        <v>1969</v>
      </c>
      <c r="B586" t="s">
        <v>2246</v>
      </c>
      <c r="C586" s="29" t="s">
        <v>4600</v>
      </c>
      <c r="D586" s="27" t="s">
        <v>4602</v>
      </c>
      <c r="E586" t="str">
        <f xml:space="preserve"> CONCATENATE( MID(Table15[[#This Row],[PHASE]],2,3), MID(Table15[[#This Row],[DELIVERABLE]],2,4), TRIM(SUBSTITUTE(MID(Table15[[#This Row],[CONCERN.ID]],2,20),"","") )  )</f>
        <v>08.461.5420.00.0000</v>
      </c>
      <c r="F586" t="str">
        <f>TRIM(MID(Table15[[#This Row],[CONCERN.UNIQUEPATH]], IF( ISNUMBER( SEARCH("/",Table15[[#This Row],[CONCERN.UNIQUEPATH]])),SEARCH("/",Table15[[#This Row],[CONCERN.UNIQUEPATH]])+1,1),255))</f>
        <v>Performance/Capacity/Throughput/Async</v>
      </c>
      <c r="G586" t="s">
        <v>4603</v>
      </c>
    </row>
    <row r="587" spans="1:7">
      <c r="A587" t="s">
        <v>1969</v>
      </c>
      <c r="B587" t="s">
        <v>2246</v>
      </c>
      <c r="C587" s="30" t="s">
        <v>4604</v>
      </c>
      <c r="D587" s="26" t="s">
        <v>1143</v>
      </c>
      <c r="E587" s="45" t="str">
        <f xml:space="preserve"> CONCATENATE( MID(Table15[[#This Row],[PHASE]],2,3), MID(Table15[[#This Row],[DELIVERABLE]],2,4), TRIM(SUBSTITUTE(MID(Table15[[#This Row],[CONCERN.ID]],2,20),"","") )  )</f>
        <v>08.461.5430.00.0000</v>
      </c>
      <c r="F587" t="str">
        <f>TRIM(MID(Table15[[#This Row],[CONCERN.UNIQUEPATH]], IF( ISNUMBER( SEARCH("/",Table15[[#This Row],[CONCERN.UNIQUEPATH]])),SEARCH("/",Table15[[#This Row],[CONCERN.UNIQUEPATH]])+1,1),255))</f>
        <v>Performance/Resource Usage</v>
      </c>
    </row>
    <row r="588" spans="1:7">
      <c r="A588" t="s">
        <v>1969</v>
      </c>
      <c r="B588" t="s">
        <v>2246</v>
      </c>
      <c r="C588" s="29" t="s">
        <v>4605</v>
      </c>
      <c r="D588" s="27" t="s">
        <v>4606</v>
      </c>
      <c r="E588" t="str">
        <f xml:space="preserve"> CONCATENATE( MID(Table15[[#This Row],[PHASE]],2,3), MID(Table15[[#This Row],[DELIVERABLE]],2,4), TRIM(SUBSTITUTE(MID(Table15[[#This Row],[CONCERN.ID]],2,20),"","") )  )</f>
        <v>08.461.5431.00.0000</v>
      </c>
      <c r="F588" t="str">
        <f>TRIM(MID(Table15[[#This Row],[CONCERN.UNIQUEPATH]], IF( ISNUMBER( SEARCH("/",Table15[[#This Row],[CONCERN.UNIQUEPATH]])),SEARCH("/",Table15[[#This Row],[CONCERN.UNIQUEPATH]])+1,1),255))</f>
        <v>Performance/Resource Usage/Devices</v>
      </c>
      <c r="G588" t="s">
        <v>4607</v>
      </c>
    </row>
    <row r="589" spans="1:7">
      <c r="A589" t="s">
        <v>1969</v>
      </c>
      <c r="B589" t="s">
        <v>2246</v>
      </c>
      <c r="C589" s="31" t="s">
        <v>4608</v>
      </c>
      <c r="D589" s="26" t="s">
        <v>4609</v>
      </c>
      <c r="E589" s="45" t="str">
        <f xml:space="preserve"> CONCATENATE( MID(Table15[[#This Row],[PHASE]],2,3), MID(Table15[[#This Row],[DELIVERABLE]],2,4), TRIM(SUBSTITUTE(MID(Table15[[#This Row],[CONCERN.ID]],2,20),"","") )  )</f>
        <v>08.461.5431.01.0000</v>
      </c>
      <c r="F589" t="str">
        <f>TRIM(MID(Table15[[#This Row],[CONCERN.UNIQUEPATH]], IF( ISNUMBER( SEARCH("/",Table15[[#This Row],[CONCERN.UNIQUEPATH]])),SEARCH("/",Table15[[#This Row],[CONCERN.UNIQUEPATH]])+1,1),255))</f>
        <v>Performance/Resource Usage/Devices/Ma = 2 Per Tier</v>
      </c>
    </row>
    <row r="590" spans="1:7">
      <c r="A590" t="s">
        <v>1969</v>
      </c>
      <c r="B590" t="s">
        <v>2246</v>
      </c>
      <c r="C590" s="29" t="s">
        <v>4610</v>
      </c>
      <c r="D590" s="27" t="s">
        <v>4611</v>
      </c>
      <c r="E590" t="str">
        <f xml:space="preserve"> CONCATENATE( MID(Table15[[#This Row],[PHASE]],2,3), MID(Table15[[#This Row],[DELIVERABLE]],2,4), TRIM(SUBSTITUTE(MID(Table15[[#This Row],[CONCERN.ID]],2,20),"","") )  )</f>
        <v>08.461.5432.00.0000</v>
      </c>
      <c r="F590" t="str">
        <f>TRIM(MID(Table15[[#This Row],[CONCERN.UNIQUEPATH]], IF( ISNUMBER( SEARCH("/",Table15[[#This Row],[CONCERN.UNIQUEPATH]])),SEARCH("/",Table15[[#This Row],[CONCERN.UNIQUEPATH]])+1,1),255))</f>
        <v>Performance/Resource Usage/CPUs</v>
      </c>
      <c r="G590" t="s">
        <v>4612</v>
      </c>
    </row>
    <row r="591" spans="1:7">
      <c r="A591" t="s">
        <v>1969</v>
      </c>
      <c r="B591" t="s">
        <v>2246</v>
      </c>
      <c r="C591" s="31" t="s">
        <v>4613</v>
      </c>
      <c r="D591" s="26" t="s">
        <v>4614</v>
      </c>
      <c r="E591" s="45" t="str">
        <f xml:space="preserve"> CONCATENATE( MID(Table15[[#This Row],[PHASE]],2,3), MID(Table15[[#This Row],[DELIVERABLE]],2,4), TRIM(SUBSTITUTE(MID(Table15[[#This Row],[CONCERN.ID]],2,20),"","") )  )</f>
        <v>08.461.5432.01.0000</v>
      </c>
      <c r="F591" t="str">
        <f>TRIM(MID(Table15[[#This Row],[CONCERN.UNIQUEPATH]], IF( ISNUMBER( SEARCH("/",Table15[[#This Row],[CONCERN.UNIQUEPATH]])),SEARCH("/",Table15[[#This Row],[CONCERN.UNIQUEPATH]])+1,1),255))</f>
        <v>Performance/Resource Usage/CPUs/Ma = 2 OS Min</v>
      </c>
    </row>
    <row r="592" spans="1:7">
      <c r="A592" t="s">
        <v>1969</v>
      </c>
      <c r="B592" t="s">
        <v>2246</v>
      </c>
      <c r="C592" s="29" t="s">
        <v>4615</v>
      </c>
      <c r="D592" s="27" t="s">
        <v>4616</v>
      </c>
      <c r="E592" t="str">
        <f xml:space="preserve"> CONCATENATE( MID(Table15[[#This Row],[PHASE]],2,3), MID(Table15[[#This Row],[DELIVERABLE]],2,4), TRIM(SUBSTITUTE(MID(Table15[[#This Row],[CONCERN.ID]],2,20),"","") )  )</f>
        <v>08.461.5433.00.0000</v>
      </c>
      <c r="F592" t="str">
        <f>TRIM(MID(Table15[[#This Row],[CONCERN.UNIQUEPATH]], IF( ISNUMBER( SEARCH("/",Table15[[#This Row],[CONCERN.UNIQUEPATH]])),SEARCH("/",Table15[[#This Row],[CONCERN.UNIQUEPATH]])+1,1),255))</f>
        <v>Performance/Resource Usage/Memory</v>
      </c>
      <c r="G592" t="s">
        <v>4617</v>
      </c>
    </row>
    <row r="593" spans="1:7">
      <c r="A593" t="s">
        <v>1969</v>
      </c>
      <c r="B593" t="s">
        <v>2246</v>
      </c>
      <c r="C593" s="31" t="s">
        <v>4618</v>
      </c>
      <c r="D593" s="26" t="s">
        <v>4619</v>
      </c>
      <c r="E593" s="45" t="str">
        <f xml:space="preserve"> CONCATENATE( MID(Table15[[#This Row],[PHASE]],2,3), MID(Table15[[#This Row],[DELIVERABLE]],2,4), TRIM(SUBSTITUTE(MID(Table15[[#This Row],[CONCERN.ID]],2,20),"","") )  )</f>
        <v>08.461.5433.01.0000</v>
      </c>
      <c r="F593" t="str">
        <f>TRIM(MID(Table15[[#This Row],[CONCERN.UNIQUEPATH]], IF( ISNUMBER( SEARCH("/",Table15[[#This Row],[CONCERN.UNIQUEPATH]])),SEARCH("/",Table15[[#This Row],[CONCERN.UNIQUEPATH]])+1,1),255))</f>
        <v>Performance/Resource Usage/Threads/Ma = 2 OS Min</v>
      </c>
    </row>
    <row r="594" spans="1:7">
      <c r="A594" t="s">
        <v>1969</v>
      </c>
      <c r="B594" t="s">
        <v>2246</v>
      </c>
      <c r="C594" s="29" t="s">
        <v>4620</v>
      </c>
      <c r="D594" s="27" t="s">
        <v>4621</v>
      </c>
      <c r="E594" t="str">
        <f xml:space="preserve"> CONCATENATE( MID(Table15[[#This Row],[PHASE]],2,3), MID(Table15[[#This Row],[DELIVERABLE]],2,4), TRIM(SUBSTITUTE(MID(Table15[[#This Row],[CONCERN.ID]],2,20),"","") )  )</f>
        <v>08.461.5434.00.0000</v>
      </c>
      <c r="F594" t="str">
        <f>TRIM(MID(Table15[[#This Row],[CONCERN.UNIQUEPATH]], IF( ISNUMBER( SEARCH("/",Table15[[#This Row],[CONCERN.UNIQUEPATH]])),SEARCH("/",Table15[[#This Row],[CONCERN.UNIQUEPATH]])+1,1),255))</f>
        <v>Performance/Resource Usage/Threads</v>
      </c>
    </row>
    <row r="595" spans="1:7">
      <c r="A595" t="s">
        <v>1969</v>
      </c>
      <c r="B595" t="s">
        <v>2246</v>
      </c>
      <c r="C595" s="31" t="s">
        <v>4622</v>
      </c>
      <c r="D595" s="26" t="s">
        <v>4623</v>
      </c>
      <c r="E595" s="45" t="str">
        <f xml:space="preserve"> CONCATENATE( MID(Table15[[#This Row],[PHASE]],2,3), MID(Table15[[#This Row],[DELIVERABLE]],2,4), TRIM(SUBSTITUTE(MID(Table15[[#This Row],[CONCERN.ID]],2,20),"","") )  )</f>
        <v>08.461.5434.01.0000</v>
      </c>
      <c r="F595" t="str">
        <f>TRIM(MID(Table15[[#This Row],[CONCERN.UNIQUEPATH]], IF( ISNUMBER( SEARCH("/",Table15[[#This Row],[CONCERN.UNIQUEPATH]])),SEARCH("/",Table15[[#This Row],[CONCERN.UNIQUEPATH]])+1,1),255))</f>
        <v>Performance/Resource Usage/Threads/Multi</v>
      </c>
    </row>
    <row r="596" spans="1:7">
      <c r="A596" t="s">
        <v>1969</v>
      </c>
      <c r="B596" t="s">
        <v>2246</v>
      </c>
      <c r="C596" s="32" t="s">
        <v>4624</v>
      </c>
      <c r="D596" s="27" t="s">
        <v>4625</v>
      </c>
      <c r="E596" t="str">
        <f xml:space="preserve"> CONCATENATE( MID(Table15[[#This Row],[PHASE]],2,3), MID(Table15[[#This Row],[DELIVERABLE]],2,4), TRIM(SUBSTITUTE(MID(Table15[[#This Row],[CONCERN.ID]],2,20),"","") )  )</f>
        <v>08.461.5434.02.0000</v>
      </c>
      <c r="F596" t="str">
        <f>TRIM(MID(Table15[[#This Row],[CONCERN.UNIQUEPATH]], IF( ISNUMBER( SEARCH("/",Table15[[#This Row],[CONCERN.UNIQUEPATH]])),SEARCH("/",Table15[[#This Row],[CONCERN.UNIQUEPATH]])+1,1),255))</f>
        <v>Performance/Resource Usage/Threads/Async</v>
      </c>
    </row>
    <row r="597" spans="1:7">
      <c r="A597" t="s">
        <v>1969</v>
      </c>
      <c r="B597" t="s">
        <v>2246</v>
      </c>
      <c r="C597" s="31" t="s">
        <v>4626</v>
      </c>
      <c r="D597" s="26" t="s">
        <v>4627</v>
      </c>
      <c r="E597" s="45" t="str">
        <f xml:space="preserve"> CONCATENATE( MID(Table15[[#This Row],[PHASE]],2,3), MID(Table15[[#This Row],[DELIVERABLE]],2,4), TRIM(SUBSTITUTE(MID(Table15[[#This Row],[CONCERN.ID]],2,20),"","") )  )</f>
        <v>08.461.5434.03.0000</v>
      </c>
      <c r="F597" t="str">
        <f>TRIM(MID(Table15[[#This Row],[CONCERN.UNIQUEPATH]], IF( ISNUMBER( SEARCH("/",Table15[[#This Row],[CONCERN.UNIQUEPATH]])),SEARCH("/",Table15[[#This Row],[CONCERN.UNIQUEPATH]])+1,1),255))</f>
        <v>Performance/Resource Usage/Threads/DBConnections</v>
      </c>
    </row>
    <row r="598" spans="1:7">
      <c r="A598" t="s">
        <v>1969</v>
      </c>
      <c r="B598" t="s">
        <v>2246</v>
      </c>
      <c r="C598" s="29" t="s">
        <v>4628</v>
      </c>
      <c r="D598" s="27" t="s">
        <v>1132</v>
      </c>
      <c r="E598" t="str">
        <f xml:space="preserve"> CONCATENATE( MID(Table15[[#This Row],[PHASE]],2,3), MID(Table15[[#This Row],[DELIVERABLE]],2,4), TRIM(SUBSTITUTE(MID(Table15[[#This Row],[CONCERN.ID]],2,20),"","") )  )</f>
        <v>08.461.5435.00.0000</v>
      </c>
      <c r="F598" t="str">
        <f>TRIM(MID(Table15[[#This Row],[CONCERN.UNIQUEPATH]], IF( ISNUMBER( SEARCH("/",Table15[[#This Row],[CONCERN.UNIQUEPATH]])),SEARCH("/",Table15[[#This Row],[CONCERN.UNIQUEPATH]])+1,1),255))</f>
        <v>Performance/Resource Usage/IO</v>
      </c>
    </row>
    <row r="599" spans="1:7">
      <c r="A599" t="s">
        <v>1969</v>
      </c>
      <c r="B599" t="s">
        <v>2246</v>
      </c>
      <c r="C599" s="30" t="s">
        <v>4629</v>
      </c>
      <c r="D599" s="26" t="s">
        <v>4630</v>
      </c>
      <c r="E599" s="45" t="str">
        <f xml:space="preserve"> CONCATENATE( MID(Table15[[#This Row],[PHASE]],2,3), MID(Table15[[#This Row],[DELIVERABLE]],2,4), TRIM(SUBSTITUTE(MID(Table15[[#This Row],[CONCERN.ID]],2,20),"","") )  )</f>
        <v>08.461.5436.00.0000</v>
      </c>
      <c r="F599" t="str">
        <f>TRIM(MID(Table15[[#This Row],[CONCERN.UNIQUEPATH]], IF( ISNUMBER( SEARCH("/",Table15[[#This Row],[CONCERN.UNIQUEPATH]])),SEARCH("/",Table15[[#This Row],[CONCERN.UNIQUEPATH]])+1,1),255))</f>
        <v>Performance/Resource Usage/Storage</v>
      </c>
    </row>
    <row r="600" spans="1:7">
      <c r="A600" t="s">
        <v>1969</v>
      </c>
      <c r="B600" t="s">
        <v>2246</v>
      </c>
      <c r="C600" s="32" t="s">
        <v>4631</v>
      </c>
      <c r="D600" s="27" t="s">
        <v>4632</v>
      </c>
      <c r="E600" t="str">
        <f xml:space="preserve"> CONCATENATE( MID(Table15[[#This Row],[PHASE]],2,3), MID(Table15[[#This Row],[DELIVERABLE]],2,4), TRIM(SUBSTITUTE(MID(Table15[[#This Row],[CONCERN.ID]],2,20),"","") )  )</f>
        <v>08.461.5436.01.0000</v>
      </c>
      <c r="F600" t="str">
        <f>TRIM(MID(Table15[[#This Row],[CONCERN.UNIQUEPATH]], IF( ISNUMBER( SEARCH("/",Table15[[#This Row],[CONCERN.UNIQUEPATH]])),SEARCH("/",Table15[[#This Row],[CONCERN.UNIQUEPATH]])+1,1),255))</f>
        <v>Performance/Resource Usage/Storage/Diagnostics In Blobs</v>
      </c>
    </row>
    <row r="601" spans="1:7">
      <c r="A601" t="s">
        <v>1969</v>
      </c>
      <c r="B601" t="s">
        <v>2246</v>
      </c>
      <c r="C601" s="31" t="s">
        <v>4633</v>
      </c>
      <c r="D601" s="26" t="s">
        <v>4634</v>
      </c>
      <c r="E601" s="45" t="str">
        <f xml:space="preserve"> CONCATENATE( MID(Table15[[#This Row],[PHASE]],2,3), MID(Table15[[#This Row],[DELIVERABLE]],2,4), TRIM(SUBSTITUTE(MID(Table15[[#This Row],[CONCERN.ID]],2,20),"","") )  )</f>
        <v>08.461.5436.02.0000</v>
      </c>
      <c r="F601" t="str">
        <f>TRIM(MID(Table15[[#This Row],[CONCERN.UNIQUEPATH]], IF( ISNUMBER( SEARCH("/",Table15[[#This Row],[CONCERN.UNIQUEPATH]])),SEARCH("/",Table15[[#This Row],[CONCERN.UNIQUEPATH]])+1,1),255))</f>
        <v>Performance/Resource Usage/Storage/Media In Blobs</v>
      </c>
    </row>
    <row r="602" spans="1:7">
      <c r="A602" t="s">
        <v>1969</v>
      </c>
      <c r="B602" t="s">
        <v>2246</v>
      </c>
      <c r="C602" s="32" t="s">
        <v>4635</v>
      </c>
      <c r="D602" s="27" t="s">
        <v>4636</v>
      </c>
      <c r="E602" t="str">
        <f xml:space="preserve"> CONCATENATE( MID(Table15[[#This Row],[PHASE]],2,3), MID(Table15[[#This Row],[DELIVERABLE]],2,4), TRIM(SUBSTITUTE(MID(Table15[[#This Row],[CONCERN.ID]],2,20),"","") )  )</f>
        <v>08.461.5436.03.0000</v>
      </c>
      <c r="F602" t="str">
        <f>TRIM(MID(Table15[[#This Row],[CONCERN.UNIQUEPATH]], IF( ISNUMBER( SEARCH("/",Table15[[#This Row],[CONCERN.UNIQUEPATH]])),SEARCH("/",Table15[[#This Row],[CONCERN.UNIQUEPATH]])+1,1),255))</f>
        <v>Performance/Resource Usage/Storage/Messages In Blobs</v>
      </c>
    </row>
    <row r="603" spans="1:7">
      <c r="A603" t="s">
        <v>1969</v>
      </c>
      <c r="B603" t="s">
        <v>2246</v>
      </c>
      <c r="C603" s="30" t="s">
        <v>4637</v>
      </c>
      <c r="D603" s="26" t="s">
        <v>4638</v>
      </c>
      <c r="E603" s="45" t="str">
        <f xml:space="preserve"> CONCATENATE( MID(Table15[[#This Row],[PHASE]],2,3), MID(Table15[[#This Row],[DELIVERABLE]],2,4), TRIM(SUBSTITUTE(MID(Table15[[#This Row],[CONCERN.ID]],2,20),"","") )  )</f>
        <v>08.461.5437.00.0000</v>
      </c>
      <c r="F603" t="str">
        <f>TRIM(MID(Table15[[#This Row],[CONCERN.UNIQUEPATH]], IF( ISNUMBER( SEARCH("/",Table15[[#This Row],[CONCERN.UNIQUEPATH]])),SEARCH("/",Table15[[#This Row],[CONCERN.UNIQUEPATH]])+1,1),255))</f>
        <v>Performance/Resource Usage/Cost</v>
      </c>
    </row>
    <row r="604" spans="1:7">
      <c r="A604" t="s">
        <v>1969</v>
      </c>
      <c r="B604" t="s">
        <v>2246</v>
      </c>
      <c r="C604" s="32" t="s">
        <v>4639</v>
      </c>
      <c r="D604" s="27" t="s">
        <v>4640</v>
      </c>
      <c r="E604" t="str">
        <f xml:space="preserve"> CONCATENATE( MID(Table15[[#This Row],[PHASE]],2,3), MID(Table15[[#This Row],[DELIVERABLE]],2,4), TRIM(SUBSTITUTE(MID(Table15[[#This Row],[CONCERN.ID]],2,20),"","") )  )</f>
        <v>08.461.5437.01.0000</v>
      </c>
      <c r="F604" t="str">
        <f>TRIM(MID(Table15[[#This Row],[CONCERN.UNIQUEPATH]], IF( ISNUMBER( SEARCH("/",Table15[[#This Row],[CONCERN.UNIQUEPATH]])),SEARCH("/",Table15[[#This Row],[CONCERN.UNIQUEPATH]])+1,1),255))</f>
        <v>Performance/Resource Usage/Cost/Licenses</v>
      </c>
    </row>
    <row r="605" spans="1:7">
      <c r="A605" t="s">
        <v>1969</v>
      </c>
      <c r="B605" t="s">
        <v>2246</v>
      </c>
      <c r="C605" s="31" t="s">
        <v>4641</v>
      </c>
      <c r="D605" s="26" t="s">
        <v>4642</v>
      </c>
      <c r="E605" s="45" t="str">
        <f xml:space="preserve"> CONCATENATE( MID(Table15[[#This Row],[PHASE]],2,3), MID(Table15[[#This Row],[DELIVERABLE]],2,4), TRIM(SUBSTITUTE(MID(Table15[[#This Row],[CONCERN.ID]],2,20),"","") )  )</f>
        <v>08.461.5437.02.0000</v>
      </c>
      <c r="F605" t="str">
        <f>TRIM(MID(Table15[[#This Row],[CONCERN.UNIQUEPATH]], IF( ISNUMBER( SEARCH("/",Table15[[#This Row],[CONCERN.UNIQUEPATH]])),SEARCH("/",Table15[[#This Row],[CONCERN.UNIQUEPATH]])+1,1),255))</f>
        <v>Performance/Resource Usage/Cost/Subscriptions</v>
      </c>
    </row>
    <row r="606" spans="1:7">
      <c r="A606" t="s">
        <v>1969</v>
      </c>
      <c r="B606" t="s">
        <v>2246</v>
      </c>
      <c r="C606" s="29" t="s">
        <v>4643</v>
      </c>
      <c r="D606" s="27" t="s">
        <v>4644</v>
      </c>
      <c r="E606" t="str">
        <f xml:space="preserve"> CONCATENATE( MID(Table15[[#This Row],[PHASE]],2,3), MID(Table15[[#This Row],[DELIVERABLE]],2,4), TRIM(SUBSTITUTE(MID(Table15[[#This Row],[CONCERN.ID]],2,20),"","") )  )</f>
        <v>08.461.5438.00.0000</v>
      </c>
      <c r="F606" t="str">
        <f>TRIM(MID(Table15[[#This Row],[CONCERN.UNIQUEPATH]], IF( ISNUMBER( SEARCH("/",Table15[[#This Row],[CONCERN.UNIQUEPATH]])),SEARCH("/",Table15[[#This Row],[CONCERN.UNIQUEPATH]])+1,1),255))</f>
        <v>Performance/Resource Usage/Effort</v>
      </c>
    </row>
    <row r="607" spans="1:7">
      <c r="A607" t="s">
        <v>1969</v>
      </c>
      <c r="B607" t="s">
        <v>2246</v>
      </c>
      <c r="C607" s="31" t="s">
        <v>4645</v>
      </c>
      <c r="D607" s="26" t="s">
        <v>4646</v>
      </c>
      <c r="E607" s="45" t="str">
        <f xml:space="preserve"> CONCATENATE( MID(Table15[[#This Row],[PHASE]],2,3), MID(Table15[[#This Row],[DELIVERABLE]],2,4), TRIM(SUBSTITUTE(MID(Table15[[#This Row],[CONCERN.ID]],2,20),"","") )  )</f>
        <v>08.461.5438.01.0000</v>
      </c>
      <c r="F607" t="str">
        <f>TRIM(MID(Table15[[#This Row],[CONCERN.UNIQUEPATH]], IF( ISNUMBER( SEARCH("/",Table15[[#This Row],[CONCERN.UNIQUEPATH]])),SEARCH("/",Table15[[#This Row],[CONCERN.UNIQUEPATH]])+1,1),255))</f>
        <v>Performance/Resource Usage/Effort/Automate</v>
      </c>
    </row>
    <row r="608" spans="1:7">
      <c r="A608" t="s">
        <v>1969</v>
      </c>
      <c r="B608" t="s">
        <v>2246</v>
      </c>
      <c r="C608" s="29" t="s">
        <v>4647</v>
      </c>
      <c r="D608" s="27" t="s">
        <v>4648</v>
      </c>
      <c r="E608" t="str">
        <f xml:space="preserve"> CONCATENATE( MID(Table15[[#This Row],[PHASE]],2,3), MID(Table15[[#This Row],[DELIVERABLE]],2,4), TRIM(SUBSTITUTE(MID(Table15[[#This Row],[CONCERN.ID]],2,20),"","") )  )</f>
        <v>08.461.5439.00.0000</v>
      </c>
      <c r="F608" t="str">
        <f>TRIM(MID(Table15[[#This Row],[CONCERN.UNIQUEPATH]], IF( ISNUMBER( SEARCH("/",Table15[[#This Row],[CONCERN.UNIQUEPATH]])),SEARCH("/",Table15[[#This Row],[CONCERN.UNIQUEPATH]])+1,1),255))</f>
        <v>Performance/Resource Usage/Cache</v>
      </c>
      <c r="G608" t="s">
        <v>4649</v>
      </c>
    </row>
    <row r="609" spans="1:6">
      <c r="A609" t="s">
        <v>1969</v>
      </c>
      <c r="B609" t="s">
        <v>2246</v>
      </c>
      <c r="C609" s="31" t="s">
        <v>4650</v>
      </c>
      <c r="D609" s="26" t="s">
        <v>4651</v>
      </c>
      <c r="E609" s="45" t="str">
        <f xml:space="preserve"> CONCATENATE( MID(Table15[[#This Row],[PHASE]],2,3), MID(Table15[[#This Row],[DELIVERABLE]],2,4), TRIM(SUBSTITUTE(MID(Table15[[#This Row],[CONCERN.ID]],2,20),"","") )  )</f>
        <v>08.461.5439.01.0000</v>
      </c>
      <c r="F609" t="str">
        <f>TRIM(MID(Table15[[#This Row],[CONCERN.UNIQUEPATH]], IF( ISNUMBER( SEARCH("/",Table15[[#This Row],[CONCERN.UNIQUEPATH]])),SEARCH("/",Table15[[#This Row],[CONCERN.UNIQUEPATH]])+1,1),255))</f>
        <v>Performance/Resource Usage/Cache/Client Side</v>
      </c>
    </row>
    <row r="610" spans="1:6">
      <c r="A610" t="s">
        <v>1969</v>
      </c>
      <c r="B610" t="s">
        <v>2246</v>
      </c>
      <c r="C610" s="29" t="s">
        <v>4652</v>
      </c>
      <c r="D610" s="27" t="s">
        <v>4653</v>
      </c>
      <c r="E610" t="str">
        <f xml:space="preserve"> CONCATENATE( MID(Table15[[#This Row],[PHASE]],2,3), MID(Table15[[#This Row],[DELIVERABLE]],2,4), TRIM(SUBSTITUTE(MID(Table15[[#This Row],[CONCERN.ID]],2,20),"","") )  )</f>
        <v>08.461.5440.00.0000</v>
      </c>
      <c r="F610" t="str">
        <f>TRIM(MID(Table15[[#This Row],[CONCERN.UNIQUEPATH]], IF( ISNUMBER( SEARCH("/",Table15[[#This Row],[CONCERN.UNIQUEPATH]])),SEARCH("/",Table15[[#This Row],[CONCERN.UNIQUEPATH]])+1,1),255))</f>
        <v>Performance/Time Behaviour</v>
      </c>
    </row>
    <row r="611" spans="1:6">
      <c r="A611" t="s">
        <v>1969</v>
      </c>
      <c r="B611" t="s">
        <v>2246</v>
      </c>
      <c r="C611" s="31" t="s">
        <v>4654</v>
      </c>
      <c r="D611" s="26" t="s">
        <v>4655</v>
      </c>
      <c r="E611" s="45" t="str">
        <f xml:space="preserve"> CONCATENATE( MID(Table15[[#This Row],[PHASE]],2,3), MID(Table15[[#This Row],[DELIVERABLE]],2,4), TRIM(SUBSTITUTE(MID(Table15[[#This Row],[CONCERN.ID]],2,20),"","") )  )</f>
        <v>08.461.5440.01.0000</v>
      </c>
      <c r="F611" t="str">
        <f>TRIM(MID(Table15[[#This Row],[CONCERN.UNIQUEPATH]], IF( ISNUMBER( SEARCH("/",Table15[[#This Row],[CONCERN.UNIQUEPATH]])),SEARCH("/",Table15[[#This Row],[CONCERN.UNIQUEPATH]])+1,1),255))</f>
        <v>Performance/Time Behaviour/Response Completed</v>
      </c>
    </row>
    <row r="612" spans="1:6">
      <c r="A612" t="s">
        <v>1969</v>
      </c>
      <c r="B612" t="s">
        <v>2246</v>
      </c>
      <c r="C612" s="32" t="s">
        <v>4656</v>
      </c>
      <c r="D612" s="27" t="s">
        <v>4657</v>
      </c>
      <c r="E612" t="str">
        <f xml:space="preserve"> CONCATENATE( MID(Table15[[#This Row],[PHASE]],2,3), MID(Table15[[#This Row],[DELIVERABLE]],2,4), TRIM(SUBSTITUTE(MID(Table15[[#This Row],[CONCERN.ID]],2,20),"","") )  )</f>
        <v>08.461.5440.02.0000</v>
      </c>
      <c r="F612" t="str">
        <f>TRIM(MID(Table15[[#This Row],[CONCERN.UNIQUEPATH]], IF( ISNUMBER( SEARCH("/",Table15[[#This Row],[CONCERN.UNIQUEPATH]])),SEARCH("/",Table15[[#This Row],[CONCERN.UNIQUEPATH]])+1,1),255))</f>
        <v>Performance/Time Behaviour/Error Recovery</v>
      </c>
    </row>
    <row r="613" spans="1:6">
      <c r="A613" t="s">
        <v>1969</v>
      </c>
      <c r="B613" t="s">
        <v>2246</v>
      </c>
      <c r="C613" s="31" t="s">
        <v>4658</v>
      </c>
      <c r="D613" s="26" t="s">
        <v>4659</v>
      </c>
      <c r="E613" s="45" t="str">
        <f xml:space="preserve"> CONCATENATE( MID(Table15[[#This Row],[PHASE]],2,3), MID(Table15[[#This Row],[DELIVERABLE]],2,4), TRIM(SUBSTITUTE(MID(Table15[[#This Row],[CONCERN.ID]],2,20),"","") )  )</f>
        <v>08.461.5440.03.0000</v>
      </c>
      <c r="F613" t="str">
        <f>TRIM(MID(Table15[[#This Row],[CONCERN.UNIQUEPATH]], IF( ISNUMBER( SEARCH("/",Table15[[#This Row],[CONCERN.UNIQUEPATH]])),SEARCH("/",Table15[[#This Row],[CONCERN.UNIQUEPATH]])+1,1),255))</f>
        <v>Performance/Time Behaviour/Shutdown</v>
      </c>
    </row>
    <row r="614" spans="1:6">
      <c r="A614" t="s">
        <v>1969</v>
      </c>
      <c r="B614" t="s">
        <v>2246</v>
      </c>
      <c r="C614" s="32" t="s">
        <v>4660</v>
      </c>
      <c r="D614" s="27" t="s">
        <v>1123</v>
      </c>
      <c r="E614" t="str">
        <f xml:space="preserve"> CONCATENATE( MID(Table15[[#This Row],[PHASE]],2,3), MID(Table15[[#This Row],[DELIVERABLE]],2,4), TRIM(SUBSTITUTE(MID(Table15[[#This Row],[CONCERN.ID]],2,20),"","") )  )</f>
        <v>08.461.5440.04.0000</v>
      </c>
      <c r="F614" t="str">
        <f>TRIM(MID(Table15[[#This Row],[CONCERN.UNIQUEPATH]], IF( ISNUMBER( SEARCH("/",Table15[[#This Row],[CONCERN.UNIQUEPATH]])),SEARCH("/",Table15[[#This Row],[CONCERN.UNIQUEPATH]])+1,1),255))</f>
        <v>Performance/Time Behaviour/Startup</v>
      </c>
    </row>
    <row r="615" spans="1:6">
      <c r="A615" t="s">
        <v>1969</v>
      </c>
      <c r="B615" t="s">
        <v>2246</v>
      </c>
      <c r="C615" s="30" t="s">
        <v>4661</v>
      </c>
      <c r="D615" s="26" t="s">
        <v>4662</v>
      </c>
      <c r="E615" s="45" t="str">
        <f xml:space="preserve"> CONCATENATE( MID(Table15[[#This Row],[PHASE]],2,3), MID(Table15[[#This Row],[DELIVERABLE]],2,4), TRIM(SUBSTITUTE(MID(Table15[[#This Row],[CONCERN.ID]],2,20),"","") )  )</f>
        <v>08.461.5500.00.0000</v>
      </c>
      <c r="F615" t="str">
        <f>TRIM(MID(Table15[[#This Row],[CONCERN.UNIQUEPATH]], IF( ISNUMBER( SEARCH("/",Table15[[#This Row],[CONCERN.UNIQUEPATH]])),SEARCH("/",Table15[[#This Row],[CONCERN.UNIQUEPATH]])+1,1),255))</f>
        <v>Portability</v>
      </c>
    </row>
    <row r="616" spans="1:6">
      <c r="A616" t="s">
        <v>1969</v>
      </c>
      <c r="B616" t="s">
        <v>2246</v>
      </c>
      <c r="C616" s="29" t="s">
        <v>4663</v>
      </c>
      <c r="D616" s="27" t="s">
        <v>4664</v>
      </c>
      <c r="E616" t="str">
        <f xml:space="preserve"> CONCATENATE( MID(Table15[[#This Row],[PHASE]],2,3), MID(Table15[[#This Row],[DELIVERABLE]],2,4), TRIM(SUBSTITUTE(MID(Table15[[#This Row],[CONCERN.ID]],2,20),"","") )  )</f>
        <v>08.461.5510.00.0000</v>
      </c>
      <c r="F616" t="str">
        <f>TRIM(MID(Table15[[#This Row],[CONCERN.UNIQUEPATH]], IF( ISNUMBER( SEARCH("/",Table15[[#This Row],[CONCERN.UNIQUEPATH]])),SEARCH("/",Table15[[#This Row],[CONCERN.UNIQUEPATH]])+1,1),255))</f>
        <v>Portability/Adaptability</v>
      </c>
    </row>
    <row r="617" spans="1:6">
      <c r="A617" t="s">
        <v>1969</v>
      </c>
      <c r="B617" t="s">
        <v>2246</v>
      </c>
      <c r="C617" s="30" t="s">
        <v>4665</v>
      </c>
      <c r="D617" s="26" t="s">
        <v>1100</v>
      </c>
      <c r="E617" s="45" t="str">
        <f xml:space="preserve"> CONCATENATE( MID(Table15[[#This Row],[PHASE]],2,3), MID(Table15[[#This Row],[DELIVERABLE]],2,4), TRIM(SUBSTITUTE(MID(Table15[[#This Row],[CONCERN.ID]],2,20),"","") )  )</f>
        <v>08.461.5520.00.0000</v>
      </c>
      <c r="F617" t="str">
        <f>TRIM(MID(Table15[[#This Row],[CONCERN.UNIQUEPATH]], IF( ISNUMBER( SEARCH("/",Table15[[#This Row],[CONCERN.UNIQUEPATH]])),SEARCH("/",Table15[[#This Row],[CONCERN.UNIQUEPATH]])+1,1),255))</f>
        <v>Portability/Installability</v>
      </c>
    </row>
    <row r="618" spans="1:6">
      <c r="A618" t="s">
        <v>1969</v>
      </c>
      <c r="B618" t="s">
        <v>2246</v>
      </c>
      <c r="C618" s="29" t="s">
        <v>4666</v>
      </c>
      <c r="D618" s="27" t="s">
        <v>4667</v>
      </c>
      <c r="E618" t="str">
        <f xml:space="preserve"> CONCATENATE( MID(Table15[[#This Row],[PHASE]],2,3), MID(Table15[[#This Row],[DELIVERABLE]],2,4), TRIM(SUBSTITUTE(MID(Table15[[#This Row],[CONCERN.ID]],2,20),"","") )  )</f>
        <v>08.461.5521.00.0000</v>
      </c>
      <c r="F618" t="str">
        <f>TRIM(MID(Table15[[#This Row],[CONCERN.UNIQUEPATH]], IF( ISNUMBER( SEARCH("/",Table15[[#This Row],[CONCERN.UNIQUEPATH]])),SEARCH("/",Table15[[#This Row],[CONCERN.UNIQUEPATH]])+1,1),255))</f>
        <v>Portability/Installability/Packaged</v>
      </c>
    </row>
    <row r="619" spans="1:6">
      <c r="A619" t="s">
        <v>1969</v>
      </c>
      <c r="B619" t="s">
        <v>2246</v>
      </c>
      <c r="C619" s="31" t="s">
        <v>4668</v>
      </c>
      <c r="D619" s="26" t="s">
        <v>4669</v>
      </c>
      <c r="E619" s="45" t="str">
        <f xml:space="preserve"> CONCATENATE( MID(Table15[[#This Row],[PHASE]],2,3), MID(Table15[[#This Row],[DELIVERABLE]],2,4), TRIM(SUBSTITUTE(MID(Table15[[#This Row],[CONCERN.ID]],2,20),"","") )  )</f>
        <v>08.461.5521.01.0000</v>
      </c>
      <c r="F619" t="str">
        <f>TRIM(MID(Table15[[#This Row],[CONCERN.UNIQUEPATH]], IF( ISNUMBER( SEARCH("/",Table15[[#This Row],[CONCERN.UNIQUEPATH]])),SEARCH("/",Table15[[#This Row],[CONCERN.UNIQUEPATH]])+1,1),255))</f>
        <v>Portability/Replaceability/Packaged/Environment Agnostic</v>
      </c>
    </row>
    <row r="620" spans="1:6">
      <c r="A620" t="s">
        <v>1969</v>
      </c>
      <c r="B620" t="s">
        <v>2246</v>
      </c>
      <c r="C620" s="32" t="s">
        <v>4670</v>
      </c>
      <c r="D620" s="27" t="s">
        <v>4671</v>
      </c>
      <c r="E620" t="str">
        <f xml:space="preserve"> CONCATENATE( MID(Table15[[#This Row],[PHASE]],2,3), MID(Table15[[#This Row],[DELIVERABLE]],2,4), TRIM(SUBSTITUTE(MID(Table15[[#This Row],[CONCERN.ID]],2,20),"","") )  )</f>
        <v>08.461.5521.02.0000</v>
      </c>
      <c r="F620" t="str">
        <f>TRIM(MID(Table15[[#This Row],[CONCERN.UNIQUEPATH]], IF( ISNUMBER( SEARCH("/",Table15[[#This Row],[CONCERN.UNIQUEPATH]])),SEARCH("/",Table15[[#This Row],[CONCERN.UNIQUEPATH]])+1,1),255))</f>
        <v>Portability/Replaceability/Packaged/Deployable by Automation</v>
      </c>
    </row>
    <row r="621" spans="1:6">
      <c r="A621" t="s">
        <v>1969</v>
      </c>
      <c r="B621" t="s">
        <v>2246</v>
      </c>
      <c r="C621" s="31" t="s">
        <v>4672</v>
      </c>
      <c r="D621" s="26" t="s">
        <v>4673</v>
      </c>
      <c r="E621" s="45" t="str">
        <f xml:space="preserve"> CONCATENATE( MID(Table15[[#This Row],[PHASE]],2,3), MID(Table15[[#This Row],[DELIVERABLE]],2,4), TRIM(SUBSTITUTE(MID(Table15[[#This Row],[CONCERN.ID]],2,20),"","") )  )</f>
        <v>08.461.5521.03.0000</v>
      </c>
      <c r="F621" t="str">
        <f>TRIM(MID(Table15[[#This Row],[CONCERN.UNIQUEPATH]], IF( ISNUMBER( SEARCH("/",Table15[[#This Row],[CONCERN.UNIQUEPATH]])),SEARCH("/",Table15[[#This Row],[CONCERN.UNIQUEPATH]])+1,1),255))</f>
        <v>Portability/Replaceability/Packaged/Deployable By Hand</v>
      </c>
    </row>
    <row r="622" spans="1:6">
      <c r="A622" t="s">
        <v>1969</v>
      </c>
      <c r="B622" t="s">
        <v>2246</v>
      </c>
      <c r="C622" s="29" t="s">
        <v>4674</v>
      </c>
      <c r="D622" s="27" t="s">
        <v>4675</v>
      </c>
      <c r="E622" t="str">
        <f xml:space="preserve"> CONCATENATE( MID(Table15[[#This Row],[PHASE]],2,3), MID(Table15[[#This Row],[DELIVERABLE]],2,4), TRIM(SUBSTITUTE(MID(Table15[[#This Row],[CONCERN.ID]],2,20),"","") )  )</f>
        <v>08.461.5530.00.0000</v>
      </c>
      <c r="F622" t="str">
        <f>TRIM(MID(Table15[[#This Row],[CONCERN.UNIQUEPATH]], IF( ISNUMBER( SEARCH("/",Table15[[#This Row],[CONCERN.UNIQUEPATH]])),SEARCH("/",Table15[[#This Row],[CONCERN.UNIQUEPATH]])+1,1),255))</f>
        <v>Portability/Replaceability</v>
      </c>
    </row>
    <row r="623" spans="1:6">
      <c r="A623" t="s">
        <v>1969</v>
      </c>
      <c r="B623" t="s">
        <v>2246</v>
      </c>
      <c r="C623" s="31" t="s">
        <v>4676</v>
      </c>
      <c r="D623" s="26" t="s">
        <v>4677</v>
      </c>
      <c r="E623" s="45" t="str">
        <f xml:space="preserve"> CONCATENATE( MID(Table15[[#This Row],[PHASE]],2,3), MID(Table15[[#This Row],[DELIVERABLE]],2,4), TRIM(SUBSTITUTE(MID(Table15[[#This Row],[CONCERN.ID]],2,20),"","") )  )</f>
        <v>08.461.5531.01.0000</v>
      </c>
      <c r="F623" t="str">
        <f>TRIM(MID(Table15[[#This Row],[CONCERN.UNIQUEPATH]], IF( ISNUMBER( SEARCH("/",Table15[[#This Row],[CONCERN.UNIQUEPATH]])),SEARCH("/",Table15[[#This Row],[CONCERN.UNIQUEPATH]])+1,1),255))</f>
        <v>Portability/Replaceability/Eportable Information</v>
      </c>
    </row>
    <row r="624" spans="1:6">
      <c r="A624" t="s">
        <v>1969</v>
      </c>
      <c r="B624" t="s">
        <v>2246</v>
      </c>
      <c r="C624" s="33" t="s">
        <v>4678</v>
      </c>
      <c r="D624" s="27" t="s">
        <v>4679</v>
      </c>
      <c r="E624" t="str">
        <f xml:space="preserve"> CONCATENATE( MID(Table15[[#This Row],[PHASE]],2,3), MID(Table15[[#This Row],[DELIVERABLE]],2,4), TRIM(SUBSTITUTE(MID(Table15[[#This Row],[CONCERN.ID]],2,20),"","") )  )</f>
        <v>08.461.5531.01.1000</v>
      </c>
      <c r="F624" t="str">
        <f>TRIM(MID(Table15[[#This Row],[CONCERN.UNIQUEPATH]], IF( ISNUMBER( SEARCH("/",Table15[[#This Row],[CONCERN.UNIQUEPATH]])),SEARCH("/",Table15[[#This Row],[CONCERN.UNIQUEPATH]])+1,1),255))</f>
        <v>Portability/Replaceability/Eportable Information/By API</v>
      </c>
    </row>
    <row r="625" spans="1:6">
      <c r="A625" t="s">
        <v>1969</v>
      </c>
      <c r="B625" t="s">
        <v>2246</v>
      </c>
      <c r="C625" s="36" t="s">
        <v>4680</v>
      </c>
      <c r="D625" s="26" t="s">
        <v>4681</v>
      </c>
      <c r="E625" s="45" t="str">
        <f xml:space="preserve"> CONCATENATE( MID(Table15[[#This Row],[PHASE]],2,3), MID(Table15[[#This Row],[DELIVERABLE]],2,4), TRIM(SUBSTITUTE(MID(Table15[[#This Row],[CONCERN.ID]],2,20),"","") )  )</f>
        <v>08.461.5531.01.2000</v>
      </c>
      <c r="F625" t="str">
        <f>TRIM(MID(Table15[[#This Row],[CONCERN.UNIQUEPATH]], IF( ISNUMBER( SEARCH("/",Table15[[#This Row],[CONCERN.UNIQUEPATH]])),SEARCH("/",Table15[[#This Row],[CONCERN.UNIQUEPATH]])+1,1),255))</f>
        <v>Portability/Replaceability/Eportable Information/Format (JSON or ML)</v>
      </c>
    </row>
    <row r="626" spans="1:6">
      <c r="A626" t="s">
        <v>1969</v>
      </c>
      <c r="B626" t="s">
        <v>2246</v>
      </c>
      <c r="C626" s="33" t="s">
        <v>4682</v>
      </c>
      <c r="D626" s="27" t="s">
        <v>4683</v>
      </c>
      <c r="E626" t="str">
        <f xml:space="preserve"> CONCATENATE( MID(Table15[[#This Row],[PHASE]],2,3), MID(Table15[[#This Row],[DELIVERABLE]],2,4), TRIM(SUBSTITUTE(MID(Table15[[#This Row],[CONCERN.ID]],2,20),"","") )  )</f>
        <v>08.461.5531.01.3000</v>
      </c>
      <c r="F626" t="str">
        <f>TRIM(MID(Table15[[#This Row],[CONCERN.UNIQUEPATH]], IF( ISNUMBER( SEARCH("/",Table15[[#This Row],[CONCERN.UNIQUEPATH]])),SEARCH("/",Table15[[#This Row],[CONCERN.UNIQUEPATH]])+1,1),255))</f>
        <v>Portability/Replaceability/Eportable Information/Format/Standards Based Where Available</v>
      </c>
    </row>
    <row r="627" spans="1:6">
      <c r="A627" t="s">
        <v>1969</v>
      </c>
      <c r="B627" t="s">
        <v>2246</v>
      </c>
      <c r="C627" s="30" t="s">
        <v>4684</v>
      </c>
      <c r="D627" s="26" t="s">
        <v>4685</v>
      </c>
      <c r="E627" s="45" t="str">
        <f xml:space="preserve"> CONCATENATE( MID(Table15[[#This Row],[PHASE]],2,3), MID(Table15[[#This Row],[DELIVERABLE]],2,4), TRIM(SUBSTITUTE(MID(Table15[[#This Row],[CONCERN.ID]],2,20),"","") )  )</f>
        <v>08.461.5700.00.0000</v>
      </c>
      <c r="F627" t="str">
        <f>TRIM(MID(Table15[[#This Row],[CONCERN.UNIQUEPATH]], IF( ISNUMBER( SEARCH("/",Table15[[#This Row],[CONCERN.UNIQUEPATH]])),SEARCH("/",Table15[[#This Row],[CONCERN.UNIQUEPATH]])+1,1),255))</f>
        <v>Reliability</v>
      </c>
    </row>
    <row r="628" spans="1:6">
      <c r="A628" t="s">
        <v>1969</v>
      </c>
      <c r="B628" t="s">
        <v>2246</v>
      </c>
      <c r="C628" s="29" t="s">
        <v>4686</v>
      </c>
      <c r="D628" s="27" t="s">
        <v>1064</v>
      </c>
      <c r="E628" t="str">
        <f xml:space="preserve"> CONCATENATE( MID(Table15[[#This Row],[PHASE]],2,3), MID(Table15[[#This Row],[DELIVERABLE]],2,4), TRIM(SUBSTITUTE(MID(Table15[[#This Row],[CONCERN.ID]],2,20),"","") )  )</f>
        <v>08.461.5710.00.0000</v>
      </c>
      <c r="F628" t="str">
        <f>TRIM(MID(Table15[[#This Row],[CONCERN.UNIQUEPATH]], IF( ISNUMBER( SEARCH("/",Table15[[#This Row],[CONCERN.UNIQUEPATH]])),SEARCH("/",Table15[[#This Row],[CONCERN.UNIQUEPATH]])+1,1),255))</f>
        <v>Reliability/Availability</v>
      </c>
    </row>
    <row r="629" spans="1:6">
      <c r="A629" t="s">
        <v>1969</v>
      </c>
      <c r="B629" t="s">
        <v>2246</v>
      </c>
      <c r="C629" s="30" t="s">
        <v>4687</v>
      </c>
      <c r="D629" s="26" t="s">
        <v>4688</v>
      </c>
      <c r="E629" s="45" t="str">
        <f xml:space="preserve"> CONCATENATE( MID(Table15[[#This Row],[PHASE]],2,3), MID(Table15[[#This Row],[DELIVERABLE]],2,4), TRIM(SUBSTITUTE(MID(Table15[[#This Row],[CONCERN.ID]],2,20),"","") )  )</f>
        <v>08.461.5711.00.0000</v>
      </c>
      <c r="F629" t="str">
        <f>TRIM(MID(Table15[[#This Row],[CONCERN.UNIQUEPATH]], IF( ISNUMBER( SEARCH("/",Table15[[#This Row],[CONCERN.UNIQUEPATH]])),SEARCH("/",Table15[[#This Row],[CONCERN.UNIQUEPATH]])+1,1),255))</f>
        <v>Reliability/Availability/24-7</v>
      </c>
    </row>
    <row r="630" spans="1:6">
      <c r="A630" t="s">
        <v>1969</v>
      </c>
      <c r="B630" t="s">
        <v>2246</v>
      </c>
      <c r="C630" s="29" t="s">
        <v>4689</v>
      </c>
      <c r="D630" s="27" t="s">
        <v>4690</v>
      </c>
      <c r="E630" t="str">
        <f xml:space="preserve"> CONCATENATE( MID(Table15[[#This Row],[PHASE]],2,3), MID(Table15[[#This Row],[DELIVERABLE]],2,4), TRIM(SUBSTITUTE(MID(Table15[[#This Row],[CONCERN.ID]],2,20),"","") )  )</f>
        <v>08.461.5712.00.0000</v>
      </c>
      <c r="F630" t="str">
        <f>TRIM(MID(Table15[[#This Row],[CONCERN.UNIQUEPATH]], IF( ISNUMBER( SEARCH("/",Table15[[#This Row],[CONCERN.UNIQUEPATH]])),SEARCH("/",Table15[[#This Row],[CONCERN.UNIQUEPATH]])+1,1),255))</f>
        <v>Reliability/Availability/Uptime %</v>
      </c>
    </row>
    <row r="631" spans="1:6">
      <c r="A631" t="s">
        <v>1969</v>
      </c>
      <c r="B631" t="s">
        <v>2246</v>
      </c>
      <c r="C631" s="30" t="s">
        <v>4689</v>
      </c>
      <c r="D631" s="26" t="s">
        <v>4691</v>
      </c>
      <c r="E631" s="45" t="str">
        <f xml:space="preserve"> CONCATENATE( MID(Table15[[#This Row],[PHASE]],2,3), MID(Table15[[#This Row],[DELIVERABLE]],2,4), TRIM(SUBSTITUTE(MID(Table15[[#This Row],[CONCERN.ID]],2,20),"","") )  )</f>
        <v>08.461.5712.00.0000</v>
      </c>
      <c r="F631" t="str">
        <f>TRIM(MID(Table15[[#This Row],[CONCERN.UNIQUEPATH]], IF( ISNUMBER( SEARCH("/",Table15[[#This Row],[CONCERN.UNIQUEPATH]])),SEARCH("/",Table15[[#This Row],[CONCERN.UNIQUEPATH]])+1,1),255))</f>
        <v>Reliability/Availability/Uptime %/Chained</v>
      </c>
    </row>
    <row r="632" spans="1:6">
      <c r="A632" t="s">
        <v>1969</v>
      </c>
      <c r="B632" t="s">
        <v>2246</v>
      </c>
      <c r="C632" s="29" t="s">
        <v>4689</v>
      </c>
      <c r="D632" s="27" t="s">
        <v>4692</v>
      </c>
      <c r="E632" t="str">
        <f xml:space="preserve"> CONCATENATE( MID(Table15[[#This Row],[PHASE]],2,3), MID(Table15[[#This Row],[DELIVERABLE]],2,4), TRIM(SUBSTITUTE(MID(Table15[[#This Row],[CONCERN.ID]],2,20),"","") )  )</f>
        <v>08.461.5712.00.0000</v>
      </c>
      <c r="F632" t="str">
        <f>TRIM(MID(Table15[[#This Row],[CONCERN.UNIQUEPATH]], IF( ISNUMBER( SEARCH("/",Table15[[#This Row],[CONCERN.UNIQUEPATH]])),SEARCH("/",Table15[[#This Row],[CONCERN.UNIQUEPATH]])+1,1),255))</f>
        <v>Reliability/Availability/Uptime %/Individual</v>
      </c>
    </row>
    <row r="633" spans="1:6">
      <c r="A633" t="s">
        <v>1969</v>
      </c>
      <c r="B633" t="s">
        <v>2246</v>
      </c>
      <c r="C633" s="30" t="s">
        <v>4693</v>
      </c>
      <c r="D633" s="26" t="s">
        <v>4694</v>
      </c>
      <c r="E633" s="45" t="str">
        <f xml:space="preserve"> CONCATENATE( MID(Table15[[#This Row],[PHASE]],2,3), MID(Table15[[#This Row],[DELIVERABLE]],2,4), TRIM(SUBSTITUTE(MID(Table15[[#This Row],[CONCERN.ID]],2,20),"","") )  )</f>
        <v>08.461.5713.00.0000</v>
      </c>
      <c r="F633" t="str">
        <f>TRIM(MID(Table15[[#This Row],[CONCERN.UNIQUEPATH]], IF( ISNUMBER( SEARCH("/",Table15[[#This Row],[CONCERN.UNIQUEPATH]])),SEARCH("/",Table15[[#This Row],[CONCERN.UNIQUEPATH]])+1,1),255))</f>
        <v>Reliability/Availability/DoS Protection</v>
      </c>
    </row>
    <row r="634" spans="1:6">
      <c r="A634" t="s">
        <v>1969</v>
      </c>
      <c r="B634" t="s">
        <v>2246</v>
      </c>
      <c r="C634" s="29" t="s">
        <v>4695</v>
      </c>
      <c r="D634" s="27" t="s">
        <v>4696</v>
      </c>
      <c r="E634" t="str">
        <f xml:space="preserve"> CONCATENATE( MID(Table15[[#This Row],[PHASE]],2,3), MID(Table15[[#This Row],[DELIVERABLE]],2,4), TRIM(SUBSTITUTE(MID(Table15[[#This Row],[CONCERN.ID]],2,20),"","") )  )</f>
        <v>08.461.5714.00.0000</v>
      </c>
      <c r="F634" t="str">
        <f>TRIM(MID(Table15[[#This Row],[CONCERN.UNIQUEPATH]], IF( ISNUMBER( SEARCH("/",Table15[[#This Row],[CONCERN.UNIQUEPATH]])),SEARCH("/",Table15[[#This Row],[CONCERN.UNIQUEPATH]])+1,1),255))</f>
        <v>Reliability/Availability/From</v>
      </c>
    </row>
    <row r="635" spans="1:6">
      <c r="A635" t="s">
        <v>1969</v>
      </c>
      <c r="B635" t="s">
        <v>2246</v>
      </c>
      <c r="C635" s="31" t="s">
        <v>4697</v>
      </c>
      <c r="D635" s="26" t="s">
        <v>4698</v>
      </c>
      <c r="E635" s="45" t="str">
        <f xml:space="preserve"> CONCATENATE( MID(Table15[[#This Row],[PHASE]],2,3), MID(Table15[[#This Row],[DELIVERABLE]],2,4), TRIM(SUBSTITUTE(MID(Table15[[#This Row],[CONCERN.ID]],2,20),"","") )  )</f>
        <v>08.461.5714.01.0000</v>
      </c>
      <c r="F635" t="str">
        <f>TRIM(MID(Table15[[#This Row],[CONCERN.UNIQUEPATH]], IF( ISNUMBER( SEARCH("/",Table15[[#This Row],[CONCERN.UNIQUEPATH]])),SEARCH("/",Table15[[#This Row],[CONCERN.UNIQUEPATH]])+1,1),255))</f>
        <v>Reliability/Availability/From/Country</v>
      </c>
    </row>
    <row r="636" spans="1:6">
      <c r="A636" t="s">
        <v>1969</v>
      </c>
      <c r="B636" t="s">
        <v>2246</v>
      </c>
      <c r="C636" s="32" t="s">
        <v>4699</v>
      </c>
      <c r="D636" s="27" t="s">
        <v>4700</v>
      </c>
      <c r="E636" t="str">
        <f xml:space="preserve"> CONCATENATE( MID(Table15[[#This Row],[PHASE]],2,3), MID(Table15[[#This Row],[DELIVERABLE]],2,4), TRIM(SUBSTITUTE(MID(Table15[[#This Row],[CONCERN.ID]],2,20),"","") )  )</f>
        <v>08.461.5714.02.0000</v>
      </c>
      <c r="F636" t="str">
        <f>TRIM(MID(Table15[[#This Row],[CONCERN.UNIQUEPATH]], IF( ISNUMBER( SEARCH("/",Table15[[#This Row],[CONCERN.UNIQUEPATH]])),SEARCH("/",Table15[[#This Row],[CONCERN.UNIQUEPATH]])+1,1),255))</f>
        <v>Reliability/Availability/From/LAN</v>
      </c>
    </row>
    <row r="637" spans="1:6">
      <c r="A637" t="s">
        <v>1969</v>
      </c>
      <c r="B637" t="s">
        <v>2246</v>
      </c>
      <c r="C637" s="31" t="s">
        <v>4701</v>
      </c>
      <c r="D637" s="26" t="s">
        <v>4702</v>
      </c>
      <c r="E637" s="45" t="str">
        <f xml:space="preserve"> CONCATENATE( MID(Table15[[#This Row],[PHASE]],2,3), MID(Table15[[#This Row],[DELIVERABLE]],2,4), TRIM(SUBSTITUTE(MID(Table15[[#This Row],[CONCERN.ID]],2,20),"","") )  )</f>
        <v>08.461.5714.03.0000</v>
      </c>
      <c r="F637" t="str">
        <f>TRIM(MID(Table15[[#This Row],[CONCERN.UNIQUEPATH]], IF( ISNUMBER( SEARCH("/",Table15[[#This Row],[CONCERN.UNIQUEPATH]])),SEARCH("/",Table15[[#This Row],[CONCERN.UNIQUEPATH]])+1,1),255))</f>
        <v>Reliability/Availability/From/WWW</v>
      </c>
    </row>
    <row r="638" spans="1:6">
      <c r="A638" t="s">
        <v>1969</v>
      </c>
      <c r="B638" t="s">
        <v>2246</v>
      </c>
      <c r="C638" s="32" t="s">
        <v>4703</v>
      </c>
      <c r="D638" s="27" t="s">
        <v>4704</v>
      </c>
      <c r="E638" t="str">
        <f xml:space="preserve"> CONCATENATE( MID(Table15[[#This Row],[PHASE]],2,3), MID(Table15[[#This Row],[DELIVERABLE]],2,4), TRIM(SUBSTITUTE(MID(Table15[[#This Row],[CONCERN.ID]],2,20),"","") )  )</f>
        <v>08.461.5714.04.0000</v>
      </c>
      <c r="F638" t="str">
        <f>TRIM(MID(Table15[[#This Row],[CONCERN.UNIQUEPATH]], IF( ISNUMBER( SEARCH("/",Table15[[#This Row],[CONCERN.UNIQUEPATH]])),SEARCH("/",Table15[[#This Row],[CONCERN.UNIQUEPATH]])+1,1),255))</f>
        <v>Reliability/Availability/From/Public Devices</v>
      </c>
    </row>
    <row r="639" spans="1:6">
      <c r="A639" t="s">
        <v>1969</v>
      </c>
      <c r="B639" t="s">
        <v>2246</v>
      </c>
      <c r="C639" s="31" t="s">
        <v>4705</v>
      </c>
      <c r="D639" s="26" t="s">
        <v>4706</v>
      </c>
      <c r="E639" s="45" t="str">
        <f xml:space="preserve"> CONCATENATE( MID(Table15[[#This Row],[PHASE]],2,3), MID(Table15[[#This Row],[DELIVERABLE]],2,4), TRIM(SUBSTITUTE(MID(Table15[[#This Row],[CONCERN.ID]],2,20),"","") )  )</f>
        <v>08.461.5714.05.0000</v>
      </c>
      <c r="F639" t="str">
        <f>TRIM(MID(Table15[[#This Row],[CONCERN.UNIQUEPATH]], IF( ISNUMBER( SEARCH("/",Table15[[#This Row],[CONCERN.UNIQUEPATH]])),SEARCH("/",Table15[[#This Row],[CONCERN.UNIQUEPATH]])+1,1),255))</f>
        <v>Reliability/Availability/From/Current (-1 Year) Browsers</v>
      </c>
    </row>
    <row r="640" spans="1:6">
      <c r="A640" t="s">
        <v>1969</v>
      </c>
      <c r="B640" t="s">
        <v>2246</v>
      </c>
      <c r="C640" s="29" t="s">
        <v>4707</v>
      </c>
      <c r="D640" s="27" t="s">
        <v>4708</v>
      </c>
      <c r="E640" t="str">
        <f xml:space="preserve"> CONCATENATE( MID(Table15[[#This Row],[PHASE]],2,3), MID(Table15[[#This Row],[DELIVERABLE]],2,4), TRIM(SUBSTITUTE(MID(Table15[[#This Row],[CONCERN.ID]],2,20),"","") )  )</f>
        <v>08.461.5715.00.0000</v>
      </c>
      <c r="F640" t="str">
        <f>TRIM(MID(Table15[[#This Row],[CONCERN.UNIQUEPATH]], IF( ISNUMBER( SEARCH("/",Table15[[#This Row],[CONCERN.UNIQUEPATH]])),SEARCH("/",Table15[[#This Row],[CONCERN.UNIQUEPATH]])+1,1),255))</f>
        <v>Reliability/Availability/Global</v>
      </c>
    </row>
    <row r="641" spans="1:6">
      <c r="A641" t="s">
        <v>1969</v>
      </c>
      <c r="B641" t="s">
        <v>2246</v>
      </c>
      <c r="C641" s="30" t="s">
        <v>4709</v>
      </c>
      <c r="D641" s="26" t="s">
        <v>4710</v>
      </c>
      <c r="E641" s="45" t="str">
        <f xml:space="preserve"> CONCATENATE( MID(Table15[[#This Row],[PHASE]],2,3), MID(Table15[[#This Row],[DELIVERABLE]],2,4), TRIM(SUBSTITUTE(MID(Table15[[#This Row],[CONCERN.ID]],2,20),"","") )  )</f>
        <v>08.461.5716.00.0000</v>
      </c>
      <c r="F641" t="str">
        <f>TRIM(MID(Table15[[#This Row],[CONCERN.UNIQUEPATH]], IF( ISNUMBER( SEARCH("/",Table15[[#This Row],[CONCERN.UNIQUEPATH]])),SEARCH("/",Table15[[#This Row],[CONCERN.UNIQUEPATH]])+1,1),255))</f>
        <v>Reliability/Availability/Status</v>
      </c>
    </row>
    <row r="642" spans="1:6">
      <c r="A642" t="s">
        <v>1969</v>
      </c>
      <c r="B642" t="s">
        <v>2246</v>
      </c>
      <c r="C642" s="32" t="s">
        <v>4711</v>
      </c>
      <c r="D642" s="27" t="s">
        <v>4712</v>
      </c>
      <c r="E642" t="str">
        <f xml:space="preserve"> CONCATENATE( MID(Table15[[#This Row],[PHASE]],2,3), MID(Table15[[#This Row],[DELIVERABLE]],2,4), TRIM(SUBSTITUTE(MID(Table15[[#This Row],[CONCERN.ID]],2,20),"","") )  )</f>
        <v>08.461.5716.01.0000</v>
      </c>
      <c r="F642" t="str">
        <f>TRIM(MID(Table15[[#This Row],[CONCERN.UNIQUEPATH]], IF( ISNUMBER( SEARCH("/",Table15[[#This Row],[CONCERN.UNIQUEPATH]])),SEARCH("/",Table15[[#This Row],[CONCERN.UNIQUEPATH]])+1,1),255))</f>
        <v>Reliability/Availability/Status/Current</v>
      </c>
    </row>
    <row r="643" spans="1:6">
      <c r="A643" t="s">
        <v>1969</v>
      </c>
      <c r="B643" t="s">
        <v>2246</v>
      </c>
      <c r="C643" s="31" t="s">
        <v>4713</v>
      </c>
      <c r="D643" s="26" t="s">
        <v>4714</v>
      </c>
      <c r="E643" s="45" t="str">
        <f xml:space="preserve"> CONCATENATE( MID(Table15[[#This Row],[PHASE]],2,3), MID(Table15[[#This Row],[DELIVERABLE]],2,4), TRIM(SUBSTITUTE(MID(Table15[[#This Row],[CONCERN.ID]],2,20),"","") )  )</f>
        <v>08.461.5716.02.0000</v>
      </c>
      <c r="F643" t="str">
        <f>TRIM(MID(Table15[[#This Row],[CONCERN.UNIQUEPATH]], IF( ISNUMBER( SEARCH("/",Table15[[#This Row],[CONCERN.UNIQUEPATH]])),SEARCH("/",Table15[[#This Row],[CONCERN.UNIQUEPATH]])+1,1),255))</f>
        <v>Reliability/Availability/Status/Planned</v>
      </c>
    </row>
    <row r="644" spans="1:6">
      <c r="A644" t="s">
        <v>1969</v>
      </c>
      <c r="B644" t="s">
        <v>2246</v>
      </c>
      <c r="C644" s="29" t="s">
        <v>4715</v>
      </c>
      <c r="D644" s="27" t="s">
        <v>565</v>
      </c>
      <c r="E644" t="str">
        <f xml:space="preserve"> CONCATENATE( MID(Table15[[#This Row],[PHASE]],2,3), MID(Table15[[#This Row],[DELIVERABLE]],2,4), TRIM(SUBSTITUTE(MID(Table15[[#This Row],[CONCERN.ID]],2,20),"","") )  )</f>
        <v>08.461.5718.00.0000</v>
      </c>
      <c r="F644" t="str">
        <f>TRIM(MID(Table15[[#This Row],[CONCERN.UNIQUEPATH]], IF( ISNUMBER( SEARCH("/",Table15[[#This Row],[CONCERN.UNIQUEPATH]])),SEARCH("/",Table15[[#This Row],[CONCERN.UNIQUEPATH]])+1,1),255))</f>
        <v>Reliability/Availability/Scalability</v>
      </c>
    </row>
    <row r="645" spans="1:6">
      <c r="A645" t="s">
        <v>1969</v>
      </c>
      <c r="B645" t="s">
        <v>2246</v>
      </c>
      <c r="C645" s="31" t="s">
        <v>4716</v>
      </c>
      <c r="D645" s="26" t="s">
        <v>4717</v>
      </c>
      <c r="E645" s="45" t="str">
        <f xml:space="preserve"> CONCATENATE( MID(Table15[[#This Row],[PHASE]],2,3), MID(Table15[[#This Row],[DELIVERABLE]],2,4), TRIM(SUBSTITUTE(MID(Table15[[#This Row],[CONCERN.ID]],2,20),"","") )  )</f>
        <v>08.461.5718.01.0000</v>
      </c>
      <c r="F645" t="str">
        <f>TRIM(MID(Table15[[#This Row],[CONCERN.UNIQUEPATH]], IF( ISNUMBER( SEARCH("/",Table15[[#This Row],[CONCERN.UNIQUEPATH]])),SEARCH("/",Table15[[#This Row],[CONCERN.UNIQUEPATH]])+1,1),255))</f>
        <v>Reliability/Availability/Scalability/Horizontal</v>
      </c>
    </row>
    <row r="646" spans="1:6">
      <c r="A646" t="s">
        <v>1969</v>
      </c>
      <c r="B646" t="s">
        <v>2246</v>
      </c>
      <c r="C646" s="32" t="s">
        <v>4718</v>
      </c>
      <c r="D646" s="27" t="s">
        <v>4719</v>
      </c>
      <c r="E646" t="str">
        <f xml:space="preserve"> CONCATENATE( MID(Table15[[#This Row],[PHASE]],2,3), MID(Table15[[#This Row],[DELIVERABLE]],2,4), TRIM(SUBSTITUTE(MID(Table15[[#This Row],[CONCERN.ID]],2,20),"","") )  )</f>
        <v>08.461.5718.02.0000</v>
      </c>
      <c r="F646" t="str">
        <f>TRIM(MID(Table15[[#This Row],[CONCERN.UNIQUEPATH]], IF( ISNUMBER( SEARCH("/",Table15[[#This Row],[CONCERN.UNIQUEPATH]])),SEARCH("/",Table15[[#This Row],[CONCERN.UNIQUEPATH]])+1,1),255))</f>
        <v>Reliability/Availability/Scalability/Vertical</v>
      </c>
    </row>
    <row r="647" spans="1:6">
      <c r="A647" t="s">
        <v>1969</v>
      </c>
      <c r="B647" t="s">
        <v>2246</v>
      </c>
      <c r="C647" s="30" t="s">
        <v>4720</v>
      </c>
      <c r="D647" s="26" t="s">
        <v>4721</v>
      </c>
      <c r="E647" s="45" t="str">
        <f xml:space="preserve"> CONCATENATE( MID(Table15[[#This Row],[PHASE]],2,3), MID(Table15[[#This Row],[DELIVERABLE]],2,4), TRIM(SUBSTITUTE(MID(Table15[[#This Row],[CONCERN.ID]],2,20),"","") )  )</f>
        <v>08.461.5720.00.0000</v>
      </c>
      <c r="F647" t="str">
        <f>TRIM(MID(Table15[[#This Row],[CONCERN.UNIQUEPATH]], IF( ISNUMBER( SEARCH("/",Table15[[#This Row],[CONCERN.UNIQUEPATH]])),SEARCH("/",Table15[[#This Row],[CONCERN.UNIQUEPATH]])+1,1),255))</f>
        <v>Reliability/Fault Tolerance</v>
      </c>
    </row>
    <row r="648" spans="1:6">
      <c r="A648" t="s">
        <v>1969</v>
      </c>
      <c r="B648" t="s">
        <v>2246</v>
      </c>
      <c r="C648" s="29" t="s">
        <v>4722</v>
      </c>
      <c r="D648" s="27" t="s">
        <v>4723</v>
      </c>
      <c r="E648" t="str">
        <f xml:space="preserve"> CONCATENATE( MID(Table15[[#This Row],[PHASE]],2,3), MID(Table15[[#This Row],[DELIVERABLE]],2,4), TRIM(SUBSTITUTE(MID(Table15[[#This Row],[CONCERN.ID]],2,20),"","") )  )</f>
        <v>08.461.5721.00.0000</v>
      </c>
      <c r="F648" t="str">
        <f>TRIM(MID(Table15[[#This Row],[CONCERN.UNIQUEPATH]], IF( ISNUMBER( SEARCH("/",Table15[[#This Row],[CONCERN.UNIQUEPATH]])),SEARCH("/",Table15[[#This Row],[CONCERN.UNIQUEPATH]])+1,1),255))</f>
        <v>Reliability/Fault Tolerance/Eceptions</v>
      </c>
    </row>
    <row r="649" spans="1:6">
      <c r="A649" t="s">
        <v>1969</v>
      </c>
      <c r="B649" t="s">
        <v>2246</v>
      </c>
      <c r="C649" s="31" t="s">
        <v>4724</v>
      </c>
      <c r="D649" s="26" t="s">
        <v>4725</v>
      </c>
      <c r="E649" s="45" t="str">
        <f xml:space="preserve"> CONCATENATE( MID(Table15[[#This Row],[PHASE]],2,3), MID(Table15[[#This Row],[DELIVERABLE]],2,4), TRIM(SUBSTITUTE(MID(Table15[[#This Row],[CONCERN.ID]],2,20),"","") )  )</f>
        <v>08.461.5721.01.0000</v>
      </c>
      <c r="F649" t="str">
        <f>TRIM(MID(Table15[[#This Row],[CONCERN.UNIQUEPATH]], IF( ISNUMBER( SEARCH("/",Table15[[#This Row],[CONCERN.UNIQUEPATH]])),SEARCH("/",Table15[[#This Row],[CONCERN.UNIQUEPATH]])+1,1),255))</f>
        <v>Reliability/Fault Tolerance/Eceptions/Handled</v>
      </c>
    </row>
    <row r="650" spans="1:6">
      <c r="A650" t="s">
        <v>1969</v>
      </c>
      <c r="B650" t="s">
        <v>2246</v>
      </c>
      <c r="C650" s="32" t="s">
        <v>4726</v>
      </c>
      <c r="D650" s="27" t="s">
        <v>4727</v>
      </c>
      <c r="E650" t="str">
        <f xml:space="preserve"> CONCATENATE( MID(Table15[[#This Row],[PHASE]],2,3), MID(Table15[[#This Row],[DELIVERABLE]],2,4), TRIM(SUBSTITUTE(MID(Table15[[#This Row],[CONCERN.ID]],2,20),"","") )  )</f>
        <v>08.461.5721.02.0000</v>
      </c>
      <c r="F650" t="str">
        <f>TRIM(MID(Table15[[#This Row],[CONCERN.UNIQUEPATH]], IF( ISNUMBER( SEARCH("/",Table15[[#This Row],[CONCERN.UNIQUEPATH]])),SEARCH("/",Table15[[#This Row],[CONCERN.UNIQUEPATH]])+1,1),255))</f>
        <v>Reliability/Fault Tolerance/Eceptions/Recorded</v>
      </c>
    </row>
    <row r="651" spans="1:6">
      <c r="A651" t="s">
        <v>1969</v>
      </c>
      <c r="B651" t="s">
        <v>2246</v>
      </c>
      <c r="C651" s="31" t="s">
        <v>4728</v>
      </c>
      <c r="D651" s="26" t="s">
        <v>4729</v>
      </c>
      <c r="E651" s="45" t="str">
        <f xml:space="preserve"> CONCATENATE( MID(Table15[[#This Row],[PHASE]],2,3), MID(Table15[[#This Row],[DELIVERABLE]],2,4), TRIM(SUBSTITUTE(MID(Table15[[#This Row],[CONCERN.ID]],2,20),"","") )  )</f>
        <v>08.461.5721.03.0000</v>
      </c>
      <c r="F651" t="str">
        <f>TRIM(MID(Table15[[#This Row],[CONCERN.UNIQUEPATH]], IF( ISNUMBER( SEARCH("/",Table15[[#This Row],[CONCERN.UNIQUEPATH]])),SEARCH("/",Table15[[#This Row],[CONCERN.UNIQUEPATH]])+1,1),255))</f>
        <v>Reliability/Fault Tolerance/Eceptions/Communicated UUID</v>
      </c>
    </row>
    <row r="652" spans="1:6">
      <c r="A652" t="s">
        <v>1969</v>
      </c>
      <c r="B652" t="s">
        <v>2246</v>
      </c>
      <c r="C652" s="29" t="s">
        <v>4730</v>
      </c>
      <c r="D652" s="27" t="s">
        <v>4731</v>
      </c>
      <c r="E652" t="str">
        <f xml:space="preserve"> CONCATENATE( MID(Table15[[#This Row],[PHASE]],2,3), MID(Table15[[#This Row],[DELIVERABLE]],2,4), TRIM(SUBSTITUTE(MID(Table15[[#This Row],[CONCERN.ID]],2,20),"","") )  )</f>
        <v>08.461.5722.00.0000</v>
      </c>
      <c r="F652" t="str">
        <f>TRIM(MID(Table15[[#This Row],[CONCERN.UNIQUEPATH]], IF( ISNUMBER( SEARCH("/",Table15[[#This Row],[CONCERN.UNIQUEPATH]])),SEARCH("/",Table15[[#This Row],[CONCERN.UNIQUEPATH]])+1,1),255))</f>
        <v>Reliability/Fault Tolerance/Idempotency</v>
      </c>
    </row>
    <row r="653" spans="1:6">
      <c r="A653" t="s">
        <v>1969</v>
      </c>
      <c r="B653" t="s">
        <v>2246</v>
      </c>
      <c r="C653" s="30" t="s">
        <v>4732</v>
      </c>
      <c r="D653" s="26" t="s">
        <v>4733</v>
      </c>
      <c r="E653" s="45" t="str">
        <f xml:space="preserve"> CONCATENATE( MID(Table15[[#This Row],[PHASE]],2,3), MID(Table15[[#This Row],[DELIVERABLE]],2,4), TRIM(SUBSTITUTE(MID(Table15[[#This Row],[CONCERN.ID]],2,20),"","") )  )</f>
        <v>08.461.5723.00.0000</v>
      </c>
      <c r="F653" t="str">
        <f>TRIM(MID(Table15[[#This Row],[CONCERN.UNIQUEPATH]], IF( ISNUMBER( SEARCH("/",Table15[[#This Row],[CONCERN.UNIQUEPATH]])),SEARCH("/",Table15[[#This Row],[CONCERN.UNIQUEPATH]])+1,1),255))</f>
        <v>Reliability/Fault Tolerance/Accept Tardy Submittals unless Conflictual</v>
      </c>
    </row>
    <row r="654" spans="1:6">
      <c r="A654" t="s">
        <v>1969</v>
      </c>
      <c r="B654" t="s">
        <v>2246</v>
      </c>
      <c r="C654" s="29" t="s">
        <v>4734</v>
      </c>
      <c r="D654" s="27" t="s">
        <v>4735</v>
      </c>
      <c r="E654" t="str">
        <f xml:space="preserve"> CONCATENATE( MID(Table15[[#This Row],[PHASE]],2,3), MID(Table15[[#This Row],[DELIVERABLE]],2,4), TRIM(SUBSTITUTE(MID(Table15[[#This Row],[CONCERN.ID]],2,20),"","") )  )</f>
        <v>08.461.5730.00.0000</v>
      </c>
      <c r="F654" t="str">
        <f>TRIM(MID(Table15[[#This Row],[CONCERN.UNIQUEPATH]], IF( ISNUMBER( SEARCH("/",Table15[[#This Row],[CONCERN.UNIQUEPATH]])),SEARCH("/",Table15[[#This Row],[CONCERN.UNIQUEPATH]])+1,1),255))</f>
        <v>Reliability/Recoverability</v>
      </c>
    </row>
    <row r="655" spans="1:6">
      <c r="A655" t="s">
        <v>1969</v>
      </c>
      <c r="B655" t="s">
        <v>2246</v>
      </c>
      <c r="C655" s="30" t="s">
        <v>4736</v>
      </c>
      <c r="D655" s="26" t="s">
        <v>4737</v>
      </c>
      <c r="E655" s="45" t="str">
        <f xml:space="preserve"> CONCATENATE( MID(Table15[[#This Row],[PHASE]],2,3), MID(Table15[[#This Row],[DELIVERABLE]],2,4), TRIM(SUBSTITUTE(MID(Table15[[#This Row],[CONCERN.ID]],2,20),"","") )  )</f>
        <v>08.461.5731.00.0000</v>
      </c>
      <c r="F655" t="str">
        <f>TRIM(MID(Table15[[#This Row],[CONCERN.UNIQUEPATH]], IF( ISNUMBER( SEARCH("/",Table15[[#This Row],[CONCERN.UNIQUEPATH]])),SEARCH("/",Table15[[#This Row],[CONCERN.UNIQUEPATH]])+1,1),255))</f>
        <v>Reliability/Recoverability/Backups</v>
      </c>
    </row>
    <row r="656" spans="1:6">
      <c r="A656" t="s">
        <v>1969</v>
      </c>
      <c r="B656" t="s">
        <v>2246</v>
      </c>
      <c r="C656" s="32" t="s">
        <v>4738</v>
      </c>
      <c r="D656" s="27" t="s">
        <v>4739</v>
      </c>
      <c r="E656" t="str">
        <f xml:space="preserve"> CONCATENATE( MID(Table15[[#This Row],[PHASE]],2,3), MID(Table15[[#This Row],[DELIVERABLE]],2,4), TRIM(SUBSTITUTE(MID(Table15[[#This Row],[CONCERN.ID]],2,20),"","") )  )</f>
        <v>08.461.5731.01.0000</v>
      </c>
      <c r="F656" t="str">
        <f>TRIM(MID(Table15[[#This Row],[CONCERN.UNIQUEPATH]], IF( ISNUMBER( SEARCH("/",Table15[[#This Row],[CONCERN.UNIQUEPATH]])),SEARCH("/",Table15[[#This Row],[CONCERN.UNIQUEPATH]])+1,1),255))</f>
        <v>Reliability/Recoverability/Backups/Encrypted</v>
      </c>
    </row>
    <row r="657" spans="1:6">
      <c r="A657" t="s">
        <v>1969</v>
      </c>
      <c r="B657" t="s">
        <v>2246</v>
      </c>
      <c r="C657" s="31" t="s">
        <v>4740</v>
      </c>
      <c r="D657" s="26" t="s">
        <v>4741</v>
      </c>
      <c r="E657" s="45" t="str">
        <f xml:space="preserve"> CONCATENATE( MID(Table15[[#This Row],[PHASE]],2,3), MID(Table15[[#This Row],[DELIVERABLE]],2,4), TRIM(SUBSTITUTE(MID(Table15[[#This Row],[CONCERN.ID]],2,20),"","") )  )</f>
        <v>08.461.5731.02.0000</v>
      </c>
      <c r="F657" t="str">
        <f>TRIM(MID(Table15[[#This Row],[CONCERN.UNIQUEPATH]], IF( ISNUMBER( SEARCH("/",Table15[[#This Row],[CONCERN.UNIQUEPATH]])),SEARCH("/",Table15[[#This Row],[CONCERN.UNIQUEPATH]])+1,1),255))</f>
        <v>Reliability/Recoverability/Backups/Over Encrypted Channels</v>
      </c>
    </row>
    <row r="658" spans="1:6">
      <c r="A658" t="s">
        <v>1969</v>
      </c>
      <c r="B658" t="s">
        <v>2246</v>
      </c>
      <c r="C658" s="32" t="s">
        <v>4742</v>
      </c>
      <c r="D658" s="27" t="s">
        <v>4743</v>
      </c>
      <c r="E658" t="str">
        <f xml:space="preserve"> CONCATENATE( MID(Table15[[#This Row],[PHASE]],2,3), MID(Table15[[#This Row],[DELIVERABLE]],2,4), TRIM(SUBSTITUTE(MID(Table15[[#This Row],[CONCERN.ID]],2,20),"","") )  )</f>
        <v>08.461.5731.03.0000</v>
      </c>
      <c r="F658" t="str">
        <f>TRIM(MID(Table15[[#This Row],[CONCERN.UNIQUEPATH]], IF( ISNUMBER( SEARCH("/",Table15[[#This Row],[CONCERN.UNIQUEPATH]])),SEARCH("/",Table15[[#This Row],[CONCERN.UNIQUEPATH]])+1,1),255))</f>
        <v>Reliability/Recoverability/Backups/Automated</v>
      </c>
    </row>
    <row r="659" spans="1:6">
      <c r="A659" t="s">
        <v>1969</v>
      </c>
      <c r="B659" t="s">
        <v>2246</v>
      </c>
      <c r="C659" s="31" t="s">
        <v>4744</v>
      </c>
      <c r="D659" s="26" t="s">
        <v>4745</v>
      </c>
      <c r="E659" s="45" t="str">
        <f xml:space="preserve"> CONCATENATE( MID(Table15[[#This Row],[PHASE]],2,3), MID(Table15[[#This Row],[DELIVERABLE]],2,4), TRIM(SUBSTITUTE(MID(Table15[[#This Row],[CONCERN.ID]],2,20),"","") )  )</f>
        <v>08.461.5731.04.0000</v>
      </c>
      <c r="F659" t="str">
        <f>TRIM(MID(Table15[[#This Row],[CONCERN.UNIQUEPATH]], IF( ISNUMBER( SEARCH("/",Table15[[#This Row],[CONCERN.UNIQUEPATH]])),SEARCH("/",Table15[[#This Row],[CONCERN.UNIQUEPATH]])+1,1),255))</f>
        <v>Reliability/Recoverability/Backups/Automated Access Only</v>
      </c>
    </row>
    <row r="660" spans="1:6">
      <c r="A660" t="s">
        <v>1969</v>
      </c>
      <c r="B660" t="s">
        <v>2246</v>
      </c>
      <c r="C660" s="32" t="s">
        <v>4746</v>
      </c>
      <c r="D660" s="27" t="s">
        <v>4747</v>
      </c>
      <c r="E660" t="str">
        <f xml:space="preserve"> CONCATENATE( MID(Table15[[#This Row],[PHASE]],2,3), MID(Table15[[#This Row],[DELIVERABLE]],2,4), TRIM(SUBSTITUTE(MID(Table15[[#This Row],[CONCERN.ID]],2,20),"","") )  )</f>
        <v>08.461.5731.05.0000</v>
      </c>
      <c r="F660" t="str">
        <f>TRIM(MID(Table15[[#This Row],[CONCERN.UNIQUEPATH]], IF( ISNUMBER( SEARCH("/",Table15[[#This Row],[CONCERN.UNIQUEPATH]])),SEARCH("/",Table15[[#This Row],[CONCERN.UNIQUEPATH]])+1,1),255))</f>
        <v>Reliability/Recoverability/Backups/To a Separate Environment</v>
      </c>
    </row>
    <row r="661" spans="1:6">
      <c r="A661" t="s">
        <v>1969</v>
      </c>
      <c r="B661" t="s">
        <v>2246</v>
      </c>
      <c r="C661" s="31" t="s">
        <v>4748</v>
      </c>
      <c r="D661" s="26" t="s">
        <v>4749</v>
      </c>
      <c r="E661" s="45" t="str">
        <f xml:space="preserve"> CONCATENATE( MID(Table15[[#This Row],[PHASE]],2,3), MID(Table15[[#This Row],[DELIVERABLE]],2,4), TRIM(SUBSTITUTE(MID(Table15[[#This Row],[CONCERN.ID]],2,20),"","") )  )</f>
        <v>08.461.5731.06.0000</v>
      </c>
      <c r="F661" t="str">
        <f>TRIM(MID(Table15[[#This Row],[CONCERN.UNIQUEPATH]], IF( ISNUMBER( SEARCH("/",Table15[[#This Row],[CONCERN.UNIQUEPATH]])),SEARCH("/",Table15[[#This Row],[CONCERN.UNIQUEPATH]])+1,1),255))</f>
        <v>Reliability/Recoverability/Backups/Full Interval</v>
      </c>
    </row>
    <row r="662" spans="1:6">
      <c r="A662" t="s">
        <v>1969</v>
      </c>
      <c r="B662" t="s">
        <v>2246</v>
      </c>
      <c r="C662" s="32" t="s">
        <v>4750</v>
      </c>
      <c r="D662" s="27" t="s">
        <v>4749</v>
      </c>
      <c r="E662" t="str">
        <f xml:space="preserve"> CONCATENATE( MID(Table15[[#This Row],[PHASE]],2,3), MID(Table15[[#This Row],[DELIVERABLE]],2,4), TRIM(SUBSTITUTE(MID(Table15[[#This Row],[CONCERN.ID]],2,20),"","") )  )</f>
        <v>08.461.5731.07.0000</v>
      </c>
      <c r="F662" t="str">
        <f>TRIM(MID(Table15[[#This Row],[CONCERN.UNIQUEPATH]], IF( ISNUMBER( SEARCH("/",Table15[[#This Row],[CONCERN.UNIQUEPATH]])),SEARCH("/",Table15[[#This Row],[CONCERN.UNIQUEPATH]])+1,1),255))</f>
        <v>Reliability/Recoverability/Backups/Full Interval</v>
      </c>
    </row>
    <row r="663" spans="1:6">
      <c r="A663" t="s">
        <v>1969</v>
      </c>
      <c r="B663" t="s">
        <v>2246</v>
      </c>
      <c r="C663" s="31" t="s">
        <v>4751</v>
      </c>
      <c r="D663" s="26" t="s">
        <v>4752</v>
      </c>
      <c r="E663" s="45" t="str">
        <f xml:space="preserve"> CONCATENATE( MID(Table15[[#This Row],[PHASE]],2,3), MID(Table15[[#This Row],[DELIVERABLE]],2,4), TRIM(SUBSTITUTE(MID(Table15[[#This Row],[CONCERN.ID]],2,20),"","") )  )</f>
        <v>08.461.5731.08.0000</v>
      </c>
      <c r="F663" t="str">
        <f>TRIM(MID(Table15[[#This Row],[CONCERN.UNIQUEPATH]], IF( ISNUMBER( SEARCH("/",Table15[[#This Row],[CONCERN.UNIQUEPATH]])),SEARCH("/",Table15[[#This Row],[CONCERN.UNIQUEPATH]])+1,1),255))</f>
        <v>Reliability/Recoverability/Backups/Incremental Interval</v>
      </c>
    </row>
    <row r="664" spans="1:6">
      <c r="A664" t="s">
        <v>1969</v>
      </c>
      <c r="B664" t="s">
        <v>2246</v>
      </c>
      <c r="C664" s="29" t="s">
        <v>4753</v>
      </c>
      <c r="D664" s="27" t="s">
        <v>4754</v>
      </c>
      <c r="E664" t="str">
        <f xml:space="preserve"> CONCATENATE( MID(Table15[[#This Row],[PHASE]],2,3), MID(Table15[[#This Row],[DELIVERABLE]],2,4), TRIM(SUBSTITUTE(MID(Table15[[#This Row],[CONCERN.ID]],2,20),"","") )  )</f>
        <v>08.461.5732.00.0000</v>
      </c>
      <c r="F664" t="str">
        <f>TRIM(MID(Table15[[#This Row],[CONCERN.UNIQUEPATH]], IF( ISNUMBER( SEARCH("/",Table15[[#This Row],[CONCERN.UNIQUEPATH]])),SEARCH("/",Table15[[#This Row],[CONCERN.UNIQUEPATH]])+1,1),255))</f>
        <v>Reliability/Recoverability/Restorations</v>
      </c>
    </row>
    <row r="665" spans="1:6">
      <c r="A665" t="s">
        <v>1969</v>
      </c>
      <c r="B665" t="s">
        <v>2246</v>
      </c>
      <c r="C665" s="31" t="s">
        <v>4755</v>
      </c>
      <c r="D665" s="26" t="s">
        <v>4756</v>
      </c>
      <c r="E665" s="45" t="str">
        <f xml:space="preserve"> CONCATENATE( MID(Table15[[#This Row],[PHASE]],2,3), MID(Table15[[#This Row],[DELIVERABLE]],2,4), TRIM(SUBSTITUTE(MID(Table15[[#This Row],[CONCERN.ID]],2,20),"","") )  )</f>
        <v>08.461.5732.01.0000</v>
      </c>
      <c r="F665" t="str">
        <f>TRIM(MID(Table15[[#This Row],[CONCERN.UNIQUEPATH]], IF( ISNUMBER( SEARCH("/",Table15[[#This Row],[CONCERN.UNIQUEPATH]])),SEARCH("/",Table15[[#This Row],[CONCERN.UNIQUEPATH]])+1,1),255))</f>
        <v>Reliability/Recoverability/Restorations/Over Encrypted Channels</v>
      </c>
    </row>
    <row r="666" spans="1:6">
      <c r="A666" t="s">
        <v>1969</v>
      </c>
      <c r="B666" t="s">
        <v>2246</v>
      </c>
      <c r="C666" s="32" t="s">
        <v>4757</v>
      </c>
      <c r="D666" s="27" t="s">
        <v>4758</v>
      </c>
      <c r="E666" t="str">
        <f xml:space="preserve"> CONCATENATE( MID(Table15[[#This Row],[PHASE]],2,3), MID(Table15[[#This Row],[DELIVERABLE]],2,4), TRIM(SUBSTITUTE(MID(Table15[[#This Row],[CONCERN.ID]],2,20),"","") )  )</f>
        <v>08.461.5732.02.0000</v>
      </c>
      <c r="F666" t="str">
        <f>TRIM(MID(Table15[[#This Row],[CONCERN.UNIQUEPATH]], IF( ISNUMBER( SEARCH("/",Table15[[#This Row],[CONCERN.UNIQUEPATH]])),SEARCH("/",Table15[[#This Row],[CONCERN.UNIQUEPATH]])+1,1),255))</f>
        <v>Reliability/Recoverability/Restorations/Automated</v>
      </c>
    </row>
    <row r="667" spans="1:6">
      <c r="A667" t="s">
        <v>1969</v>
      </c>
      <c r="B667" t="s">
        <v>2246</v>
      </c>
      <c r="C667" s="31" t="s">
        <v>4759</v>
      </c>
      <c r="D667" s="26" t="s">
        <v>4760</v>
      </c>
      <c r="E667" s="45" t="str">
        <f xml:space="preserve"> CONCATENATE( MID(Table15[[#This Row],[PHASE]],2,3), MID(Table15[[#This Row],[DELIVERABLE]],2,4), TRIM(SUBSTITUTE(MID(Table15[[#This Row],[CONCERN.ID]],2,20),"","") )  )</f>
        <v>08.461.5732.03.0000</v>
      </c>
      <c r="F667" t="str">
        <f>TRIM(MID(Table15[[#This Row],[CONCERN.UNIQUEPATH]], IF( ISNUMBER( SEARCH("/",Table15[[#This Row],[CONCERN.UNIQUEPATH]])),SEARCH("/",Table15[[#This Row],[CONCERN.UNIQUEPATH]])+1,1),255))</f>
        <v>Reliability/Recoverability/Restorations/Regularly Demonstrated (Weekly)</v>
      </c>
    </row>
    <row r="668" spans="1:6">
      <c r="A668" t="s">
        <v>1969</v>
      </c>
      <c r="B668" t="s">
        <v>2246</v>
      </c>
      <c r="C668" s="29" t="s">
        <v>4761</v>
      </c>
      <c r="D668" s="27" t="s">
        <v>4762</v>
      </c>
      <c r="E668" t="str">
        <f xml:space="preserve"> CONCATENATE( MID(Table15[[#This Row],[PHASE]],2,3), MID(Table15[[#This Row],[DELIVERABLE]],2,4), TRIM(SUBSTITUTE(MID(Table15[[#This Row],[CONCERN.ID]],2,20),"","") )  )</f>
        <v>08.461.5757.00.0000</v>
      </c>
      <c r="F668" t="str">
        <f>TRIM(MID(Table15[[#This Row],[CONCERN.UNIQUEPATH]], IF( ISNUMBER( SEARCH("/",Table15[[#This Row],[CONCERN.UNIQUEPATH]])),SEARCH("/",Table15[[#This Row],[CONCERN.UNIQUEPATH]])+1,1),255))</f>
        <v>Reliability/Availability/Epirations</v>
      </c>
    </row>
    <row r="669" spans="1:6">
      <c r="A669" t="s">
        <v>1969</v>
      </c>
      <c r="B669" t="s">
        <v>2246</v>
      </c>
      <c r="C669" s="31" t="s">
        <v>4763</v>
      </c>
      <c r="D669" s="26" t="s">
        <v>4764</v>
      </c>
      <c r="E669" s="45" t="str">
        <f xml:space="preserve"> CONCATENATE( MID(Table15[[#This Row],[PHASE]],2,3), MID(Table15[[#This Row],[DELIVERABLE]],2,4), TRIM(SUBSTITUTE(MID(Table15[[#This Row],[CONCERN.ID]],2,20),"","") )  )</f>
        <v>08.461.5757.01.1000</v>
      </c>
      <c r="F669" t="str">
        <f>TRIM(MID(Table15[[#This Row],[CONCERN.UNIQUEPATH]], IF( ISNUMBER( SEARCH("/",Table15[[#This Row],[CONCERN.UNIQUEPATH]])),SEARCH("/",Table15[[#This Row],[CONCERN.UNIQUEPATH]])+1,1),255))</f>
        <v>Reliability/Availability/Epirations/Certificates</v>
      </c>
    </row>
    <row r="670" spans="1:6">
      <c r="A670" t="s">
        <v>1969</v>
      </c>
      <c r="B670" t="s">
        <v>2246</v>
      </c>
      <c r="C670" s="29" t="s">
        <v>4765</v>
      </c>
      <c r="D670" s="27" t="s">
        <v>699</v>
      </c>
      <c r="E670" t="str">
        <f xml:space="preserve"> CONCATENATE( MID(Table15[[#This Row],[PHASE]],2,3), MID(Table15[[#This Row],[DELIVERABLE]],2,4), TRIM(SUBSTITUTE(MID(Table15[[#This Row],[CONCERN.ID]],2,20),"","") )  )</f>
        <v>08.461.5800.00.0000</v>
      </c>
      <c r="F670" t="str">
        <f>TRIM(MID(Table15[[#This Row],[CONCERN.UNIQUEPATH]], IF( ISNUMBER( SEARCH("/",Table15[[#This Row],[CONCERN.UNIQUEPATH]])),SEARCH("/",Table15[[#This Row],[CONCERN.UNIQUEPATH]])+1,1),255))</f>
        <v>Security</v>
      </c>
    </row>
    <row r="671" spans="1:6">
      <c r="A671" t="s">
        <v>1969</v>
      </c>
      <c r="B671" t="s">
        <v>2246</v>
      </c>
      <c r="C671" s="30" t="s">
        <v>4766</v>
      </c>
      <c r="D671" s="26" t="s">
        <v>4767</v>
      </c>
      <c r="E671" s="45" t="str">
        <f xml:space="preserve"> CONCATENATE( MID(Table15[[#This Row],[PHASE]],2,3), MID(Table15[[#This Row],[DELIVERABLE]],2,4), TRIM(SUBSTITUTE(MID(Table15[[#This Row],[CONCERN.ID]],2,20),"","") )  )</f>
        <v>08.461.5810.00.0000</v>
      </c>
      <c r="F671" t="str">
        <f>TRIM(MID(Table15[[#This Row],[CONCERN.UNIQUEPATH]], IF( ISNUMBER( SEARCH("/",Table15[[#This Row],[CONCERN.UNIQUEPATH]])),SEARCH("/",Table15[[#This Row],[CONCERN.UNIQUEPATH]])+1,1),255))</f>
        <v>Security/Accountability</v>
      </c>
    </row>
    <row r="672" spans="1:6">
      <c r="A672" t="s">
        <v>1969</v>
      </c>
      <c r="B672" t="s">
        <v>2246</v>
      </c>
      <c r="C672" s="29" t="s">
        <v>4768</v>
      </c>
      <c r="D672" s="27" t="s">
        <v>4769</v>
      </c>
      <c r="E672" t="str">
        <f xml:space="preserve"> CONCATENATE( MID(Table15[[#This Row],[PHASE]],2,3), MID(Table15[[#This Row],[DELIVERABLE]],2,4), TRIM(SUBSTITUTE(MID(Table15[[#This Row],[CONCERN.ID]],2,20),"","") )  )</f>
        <v>08.461.5811.00.0000</v>
      </c>
      <c r="F672" t="str">
        <f>TRIM(MID(Table15[[#This Row],[CONCERN.UNIQUEPATH]], IF( ISNUMBER( SEARCH("/",Table15[[#This Row],[CONCERN.UNIQUEPATH]])),SEARCH("/",Table15[[#This Row],[CONCERN.UNIQUEPATH]])+1,1),255))</f>
        <v>Security/Accountability/All Operations</v>
      </c>
    </row>
    <row r="673" spans="1:7">
      <c r="A673" t="s">
        <v>1969</v>
      </c>
      <c r="B673" t="s">
        <v>2246</v>
      </c>
      <c r="C673" s="30" t="s">
        <v>4770</v>
      </c>
      <c r="D673" s="26" t="s">
        <v>4771</v>
      </c>
      <c r="E673" s="45" t="str">
        <f xml:space="preserve"> CONCATENATE( MID(Table15[[#This Row],[PHASE]],2,3), MID(Table15[[#This Row],[DELIVERABLE]],2,4), TRIM(SUBSTITUTE(MID(Table15[[#This Row],[CONCERN.ID]],2,20),"","") )  )</f>
        <v>08.461.5812.00.0000</v>
      </c>
      <c r="F673" t="str">
        <f>TRIM(MID(Table15[[#This Row],[CONCERN.UNIQUEPATH]], IF( ISNUMBER( SEARCH("/",Table15[[#This Row],[CONCERN.UNIQUEPATH]])),SEARCH("/",Table15[[#This Row],[CONCERN.UNIQUEPATH]])+1,1),255))</f>
        <v>Security/Accountability/All Notifications</v>
      </c>
    </row>
    <row r="674" spans="1:7">
      <c r="A674" t="s">
        <v>1969</v>
      </c>
      <c r="B674" t="s">
        <v>2246</v>
      </c>
      <c r="C674" s="32" t="s">
        <v>4772</v>
      </c>
      <c r="D674" s="27" t="s">
        <v>4773</v>
      </c>
      <c r="E674" t="str">
        <f xml:space="preserve"> CONCATENATE( MID(Table15[[#This Row],[PHASE]],2,3), MID(Table15[[#This Row],[DELIVERABLE]],2,4), TRIM(SUBSTITUTE(MID(Table15[[#This Row],[CONCERN.ID]],2,20),"","") )  )</f>
        <v>08.461.5812.01.0000</v>
      </c>
      <c r="F674" t="str">
        <f>TRIM(MID(Table15[[#This Row],[CONCERN.UNIQUEPATH]], IF( ISNUMBER( SEARCH("/",Table15[[#This Row],[CONCERN.UNIQUEPATH]])),SEARCH("/",Table15[[#This Row],[CONCERN.UNIQUEPATH]])+1,1),255))</f>
        <v>Security/Accountability/All Notifications/Stored In Blobs</v>
      </c>
    </row>
    <row r="675" spans="1:7">
      <c r="A675" t="s">
        <v>1969</v>
      </c>
      <c r="B675" t="s">
        <v>2246</v>
      </c>
      <c r="C675" s="30" t="s">
        <v>4774</v>
      </c>
      <c r="D675" s="26" t="s">
        <v>4775</v>
      </c>
      <c r="E675" s="45" t="str">
        <f xml:space="preserve"> CONCATENATE( MID(Table15[[#This Row],[PHASE]],2,3), MID(Table15[[#This Row],[DELIVERABLE]],2,4), TRIM(SUBSTITUTE(MID(Table15[[#This Row],[CONCERN.ID]],2,20),"","") )  )</f>
        <v>08.461.5813.00.0000</v>
      </c>
      <c r="F675" t="str">
        <f>TRIM(MID(Table15[[#This Row],[CONCERN.UNIQUEPATH]], IF( ISNUMBER( SEARCH("/",Table15[[#This Row],[CONCERN.UNIQUEPATH]])),SEARCH("/",Table15[[#This Row],[CONCERN.UNIQUEPATH]])+1,1),255))</f>
        <v>Security/Accountability/All Notification Metadata</v>
      </c>
    </row>
    <row r="676" spans="1:7">
      <c r="A676" t="s">
        <v>1969</v>
      </c>
      <c r="B676" t="s">
        <v>2246</v>
      </c>
      <c r="C676" s="29" t="s">
        <v>4776</v>
      </c>
      <c r="D676" s="27" t="s">
        <v>175</v>
      </c>
      <c r="E676" t="str">
        <f xml:space="preserve"> CONCATENATE( MID(Table15[[#This Row],[PHASE]],2,3), MID(Table15[[#This Row],[DELIVERABLE]],2,4), TRIM(SUBSTITUTE(MID(Table15[[#This Row],[CONCERN.ID]],2,20),"","") )  )</f>
        <v>08.461.5820.00.0000</v>
      </c>
      <c r="F676" t="str">
        <f>TRIM(MID(Table15[[#This Row],[CONCERN.UNIQUEPATH]], IF( ISNUMBER( SEARCH("/",Table15[[#This Row],[CONCERN.UNIQUEPATH]])),SEARCH("/",Table15[[#This Row],[CONCERN.UNIQUEPATH]])+1,1),255))</f>
        <v>Security/Authenticity</v>
      </c>
    </row>
    <row r="677" spans="1:7">
      <c r="A677" t="s">
        <v>1969</v>
      </c>
      <c r="B677" t="s">
        <v>2246</v>
      </c>
      <c r="C677" s="30" t="s">
        <v>4777</v>
      </c>
      <c r="D677" s="26" t="s">
        <v>1017</v>
      </c>
      <c r="E677" s="45" t="str">
        <f xml:space="preserve"> CONCATENATE( MID(Table15[[#This Row],[PHASE]],2,3), MID(Table15[[#This Row],[DELIVERABLE]],2,4), TRIM(SUBSTITUTE(MID(Table15[[#This Row],[CONCERN.ID]],2,20),"","") )  )</f>
        <v>08.461.5830.00.0000</v>
      </c>
      <c r="F677" t="str">
        <f>TRIM(MID(Table15[[#This Row],[CONCERN.UNIQUEPATH]], IF( ISNUMBER( SEARCH("/",Table15[[#This Row],[CONCERN.UNIQUEPATH]])),SEARCH("/",Table15[[#This Row],[CONCERN.UNIQUEPATH]])+1,1),255))</f>
        <v>Security/Confidentiality</v>
      </c>
    </row>
    <row r="678" spans="1:7">
      <c r="A678" t="s">
        <v>1969</v>
      </c>
      <c r="B678" t="s">
        <v>2246</v>
      </c>
      <c r="C678" s="29" t="s">
        <v>4778</v>
      </c>
      <c r="D678" s="27" t="s">
        <v>4779</v>
      </c>
      <c r="E678" t="str">
        <f xml:space="preserve"> CONCATENATE( MID(Table15[[#This Row],[PHASE]],2,3), MID(Table15[[#This Row],[DELIVERABLE]],2,4), TRIM(SUBSTITUTE(MID(Table15[[#This Row],[CONCERN.ID]],2,20),"","") )  )</f>
        <v>08.461.5831.00.0000</v>
      </c>
      <c r="F678" t="str">
        <f>TRIM(MID(Table15[[#This Row],[CONCERN.UNIQUEPATH]], IF( ISNUMBER( SEARCH("/",Table15[[#This Row],[CONCERN.UNIQUEPATH]])),SEARCH("/",Table15[[#This Row],[CONCERN.UNIQUEPATH]])+1,1),255))</f>
        <v>Security/Confidentiality/At Rest</v>
      </c>
      <c r="G678" t="s">
        <v>4780</v>
      </c>
    </row>
    <row r="679" spans="1:7">
      <c r="A679" t="s">
        <v>1969</v>
      </c>
      <c r="B679" t="s">
        <v>2246</v>
      </c>
      <c r="C679" s="31" t="s">
        <v>4781</v>
      </c>
      <c r="D679" s="26" t="s">
        <v>4782</v>
      </c>
      <c r="E679" s="45" t="str">
        <f xml:space="preserve"> CONCATENATE( MID(Table15[[#This Row],[PHASE]],2,3), MID(Table15[[#This Row],[DELIVERABLE]],2,4), TRIM(SUBSTITUTE(MID(Table15[[#This Row],[CONCERN.ID]],2,20),"","") )  )</f>
        <v>08.461.5831.01.0000</v>
      </c>
      <c r="F679" t="str">
        <f>TRIM(MID(Table15[[#This Row],[CONCERN.UNIQUEPATH]], IF( ISNUMBER( SEARCH("/",Table15[[#This Row],[CONCERN.UNIQUEPATH]])),SEARCH("/",Table15[[#This Row],[CONCERN.UNIQUEPATH]])+1,1),255))</f>
        <v>Security/Confidentiality/At Rest/Insecure Devices</v>
      </c>
    </row>
    <row r="680" spans="1:7">
      <c r="A680" t="s">
        <v>1969</v>
      </c>
      <c r="B680" t="s">
        <v>2246</v>
      </c>
      <c r="C680" s="32" t="s">
        <v>4783</v>
      </c>
      <c r="D680" s="27" t="s">
        <v>4784</v>
      </c>
      <c r="E680" t="str">
        <f xml:space="preserve"> CONCATENATE( MID(Table15[[#This Row],[PHASE]],2,3), MID(Table15[[#This Row],[DELIVERABLE]],2,4), TRIM(SUBSTITUTE(MID(Table15[[#This Row],[CONCERN.ID]],2,20),"","") )  )</f>
        <v>08.461.5831.02.0000</v>
      </c>
      <c r="F680" t="str">
        <f>TRIM(MID(Table15[[#This Row],[CONCERN.UNIQUEPATH]], IF( ISNUMBER( SEARCH("/",Table15[[#This Row],[CONCERN.UNIQUEPATH]])),SEARCH("/",Table15[[#This Row],[CONCERN.UNIQUEPATH]])+1,1),255))</f>
        <v>Security/Confidentiality/At Rest/Scrubbed Diagnostics Records</v>
      </c>
    </row>
    <row r="681" spans="1:7">
      <c r="A681" t="s">
        <v>1969</v>
      </c>
      <c r="B681" t="s">
        <v>2246</v>
      </c>
      <c r="C681" s="31" t="s">
        <v>4785</v>
      </c>
      <c r="D681" s="26" t="s">
        <v>4786</v>
      </c>
      <c r="E681" s="45" t="str">
        <f xml:space="preserve"> CONCATENATE( MID(Table15[[#This Row],[PHASE]],2,3), MID(Table15[[#This Row],[DELIVERABLE]],2,4), TRIM(SUBSTITUTE(MID(Table15[[#This Row],[CONCERN.ID]],2,20),"","") )  )</f>
        <v>08.461.5831.03.0000</v>
      </c>
      <c r="F681" t="str">
        <f>TRIM(MID(Table15[[#This Row],[CONCERN.UNIQUEPATH]], IF( ISNUMBER( SEARCH("/",Table15[[#This Row],[CONCERN.UNIQUEPATH]])),SEARCH("/",Table15[[#This Row],[CONCERN.UNIQUEPATH]])+1,1),255))</f>
        <v>Security/Confidentiality/At Rest/Encrypted Network Connections</v>
      </c>
    </row>
    <row r="682" spans="1:7">
      <c r="A682" t="s">
        <v>1969</v>
      </c>
      <c r="B682" t="s">
        <v>2246</v>
      </c>
      <c r="C682" s="32" t="s">
        <v>4787</v>
      </c>
      <c r="D682" s="27" t="s">
        <v>4788</v>
      </c>
      <c r="E682" t="str">
        <f xml:space="preserve"> CONCATENATE( MID(Table15[[#This Row],[PHASE]],2,3), MID(Table15[[#This Row],[DELIVERABLE]],2,4), TRIM(SUBSTITUTE(MID(Table15[[#This Row],[CONCERN.ID]],2,20),"","") )  )</f>
        <v>08.461.5831.04.0000</v>
      </c>
      <c r="F682" t="str">
        <f>TRIM(MID(Table15[[#This Row],[CONCERN.UNIQUEPATH]], IF( ISNUMBER( SEARCH("/",Table15[[#This Row],[CONCERN.UNIQUEPATH]])),SEARCH("/",Table15[[#This Row],[CONCERN.UNIQUEPATH]])+1,1),255))</f>
        <v>Security/Confidentiality/At Rest/Scrubbed Eception Records</v>
      </c>
    </row>
    <row r="683" spans="1:7">
      <c r="A683" t="s">
        <v>1969</v>
      </c>
      <c r="B683" t="s">
        <v>2246</v>
      </c>
      <c r="C683" s="31" t="s">
        <v>4789</v>
      </c>
      <c r="D683" s="26" t="s">
        <v>4790</v>
      </c>
      <c r="E683" s="45" t="str">
        <f xml:space="preserve"> CONCATENATE( MID(Table15[[#This Row],[PHASE]],2,3), MID(Table15[[#This Row],[DELIVERABLE]],2,4), TRIM(SUBSTITUTE(MID(Table15[[#This Row],[CONCERN.ID]],2,20),"","") )  )</f>
        <v>08.461.5831.05.0000</v>
      </c>
      <c r="F683" t="str">
        <f>TRIM(MID(Table15[[#This Row],[CONCERN.UNIQUEPATH]], IF( ISNUMBER( SEARCH("/",Table15[[#This Row],[CONCERN.UNIQUEPATH]])),SEARCH("/",Table15[[#This Row],[CONCERN.UNIQUEPATH]])+1,1),255))</f>
        <v>Security/Confidentiality/At Rest/Test with Test Data</v>
      </c>
    </row>
    <row r="684" spans="1:7">
      <c r="A684" t="s">
        <v>1969</v>
      </c>
      <c r="B684" t="s">
        <v>2246</v>
      </c>
      <c r="C684" s="32" t="s">
        <v>4791</v>
      </c>
      <c r="D684" s="27" t="s">
        <v>4792</v>
      </c>
      <c r="E684" t="str">
        <f xml:space="preserve"> CONCATENATE( MID(Table15[[#This Row],[PHASE]],2,3), MID(Table15[[#This Row],[DELIVERABLE]],2,4), TRIM(SUBSTITUTE(MID(Table15[[#This Row],[CONCERN.ID]],2,20),"","") )  )</f>
        <v>08.461.5831.06.0000</v>
      </c>
      <c r="F684" t="str">
        <f>TRIM(MID(Table15[[#This Row],[CONCERN.UNIQUEPATH]], IF( ISNUMBER( SEARCH("/",Table15[[#This Row],[CONCERN.UNIQUEPATH]])),SEARCH("/",Table15[[#This Row],[CONCERN.UNIQUEPATH]])+1,1),255))</f>
        <v>Security/Confidentiality/At Rest/Encrypted Storage</v>
      </c>
    </row>
    <row r="685" spans="1:7">
      <c r="A685" t="s">
        <v>1969</v>
      </c>
      <c r="B685" t="s">
        <v>2246</v>
      </c>
      <c r="C685" s="31" t="s">
        <v>4793</v>
      </c>
      <c r="D685" s="26" t="s">
        <v>4794</v>
      </c>
      <c r="E685" s="45" t="str">
        <f xml:space="preserve"> CONCATENATE( MID(Table15[[#This Row],[PHASE]],2,3), MID(Table15[[#This Row],[DELIVERABLE]],2,4), TRIM(SUBSTITUTE(MID(Table15[[#This Row],[CONCERN.ID]],2,20),"","") )  )</f>
        <v>08.461.5831.07.0000</v>
      </c>
      <c r="F685" t="str">
        <f>TRIM(MID(Table15[[#This Row],[CONCERN.UNIQUEPATH]], IF( ISNUMBER( SEARCH("/",Table15[[#This Row],[CONCERN.UNIQUEPATH]])),SEARCH("/",Table15[[#This Row],[CONCERN.UNIQUEPATH]])+1,1),255))</f>
        <v>Security/Confidentiality/At Rest/Messages</v>
      </c>
    </row>
    <row r="686" spans="1:7">
      <c r="A686" t="s">
        <v>1969</v>
      </c>
      <c r="B686" t="s">
        <v>2246</v>
      </c>
      <c r="C686" s="32" t="s">
        <v>4795</v>
      </c>
      <c r="D686" s="27" t="s">
        <v>4796</v>
      </c>
      <c r="E686" t="str">
        <f xml:space="preserve"> CONCATENATE( MID(Table15[[#This Row],[PHASE]],2,3), MID(Table15[[#This Row],[DELIVERABLE]],2,4), TRIM(SUBSTITUTE(MID(Table15[[#This Row],[CONCERN.ID]],2,20),"","") )  )</f>
        <v>08.461.5831.08.0000</v>
      </c>
      <c r="F686" t="str">
        <f>TRIM(MID(Table15[[#This Row],[CONCERN.UNIQUEPATH]], IF( ISNUMBER( SEARCH("/",Table15[[#This Row],[CONCERN.UNIQUEPATH]])),SEARCH("/",Table15[[#This Row],[CONCERN.UNIQUEPATH]])+1,1),255))</f>
        <v>Security/Confidentiality/At Rest/Secure Storage</v>
      </c>
    </row>
    <row r="687" spans="1:7">
      <c r="A687" t="s">
        <v>1969</v>
      </c>
      <c r="B687" t="s">
        <v>2246</v>
      </c>
      <c r="C687" s="36" t="s">
        <v>4797</v>
      </c>
      <c r="D687" s="26" t="s">
        <v>4798</v>
      </c>
      <c r="E687" s="45" t="str">
        <f xml:space="preserve"> CONCATENATE( MID(Table15[[#This Row],[PHASE]],2,3), MID(Table15[[#This Row],[DELIVERABLE]],2,4), TRIM(SUBSTITUTE(MID(Table15[[#This Row],[CONCERN.ID]],2,20),"","") )  )</f>
        <v>08.461.5831.08.1000</v>
      </c>
      <c r="F687" t="str">
        <f>TRIM(MID(Table15[[#This Row],[CONCERN.UNIQUEPATH]], IF( ISNUMBER( SEARCH("/",Table15[[#This Row],[CONCERN.UNIQUEPATH]])),SEARCH("/",Table15[[#This Row],[CONCERN.UNIQUEPATH]])+1,1),255))</f>
        <v>Security/Confidentiality/At Rest/Secure Storage/Credentials</v>
      </c>
    </row>
    <row r="688" spans="1:7">
      <c r="A688" t="s">
        <v>1969</v>
      </c>
      <c r="B688" t="s">
        <v>2246</v>
      </c>
      <c r="C688" s="29" t="s">
        <v>4799</v>
      </c>
      <c r="D688" s="27" t="s">
        <v>4800</v>
      </c>
      <c r="E688" t="str">
        <f xml:space="preserve"> CONCATENATE( MID(Table15[[#This Row],[PHASE]],2,3), MID(Table15[[#This Row],[DELIVERABLE]],2,4), TRIM(SUBSTITUTE(MID(Table15[[#This Row],[CONCERN.ID]],2,20),"","") )  )</f>
        <v>08.461.5832.00.0000</v>
      </c>
      <c r="F688" t="str">
        <f>TRIM(MID(Table15[[#This Row],[CONCERN.UNIQUEPATH]], IF( ISNUMBER( SEARCH("/",Table15[[#This Row],[CONCERN.UNIQUEPATH]])),SEARCH("/",Table15[[#This Row],[CONCERN.UNIQUEPATH]])+1,1),255))</f>
        <v>Security/Confidentiality/In Transit</v>
      </c>
      <c r="G688" t="s">
        <v>4801</v>
      </c>
    </row>
    <row r="689" spans="1:7">
      <c r="A689" t="s">
        <v>1969</v>
      </c>
      <c r="B689" t="s">
        <v>2246</v>
      </c>
      <c r="C689" s="31" t="s">
        <v>4802</v>
      </c>
      <c r="D689" s="26" t="s">
        <v>4803</v>
      </c>
      <c r="E689" s="45" t="str">
        <f xml:space="preserve"> CONCATENATE( MID(Table15[[#This Row],[PHASE]],2,3), MID(Table15[[#This Row],[DELIVERABLE]],2,4), TRIM(SUBSTITUTE(MID(Table15[[#This Row],[CONCERN.ID]],2,20),"","") )  )</f>
        <v>08.461.5832.01.0000</v>
      </c>
      <c r="F689" t="str">
        <f>TRIM(MID(Table15[[#This Row],[CONCERN.UNIQUEPATH]], IF( ISNUMBER( SEARCH("/",Table15[[#This Row],[CONCERN.UNIQUEPATH]])),SEARCH("/",Table15[[#This Row],[CONCERN.UNIQUEPATH]])+1,1),255))</f>
        <v>Security/Confidentiality/In Transit/HTTP Redirects to HTTPS</v>
      </c>
    </row>
    <row r="690" spans="1:7">
      <c r="A690" t="s">
        <v>1969</v>
      </c>
      <c r="B690" t="s">
        <v>2246</v>
      </c>
      <c r="C690" s="32" t="s">
        <v>4804</v>
      </c>
      <c r="D690" s="27" t="s">
        <v>4805</v>
      </c>
      <c r="E690" t="str">
        <f xml:space="preserve"> CONCATENATE( MID(Table15[[#This Row],[PHASE]],2,3), MID(Table15[[#This Row],[DELIVERABLE]],2,4), TRIM(SUBSTITUTE(MID(Table15[[#This Row],[CONCERN.ID]],2,20),"","") )  )</f>
        <v>08.461.5832.02.0000</v>
      </c>
      <c r="F690" t="str">
        <f>TRIM(MID(Table15[[#This Row],[CONCERN.UNIQUEPATH]], IF( ISNUMBER( SEARCH("/",Table15[[#This Row],[CONCERN.UNIQUEPATH]])),SEARCH("/",Table15[[#This Row],[CONCERN.UNIQUEPATH]])+1,1),255))</f>
        <v>Security/Confidentiality/In Transit/Secured Environments (ISO-27001,2)</v>
      </c>
    </row>
    <row r="691" spans="1:7">
      <c r="A691" t="s">
        <v>1969</v>
      </c>
      <c r="B691" t="s">
        <v>2246</v>
      </c>
      <c r="C691" s="31" t="s">
        <v>4806</v>
      </c>
      <c r="D691" s="26" t="s">
        <v>4807</v>
      </c>
      <c r="E691" s="45" t="str">
        <f xml:space="preserve"> CONCATENATE( MID(Table15[[#This Row],[PHASE]],2,3), MID(Table15[[#This Row],[DELIVERABLE]],2,4), TRIM(SUBSTITUTE(MID(Table15[[#This Row],[CONCERN.ID]],2,20),"","") )  )</f>
        <v>08.461.5832.03.0000</v>
      </c>
      <c r="F691" t="str">
        <f>TRIM(MID(Table15[[#This Row],[CONCERN.UNIQUEPATH]], IF( ISNUMBER( SEARCH("/",Table15[[#This Row],[CONCERN.UNIQUEPATH]])),SEARCH("/",Table15[[#This Row],[CONCERN.UNIQUEPATH]])+1,1),255))</f>
        <v>Security/Confidentiality/In Transit/Storage Primary Keys are not eposed outside system</v>
      </c>
    </row>
    <row r="692" spans="1:7">
      <c r="A692" t="s">
        <v>1969</v>
      </c>
      <c r="B692" t="s">
        <v>2246</v>
      </c>
      <c r="C692" s="32" t="s">
        <v>4808</v>
      </c>
      <c r="D692" s="27" t="s">
        <v>4809</v>
      </c>
      <c r="E692" t="str">
        <f xml:space="preserve"> CONCATENATE( MID(Table15[[#This Row],[PHASE]],2,3), MID(Table15[[#This Row],[DELIVERABLE]],2,4), TRIM(SUBSTITUTE(MID(Table15[[#This Row],[CONCERN.ID]],2,20),"","") )  )</f>
        <v>08.461.5832.04.0000</v>
      </c>
      <c r="F692" t="str">
        <f>TRIM(MID(Table15[[#This Row],[CONCERN.UNIQUEPATH]], IF( ISNUMBER( SEARCH("/",Table15[[#This Row],[CONCERN.UNIQUEPATH]])),SEARCH("/",Table15[[#This Row],[CONCERN.UNIQUEPATH]])+1,1),255))</f>
        <v>Security/Confidentiality/In Transit/Messages</v>
      </c>
    </row>
    <row r="693" spans="1:7">
      <c r="A693" t="s">
        <v>1969</v>
      </c>
      <c r="B693" t="s">
        <v>2246</v>
      </c>
      <c r="C693" s="30" t="s">
        <v>4810</v>
      </c>
      <c r="D693" s="26" t="s">
        <v>4811</v>
      </c>
      <c r="E693" s="45" t="str">
        <f xml:space="preserve"> CONCATENATE( MID(Table15[[#This Row],[PHASE]],2,3), MID(Table15[[#This Row],[DELIVERABLE]],2,4), TRIM(SUBSTITUTE(MID(Table15[[#This Row],[CONCERN.ID]],2,20),"","") )  )</f>
        <v>08.461.5833.00.0000</v>
      </c>
      <c r="F693" t="str">
        <f>TRIM(MID(Table15[[#This Row],[CONCERN.UNIQUEPATH]], IF( ISNUMBER( SEARCH("/",Table15[[#This Row],[CONCERN.UNIQUEPATH]])),SEARCH("/",Table15[[#This Row],[CONCERN.UNIQUEPATH]])+1,1),255))</f>
        <v>Security/Confidentiality/Privacy</v>
      </c>
    </row>
    <row r="694" spans="1:7">
      <c r="A694" t="s">
        <v>1969</v>
      </c>
      <c r="B694" t="s">
        <v>2246</v>
      </c>
      <c r="C694" s="32" t="s">
        <v>4812</v>
      </c>
      <c r="D694" s="27" t="s">
        <v>4813</v>
      </c>
      <c r="E694" t="str">
        <f xml:space="preserve"> CONCATENATE( MID(Table15[[#This Row],[PHASE]],2,3), MID(Table15[[#This Row],[DELIVERABLE]],2,4), TRIM(SUBSTITUTE(MID(Table15[[#This Row],[CONCERN.ID]],2,20),"","") )  )</f>
        <v>08.461.5833.01.0000</v>
      </c>
      <c r="F694" t="str">
        <f>TRIM(MID(Table15[[#This Row],[CONCERN.UNIQUEPATH]], IF( ISNUMBER( SEARCH("/",Table15[[#This Row],[CONCERN.UNIQUEPATH]])),SEARCH("/",Table15[[#This Row],[CONCERN.UNIQUEPATH]])+1,1),255))</f>
        <v>Security/Confidentiality/Privacy/Versioned Statements</v>
      </c>
    </row>
    <row r="695" spans="1:7">
      <c r="A695" t="s">
        <v>1969</v>
      </c>
      <c r="B695" t="s">
        <v>2246</v>
      </c>
      <c r="C695" s="36" t="s">
        <v>4814</v>
      </c>
      <c r="D695" s="26" t="s">
        <v>4815</v>
      </c>
      <c r="E695" s="45" t="str">
        <f xml:space="preserve"> CONCATENATE( MID(Table15[[#This Row],[PHASE]],2,3), MID(Table15[[#This Row],[DELIVERABLE]],2,4), TRIM(SUBSTITUTE(MID(Table15[[#This Row],[CONCERN.ID]],2,20),"","") )  )</f>
        <v>08.461.5833.01.1000</v>
      </c>
      <c r="F695" t="str">
        <f>TRIM(MID(Table15[[#This Row],[CONCERN.UNIQUEPATH]], IF( ISNUMBER( SEARCH("/",Table15[[#This Row],[CONCERN.UNIQUEPATH]])),SEARCH("/",Table15[[#This Row],[CONCERN.UNIQUEPATH]])+1,1),255))</f>
        <v>Security/Confidentiality/Privacy/Versioned Statements/Correctability</v>
      </c>
    </row>
    <row r="696" spans="1:7">
      <c r="A696" t="s">
        <v>1969</v>
      </c>
      <c r="B696" t="s">
        <v>2246</v>
      </c>
      <c r="C696" s="33" t="s">
        <v>4816</v>
      </c>
      <c r="D696" s="27" t="s">
        <v>4817</v>
      </c>
      <c r="E696" t="str">
        <f xml:space="preserve"> CONCATENATE( MID(Table15[[#This Row],[PHASE]],2,3), MID(Table15[[#This Row],[DELIVERABLE]],2,4), TRIM(SUBSTITUTE(MID(Table15[[#This Row],[CONCERN.ID]],2,20),"","") )  )</f>
        <v>08.461.5833.01.2000</v>
      </c>
      <c r="F696" t="str">
        <f>TRIM(MID(Table15[[#This Row],[CONCERN.UNIQUEPATH]], IF( ISNUMBER( SEARCH("/",Table15[[#This Row],[CONCERN.UNIQUEPATH]])),SEARCH("/",Table15[[#This Row],[CONCERN.UNIQUEPATH]])+1,1),255))</f>
        <v>Security/Confidentiality/Privacy/Versioned Statements/Data-Use</v>
      </c>
    </row>
    <row r="697" spans="1:7">
      <c r="A697" t="s">
        <v>1969</v>
      </c>
      <c r="B697" t="s">
        <v>2246</v>
      </c>
      <c r="C697" s="36" t="s">
        <v>4818</v>
      </c>
      <c r="D697" s="26" t="s">
        <v>4819</v>
      </c>
      <c r="E697" s="45" t="str">
        <f xml:space="preserve"> CONCATENATE( MID(Table15[[#This Row],[PHASE]],2,3), MID(Table15[[#This Row],[DELIVERABLE]],2,4), TRIM(SUBSTITUTE(MID(Table15[[#This Row],[CONCERN.ID]],2,20),"","") )  )</f>
        <v>08.461.5833.01.3000</v>
      </c>
      <c r="F697" t="str">
        <f>TRIM(MID(Table15[[#This Row],[CONCERN.UNIQUEPATH]], IF( ISNUMBER( SEARCH("/",Table15[[#This Row],[CONCERN.UNIQUEPATH]])),SEARCH("/",Table15[[#This Row],[CONCERN.UNIQUEPATH]])+1,1),255))</f>
        <v>Security/Confidentiality/Privacy/Versioned Statements/Opt-Out</v>
      </c>
    </row>
    <row r="698" spans="1:7">
      <c r="A698" t="s">
        <v>1969</v>
      </c>
      <c r="B698" t="s">
        <v>2246</v>
      </c>
      <c r="C698" s="33" t="s">
        <v>4820</v>
      </c>
      <c r="D698" s="27" t="s">
        <v>4821</v>
      </c>
      <c r="E698" t="str">
        <f xml:space="preserve"> CONCATENATE( MID(Table15[[#This Row],[PHASE]],2,3), MID(Table15[[#This Row],[DELIVERABLE]],2,4), TRIM(SUBSTITUTE(MID(Table15[[#This Row],[CONCERN.ID]],2,20),"","") )  )</f>
        <v>08.461.5833.01.4000</v>
      </c>
      <c r="F698" t="str">
        <f>TRIM(MID(Table15[[#This Row],[CONCERN.UNIQUEPATH]], IF( ISNUMBER( SEARCH("/",Table15[[#This Row],[CONCERN.UNIQUEPATH]])),SEARCH("/",Table15[[#This Row],[CONCERN.UNIQUEPATH]])+1,1),255))</f>
        <v>Security/Confidentiality/Privacy/Versioned Statements/Tracking</v>
      </c>
    </row>
    <row r="699" spans="1:7">
      <c r="A699" t="s">
        <v>1969</v>
      </c>
      <c r="B699" t="s">
        <v>2246</v>
      </c>
      <c r="C699" s="30" t="s">
        <v>4822</v>
      </c>
      <c r="D699" s="26" t="s">
        <v>4823</v>
      </c>
      <c r="E699" s="45" t="str">
        <f xml:space="preserve"> CONCATENATE( MID(Table15[[#This Row],[PHASE]],2,3), MID(Table15[[#This Row],[DELIVERABLE]],2,4), TRIM(SUBSTITUTE(MID(Table15[[#This Row],[CONCERN.ID]],2,20),"","") )  )</f>
        <v>08.461.5834.00.0000</v>
      </c>
      <c r="F699" t="str">
        <f>TRIM(MID(Table15[[#This Row],[CONCERN.UNIQUEPATH]], IF( ISNUMBER( SEARCH("/",Table15[[#This Row],[CONCERN.UNIQUEPATH]])),SEARCH("/",Table15[[#This Row],[CONCERN.UNIQUEPATH]])+1,1),255))</f>
        <v>Security/Confidentiality/Decommissioning</v>
      </c>
      <c r="G699" t="s">
        <v>4824</v>
      </c>
    </row>
    <row r="700" spans="1:7">
      <c r="A700" t="s">
        <v>1969</v>
      </c>
      <c r="B700" t="s">
        <v>2246</v>
      </c>
      <c r="C700" s="32" t="s">
        <v>4825</v>
      </c>
      <c r="D700" s="27" t="s">
        <v>4826</v>
      </c>
      <c r="E700" t="str">
        <f xml:space="preserve"> CONCATENATE( MID(Table15[[#This Row],[PHASE]],2,3), MID(Table15[[#This Row],[DELIVERABLE]],2,4), TRIM(SUBSTITUTE(MID(Table15[[#This Row],[CONCERN.ID]],2,20),"","") )  )</f>
        <v>08.461.5834.01.0000</v>
      </c>
      <c r="F700" t="str">
        <f>TRIM(MID(Table15[[#This Row],[CONCERN.UNIQUEPATH]], IF( ISNUMBER( SEARCH("/",Table15[[#This Row],[CONCERN.UNIQUEPATH]])),SEARCH("/",Table15[[#This Row],[CONCERN.UNIQUEPATH]])+1,1),255))</f>
        <v>Security/Confidentiality/Decommissioning/Secure Deletion</v>
      </c>
    </row>
    <row r="701" spans="1:7">
      <c r="A701" t="s">
        <v>1969</v>
      </c>
      <c r="B701" t="s">
        <v>2246</v>
      </c>
      <c r="C701" s="30" t="s">
        <v>4827</v>
      </c>
      <c r="D701" s="26" t="s">
        <v>999</v>
      </c>
      <c r="E701" s="45" t="str">
        <f xml:space="preserve"> CONCATENATE( MID(Table15[[#This Row],[PHASE]],2,3), MID(Table15[[#This Row],[DELIVERABLE]],2,4), TRIM(SUBSTITUTE(MID(Table15[[#This Row],[CONCERN.ID]],2,20),"","") )  )</f>
        <v>08.461.5840.00.0000</v>
      </c>
      <c r="F701" t="str">
        <f>TRIM(MID(Table15[[#This Row],[CONCERN.UNIQUEPATH]], IF( ISNUMBER( SEARCH("/",Table15[[#This Row],[CONCERN.UNIQUEPATH]])),SEARCH("/",Table15[[#This Row],[CONCERN.UNIQUEPATH]])+1,1),255))</f>
        <v>Security/Integrity</v>
      </c>
    </row>
    <row r="702" spans="1:7">
      <c r="A702" t="s">
        <v>1969</v>
      </c>
      <c r="B702" t="s">
        <v>2246</v>
      </c>
      <c r="C702" s="37" t="s">
        <v>4828</v>
      </c>
      <c r="D702" s="27" t="s">
        <v>4829</v>
      </c>
      <c r="E702" t="str">
        <f xml:space="preserve"> CONCATENATE( MID(Table15[[#This Row],[PHASE]],2,3), MID(Table15[[#This Row],[DELIVERABLE]],2,4), TRIM(SUBSTITUTE(MID(Table15[[#This Row],[CONCERN.ID]],2,20),"","") )  )</f>
        <v>08.461.5841.00.0000</v>
      </c>
      <c r="F702" t="str">
        <f>TRIM(MID(Table15[[#This Row],[CONCERN.UNIQUEPATH]], IF( ISNUMBER( SEARCH("/",Table15[[#This Row],[CONCERN.UNIQUEPATH]])),SEARCH("/",Table15[[#This Row],[CONCERN.UNIQUEPATH]])+1,1),255))</f>
        <v>Security/Integrity/Cookies</v>
      </c>
      <c r="G702" t="s">
        <v>4830</v>
      </c>
    </row>
    <row r="703" spans="1:7">
      <c r="A703" t="s">
        <v>1969</v>
      </c>
      <c r="B703" t="s">
        <v>2246</v>
      </c>
      <c r="C703" s="31" t="s">
        <v>4831</v>
      </c>
      <c r="D703" s="26" t="s">
        <v>4832</v>
      </c>
      <c r="E703" s="45" t="str">
        <f xml:space="preserve"> CONCATENATE( MID(Table15[[#This Row],[PHASE]],2,3), MID(Table15[[#This Row],[DELIVERABLE]],2,4), TRIM(SUBSTITUTE(MID(Table15[[#This Row],[CONCERN.ID]],2,20),"","") )  )</f>
        <v>08.461.5841.01.0000</v>
      </c>
      <c r="F703" t="str">
        <f>TRIM(MID(Table15[[#This Row],[CONCERN.UNIQUEPATH]], IF( ISNUMBER( SEARCH("/",Table15[[#This Row],[CONCERN.UNIQUEPATH]])),SEARCH("/",Table15[[#This Row],[CONCERN.UNIQUEPATH]])+1,1),255))</f>
        <v>Security/Integrity/Cookies/HTTPS</v>
      </c>
    </row>
    <row r="704" spans="1:7">
      <c r="A704" t="s">
        <v>1969</v>
      </c>
      <c r="B704" t="s">
        <v>2246</v>
      </c>
      <c r="C704" s="32" t="s">
        <v>4833</v>
      </c>
      <c r="D704" s="27" t="s">
        <v>4834</v>
      </c>
      <c r="E704" t="str">
        <f xml:space="preserve"> CONCATENATE( MID(Table15[[#This Row],[PHASE]],2,3), MID(Table15[[#This Row],[DELIVERABLE]],2,4), TRIM(SUBSTITUTE(MID(Table15[[#This Row],[CONCERN.ID]],2,20),"","") )  )</f>
        <v>08.461.5841.02.0000</v>
      </c>
      <c r="F704" t="str">
        <f>TRIM(MID(Table15[[#This Row],[CONCERN.UNIQUEPATH]], IF( ISNUMBER( SEARCH("/",Table15[[#This Row],[CONCERN.UNIQUEPATH]])),SEARCH("/",Table15[[#This Row],[CONCERN.UNIQUEPATH]])+1,1),255))</f>
        <v>Security/Integrity/Cookies/Secure</v>
      </c>
    </row>
    <row r="705" spans="1:7">
      <c r="A705" t="s">
        <v>1969</v>
      </c>
      <c r="B705" t="s">
        <v>2246</v>
      </c>
      <c r="C705" s="30" t="s">
        <v>4835</v>
      </c>
      <c r="D705" s="26" t="s">
        <v>4836</v>
      </c>
      <c r="E705" s="45" t="str">
        <f xml:space="preserve"> CONCATENATE( MID(Table15[[#This Row],[PHASE]],2,3), MID(Table15[[#This Row],[DELIVERABLE]],2,4), TRIM(SUBSTITUTE(MID(Table15[[#This Row],[CONCERN.ID]],2,20),"","") )  )</f>
        <v>08.461.5842.00.0000</v>
      </c>
      <c r="F705" t="str">
        <f>TRIM(MID(Table15[[#This Row],[CONCERN.UNIQUEPATH]], IF( ISNUMBER( SEARCH("/",Table15[[#This Row],[CONCERN.UNIQUEPATH]])),SEARCH("/",Table15[[#This Row],[CONCERN.UNIQUEPATH]])+1,1),255))</f>
        <v>Security/Integrity/Certificates</v>
      </c>
      <c r="G705" t="s">
        <v>4837</v>
      </c>
    </row>
    <row r="706" spans="1:7">
      <c r="A706" t="s">
        <v>1969</v>
      </c>
      <c r="B706" t="s">
        <v>2246</v>
      </c>
      <c r="C706" s="32" t="s">
        <v>4838</v>
      </c>
      <c r="D706" s="27" t="s">
        <v>4839</v>
      </c>
      <c r="E706" t="str">
        <f xml:space="preserve"> CONCATENATE( MID(Table15[[#This Row],[PHASE]],2,3), MID(Table15[[#This Row],[DELIVERABLE]],2,4), TRIM(SUBSTITUTE(MID(Table15[[#This Row],[CONCERN.ID]],2,20),"","") )  )</f>
        <v>08.461.5842.01.0000</v>
      </c>
      <c r="F706" t="str">
        <f>TRIM(MID(Table15[[#This Row],[CONCERN.UNIQUEPATH]], IF( ISNUMBER( SEARCH("/",Table15[[#This Row],[CONCERN.UNIQUEPATH]])),SEARCH("/",Table15[[#This Row],[CONCERN.UNIQUEPATH]])+1,1),255))</f>
        <v>Security/Integrity/Certificates/ShortLived</v>
      </c>
    </row>
    <row r="707" spans="1:7">
      <c r="A707" t="s">
        <v>1969</v>
      </c>
      <c r="B707" t="s">
        <v>2246</v>
      </c>
      <c r="C707" s="30" t="s">
        <v>4840</v>
      </c>
      <c r="D707" s="26" t="s">
        <v>4841</v>
      </c>
      <c r="E707" s="45" t="str">
        <f xml:space="preserve"> CONCATENATE( MID(Table15[[#This Row],[PHASE]],2,3), MID(Table15[[#This Row],[DELIVERABLE]],2,4), TRIM(SUBSTITUTE(MID(Table15[[#This Row],[CONCERN.ID]],2,20),"","") )  )</f>
        <v>08.461.5843.00.0000</v>
      </c>
      <c r="F707" t="str">
        <f>TRIM(MID(Table15[[#This Row],[CONCERN.UNIQUEPATH]], IF( ISNUMBER( SEARCH("/",Table15[[#This Row],[CONCERN.UNIQUEPATH]])),SEARCH("/",Table15[[#This Row],[CONCERN.UNIQUEPATH]])+1,1),255))</f>
        <v>Security/Integrity/Tokens</v>
      </c>
      <c r="G707" t="s">
        <v>4842</v>
      </c>
    </row>
    <row r="708" spans="1:7">
      <c r="A708" t="s">
        <v>1969</v>
      </c>
      <c r="B708" t="s">
        <v>2246</v>
      </c>
      <c r="C708" s="32" t="s">
        <v>4843</v>
      </c>
      <c r="D708" s="27" t="s">
        <v>4844</v>
      </c>
      <c r="E708" t="str">
        <f xml:space="preserve"> CONCATENATE( MID(Table15[[#This Row],[PHASE]],2,3), MID(Table15[[#This Row],[DELIVERABLE]],2,4), TRIM(SUBSTITUTE(MID(Table15[[#This Row],[CONCERN.ID]],2,20),"","") )  )</f>
        <v>08.461.5843.01.0000</v>
      </c>
      <c r="F708" t="str">
        <f>TRIM(MID(Table15[[#This Row],[CONCERN.UNIQUEPATH]], IF( ISNUMBER( SEARCH("/",Table15[[#This Row],[CONCERN.UNIQUEPATH]])),SEARCH("/",Table15[[#This Row],[CONCERN.UNIQUEPATH]])+1,1),255))</f>
        <v>Security/Integrity/Tokens/Cryptographically Signed Identity Tokens</v>
      </c>
    </row>
    <row r="709" spans="1:7">
      <c r="A709" t="s">
        <v>1969</v>
      </c>
      <c r="B709" t="s">
        <v>2246</v>
      </c>
      <c r="C709" s="31" t="s">
        <v>4845</v>
      </c>
      <c r="D709" s="26" t="s">
        <v>4846</v>
      </c>
      <c r="E709" s="45" t="str">
        <f xml:space="preserve"> CONCATENATE( MID(Table15[[#This Row],[PHASE]],2,3), MID(Table15[[#This Row],[DELIVERABLE]],2,4), TRIM(SUBSTITUTE(MID(Table15[[#This Row],[CONCERN.ID]],2,20),"","") )  )</f>
        <v>08.461.5843.02.0000</v>
      </c>
      <c r="F709" t="str">
        <f>TRIM(MID(Table15[[#This Row],[CONCERN.UNIQUEPATH]], IF( ISNUMBER( SEARCH("/",Table15[[#This Row],[CONCERN.UNIQUEPATH]])),SEARCH("/",Table15[[#This Row],[CONCERN.UNIQUEPATH]])+1,1),255))</f>
        <v>Security/Integrity/Tokens/Cryptographically Signed Session Tokens</v>
      </c>
    </row>
    <row r="710" spans="1:7">
      <c r="A710" t="s">
        <v>1969</v>
      </c>
      <c r="B710" t="s">
        <v>2246</v>
      </c>
      <c r="C710" s="29" t="s">
        <v>4847</v>
      </c>
      <c r="D710" s="27" t="s">
        <v>4848</v>
      </c>
      <c r="E710" t="str">
        <f xml:space="preserve"> CONCATENATE( MID(Table15[[#This Row],[PHASE]],2,3), MID(Table15[[#This Row],[DELIVERABLE]],2,4), TRIM(SUBSTITUTE(MID(Table15[[#This Row],[CONCERN.ID]],2,20),"","") )  )</f>
        <v>08.461.5844.00.0000</v>
      </c>
      <c r="F710" t="str">
        <f>TRIM(MID(Table15[[#This Row],[CONCERN.UNIQUEPATH]], IF( ISNUMBER( SEARCH("/",Table15[[#This Row],[CONCERN.UNIQUEPATH]])),SEARCH("/",Table15[[#This Row],[CONCERN.UNIQUEPATH]])+1,1),255))</f>
        <v>Security/Integrity/Records</v>
      </c>
      <c r="G710" t="s">
        <v>4849</v>
      </c>
    </row>
    <row r="711" spans="1:7">
      <c r="A711" t="s">
        <v>1969</v>
      </c>
      <c r="B711" t="s">
        <v>2246</v>
      </c>
      <c r="C711" s="31" t="s">
        <v>4850</v>
      </c>
      <c r="D711" s="26" t="s">
        <v>4851</v>
      </c>
      <c r="E711" s="45" t="str">
        <f xml:space="preserve"> CONCATENATE( MID(Table15[[#This Row],[PHASE]],2,3), MID(Table15[[#This Row],[DELIVERABLE]],2,4), TRIM(SUBSTITUTE(MID(Table15[[#This Row],[CONCERN.ID]],2,20),"","") )  )</f>
        <v>08.461.5844.01.0000</v>
      </c>
      <c r="F711" t="str">
        <f>TRIM(MID(Table15[[#This Row],[CONCERN.UNIQUEPATH]], IF( ISNUMBER( SEARCH("/",Table15[[#This Row],[CONCERN.UNIQUEPATH]])),SEARCH("/",Table15[[#This Row],[CONCERN.UNIQUEPATH]])+1,1),255))</f>
        <v>Security/Integrity/Records/Cryptographically Signed Audit Records</v>
      </c>
    </row>
    <row r="712" spans="1:7">
      <c r="A712" t="s">
        <v>1969</v>
      </c>
      <c r="B712" t="s">
        <v>2246</v>
      </c>
      <c r="C712" s="29" t="s">
        <v>4852</v>
      </c>
      <c r="D712" s="27" t="s">
        <v>4853</v>
      </c>
      <c r="E712" t="str">
        <f xml:space="preserve"> CONCATENATE( MID(Table15[[#This Row],[PHASE]],2,3), MID(Table15[[#This Row],[DELIVERABLE]],2,4), TRIM(SUBSTITUTE(MID(Table15[[#This Row],[CONCERN.ID]],2,20),"","") )  )</f>
        <v>08.461.5845.00.0000</v>
      </c>
      <c r="F712" t="str">
        <f>TRIM(MID(Table15[[#This Row],[CONCERN.UNIQUEPATH]], IF( ISNUMBER( SEARCH("/",Table15[[#This Row],[CONCERN.UNIQUEPATH]])),SEARCH("/",Table15[[#This Row],[CONCERN.UNIQUEPATH]])+1,1),255))</f>
        <v>Security/Integrity/Custom/Components</v>
      </c>
    </row>
    <row r="713" spans="1:7">
      <c r="A713" t="s">
        <v>1969</v>
      </c>
      <c r="B713" t="s">
        <v>2246</v>
      </c>
      <c r="C713" s="30" t="s">
        <v>4854</v>
      </c>
      <c r="D713" s="26" t="s">
        <v>4855</v>
      </c>
      <c r="E713" s="45" t="str">
        <f xml:space="preserve"> CONCATENATE( MID(Table15[[#This Row],[PHASE]],2,3), MID(Table15[[#This Row],[DELIVERABLE]],2,4), TRIM(SUBSTITUTE(MID(Table15[[#This Row],[CONCERN.ID]],2,20),"","") )  )</f>
        <v>08.461.5846.00.0000</v>
      </c>
      <c r="F713" t="str">
        <f>TRIM(MID(Table15[[#This Row],[CONCERN.UNIQUEPATH]], IF( ISNUMBER( SEARCH("/",Table15[[#This Row],[CONCERN.UNIQUEPATH]])),SEARCH("/",Table15[[#This Row],[CONCERN.UNIQUEPATH]])+1,1),255))</f>
        <v>Security/Integrity/Framework</v>
      </c>
      <c r="G713" t="s">
        <v>4856</v>
      </c>
    </row>
    <row r="714" spans="1:7">
      <c r="A714" t="s">
        <v>1969</v>
      </c>
      <c r="B714" t="s">
        <v>2246</v>
      </c>
      <c r="C714" s="29" t="s">
        <v>4857</v>
      </c>
      <c r="D714" s="27" t="s">
        <v>4858</v>
      </c>
      <c r="E714" t="str">
        <f xml:space="preserve"> CONCATENATE( MID(Table15[[#This Row],[PHASE]],2,3), MID(Table15[[#This Row],[DELIVERABLE]],2,4), TRIM(SUBSTITUTE(MID(Table15[[#This Row],[CONCERN.ID]],2,20),"","") )  )</f>
        <v>08.461.5847.00.0000</v>
      </c>
      <c r="F714" t="str">
        <f>TRIM(MID(Table15[[#This Row],[CONCERN.UNIQUEPATH]], IF( ISNUMBER( SEARCH("/",Table15[[#This Row],[CONCERN.UNIQUEPATH]])),SEARCH("/",Table15[[#This Row],[CONCERN.UNIQUEPATH]])+1,1),255))</f>
        <v>Security/Integrity/OS</v>
      </c>
      <c r="G714" t="s">
        <v>4859</v>
      </c>
    </row>
    <row r="715" spans="1:7">
      <c r="A715" t="s">
        <v>1969</v>
      </c>
      <c r="B715" t="s">
        <v>2246</v>
      </c>
      <c r="C715" s="30" t="s">
        <v>4860</v>
      </c>
      <c r="D715" s="26" t="s">
        <v>4861</v>
      </c>
      <c r="E715" s="45" t="str">
        <f xml:space="preserve"> CONCATENATE( MID(Table15[[#This Row],[PHASE]],2,3), MID(Table15[[#This Row],[DELIVERABLE]],2,4), TRIM(SUBSTITUTE(MID(Table15[[#This Row],[CONCERN.ID]],2,20),"","") )  )</f>
        <v>08.461.5848.00.0000</v>
      </c>
      <c r="F715" t="str">
        <f>TRIM(MID(Table15[[#This Row],[CONCERN.UNIQUEPATH]], IF( ISNUMBER( SEARCH("/",Table15[[#This Row],[CONCERN.UNIQUEPATH]])),SEARCH("/",Table15[[#This Row],[CONCERN.UNIQUEPATH]])+1,1),255))</f>
        <v>Security/Integrity/Storage</v>
      </c>
      <c r="G715" t="s">
        <v>4862</v>
      </c>
    </row>
    <row r="716" spans="1:7">
      <c r="A716" t="s">
        <v>1969</v>
      </c>
      <c r="B716" t="s">
        <v>2246</v>
      </c>
      <c r="C716" s="32" t="s">
        <v>4863</v>
      </c>
      <c r="D716" s="27" t="s">
        <v>4864</v>
      </c>
      <c r="E716" t="str">
        <f xml:space="preserve"> CONCATENATE( MID(Table15[[#This Row],[PHASE]],2,3), MID(Table15[[#This Row],[DELIVERABLE]],2,4), TRIM(SUBSTITUTE(MID(Table15[[#This Row],[CONCERN.ID]],2,20),"","") )  )</f>
        <v>08.461.5848.01.0000</v>
      </c>
      <c r="F716" t="str">
        <f>TRIM(MID(Table15[[#This Row],[CONCERN.UNIQUEPATH]], IF( ISNUMBER( SEARCH("/",Table15[[#This Row],[CONCERN.UNIQUEPATH]])),SEARCH("/",Table15[[#This Row],[CONCERN.UNIQUEPATH]])+1,1),255))</f>
        <v>Security/Integrity/Storage/SQL</v>
      </c>
    </row>
    <row r="717" spans="1:7">
      <c r="A717" t="s">
        <v>1969</v>
      </c>
      <c r="B717" t="s">
        <v>2246</v>
      </c>
      <c r="C717" s="36" t="s">
        <v>4865</v>
      </c>
      <c r="D717" s="26" t="s">
        <v>4866</v>
      </c>
      <c r="E717" s="45" t="str">
        <f xml:space="preserve"> CONCATENATE( MID(Table15[[#This Row],[PHASE]],2,3), MID(Table15[[#This Row],[DELIVERABLE]],2,4), TRIM(SUBSTITUTE(MID(Table15[[#This Row],[CONCERN.ID]],2,20),"","") )  )</f>
        <v>08.461.5848.01.1000</v>
      </c>
      <c r="F717" t="str">
        <f>TRIM(MID(Table15[[#This Row],[CONCERN.UNIQUEPATH]], IF( ISNUMBER( SEARCH("/",Table15[[#This Row],[CONCERN.UNIQUEPATH]])),SEARCH("/",Table15[[#This Row],[CONCERN.UNIQUEPATH]])+1,1),255))</f>
        <v>Security/Integrity/Storage/SQL/InjectionProtection</v>
      </c>
    </row>
    <row r="718" spans="1:7">
      <c r="A718" t="s">
        <v>1969</v>
      </c>
      <c r="B718" t="s">
        <v>2246</v>
      </c>
      <c r="C718" s="33" t="s">
        <v>4867</v>
      </c>
      <c r="D718" s="27" t="s">
        <v>4868</v>
      </c>
      <c r="E718" t="str">
        <f xml:space="preserve"> CONCATENATE( MID(Table15[[#This Row],[PHASE]],2,3), MID(Table15[[#This Row],[DELIVERABLE]],2,4), TRIM(SUBSTITUTE(MID(Table15[[#This Row],[CONCERN.ID]],2,20),"","") )  )</f>
        <v>08.461.5848.01.2000</v>
      </c>
      <c r="F718" t="str">
        <f>TRIM(MID(Table15[[#This Row],[CONCERN.UNIQUEPATH]], IF( ISNUMBER( SEARCH("/",Table15[[#This Row],[CONCERN.UNIQUEPATH]])),SEARCH("/",Table15[[#This Row],[CONCERN.UNIQUEPATH]])+1,1),255))</f>
        <v>Security/Integrity/Storage/SQL/Avoid-UseAnORM</v>
      </c>
    </row>
    <row r="719" spans="1:7">
      <c r="A719" t="s">
        <v>1969</v>
      </c>
      <c r="B719" t="s">
        <v>2246</v>
      </c>
      <c r="C719" s="31" t="s">
        <v>4869</v>
      </c>
      <c r="D719" s="26" t="s">
        <v>4870</v>
      </c>
      <c r="E719" s="45" t="str">
        <f xml:space="preserve"> CONCATENATE( MID(Table15[[#This Row],[PHASE]],2,3), MID(Table15[[#This Row],[DELIVERABLE]],2,4), TRIM(SUBSTITUTE(MID(Table15[[#This Row],[CONCERN.ID]],2,20),"","") )  )</f>
        <v>08.461.5848.02.0000</v>
      </c>
      <c r="F719" t="str">
        <f>TRIM(MID(Table15[[#This Row],[CONCERN.UNIQUEPATH]], IF( ISNUMBER( SEARCH("/",Table15[[#This Row],[CONCERN.UNIQUEPATH]])),SEARCH("/",Table15[[#This Row],[CONCERN.UNIQUEPATH]])+1,1),255))</f>
        <v>Security/Integrity/Storage/Credentials</v>
      </c>
    </row>
    <row r="720" spans="1:7">
      <c r="A720" t="s">
        <v>1969</v>
      </c>
      <c r="B720" t="s">
        <v>2246</v>
      </c>
      <c r="C720" s="33" t="s">
        <v>4871</v>
      </c>
      <c r="D720" s="27" t="s">
        <v>4872</v>
      </c>
      <c r="E720" t="str">
        <f xml:space="preserve"> CONCATENATE( MID(Table15[[#This Row],[PHASE]],2,3), MID(Table15[[#This Row],[DELIVERABLE]],2,4), TRIM(SUBSTITUTE(MID(Table15[[#This Row],[CONCERN.ID]],2,20),"","") )  )</f>
        <v>08.461.5848.02.1000</v>
      </c>
      <c r="F720" t="str">
        <f>TRIM(MID(Table15[[#This Row],[CONCERN.UNIQUEPATH]], IF( ISNUMBER( SEARCH("/",Table15[[#This Row],[CONCERN.UNIQUEPATH]])),SEARCH("/",Table15[[#This Row],[CONCERN.UNIQUEPATH]])+1,1),255))</f>
        <v>Security/Integrity/Storage/Credentials/User</v>
      </c>
    </row>
    <row r="721" spans="1:6">
      <c r="A721" t="s">
        <v>1969</v>
      </c>
      <c r="B721" t="s">
        <v>2246</v>
      </c>
      <c r="C721" s="34" t="s">
        <v>4873</v>
      </c>
      <c r="D721" s="26" t="s">
        <v>4874</v>
      </c>
      <c r="E721" s="45" t="str">
        <f xml:space="preserve"> CONCATENATE( MID(Table15[[#This Row],[PHASE]],2,3), MID(Table15[[#This Row],[DELIVERABLE]],2,4), TRIM(SUBSTITUTE(MID(Table15[[#This Row],[CONCERN.ID]],2,20),"","") )  )</f>
        <v>08.461.5848.02.1100</v>
      </c>
      <c r="F721" t="str">
        <f>TRIM(MID(Table15[[#This Row],[CONCERN.UNIQUEPATH]], IF( ISNUMBER( SEARCH("/",Table15[[#This Row],[CONCERN.UNIQUEPATH]])),SEARCH("/",Table15[[#This Row],[CONCERN.UNIQUEPATH]])+1,1),255))</f>
        <v>Security/Integrity/Storage/Credentials/User/In an IDP</v>
      </c>
    </row>
    <row r="722" spans="1:6">
      <c r="A722" t="s">
        <v>1969</v>
      </c>
      <c r="B722" t="s">
        <v>2246</v>
      </c>
      <c r="C722" s="35" t="s">
        <v>4875</v>
      </c>
      <c r="D722" s="27" t="s">
        <v>4876</v>
      </c>
      <c r="E722" t="str">
        <f xml:space="preserve"> CONCATENATE( MID(Table15[[#This Row],[PHASE]],2,3), MID(Table15[[#This Row],[DELIVERABLE]],2,4), TRIM(SUBSTITUTE(MID(Table15[[#This Row],[CONCERN.ID]],2,20),"","") )  )</f>
        <v>08.461.5848.02.1200</v>
      </c>
      <c r="F722" t="str">
        <f>TRIM(MID(Table15[[#This Row],[CONCERN.UNIQUEPATH]], IF( ISNUMBER( SEARCH("/",Table15[[#This Row],[CONCERN.UNIQUEPATH]])),SEARCH("/",Table15[[#This Row],[CONCERN.UNIQUEPATH]])+1,1),255))</f>
        <v>Security/Integrity/Storage/Credentials/User/Not In the System</v>
      </c>
    </row>
    <row r="723" spans="1:6">
      <c r="A723" t="s">
        <v>1969</v>
      </c>
      <c r="B723" t="s">
        <v>2246</v>
      </c>
      <c r="C723" s="36" t="s">
        <v>4877</v>
      </c>
      <c r="D723" s="26" t="s">
        <v>4878</v>
      </c>
      <c r="E723" s="45" t="str">
        <f xml:space="preserve"> CONCATENATE( MID(Table15[[#This Row],[PHASE]],2,3), MID(Table15[[#This Row],[DELIVERABLE]],2,4), TRIM(SUBSTITUTE(MID(Table15[[#This Row],[CONCERN.ID]],2,20),"","") )  )</f>
        <v>08.461.5848.02.2000</v>
      </c>
      <c r="F723" t="str">
        <f>TRIM(MID(Table15[[#This Row],[CONCERN.UNIQUEPATH]], IF( ISNUMBER( SEARCH("/",Table15[[#This Row],[CONCERN.UNIQUEPATH]])),SEARCH("/",Table15[[#This Row],[CONCERN.UNIQUEPATH]])+1,1),255))</f>
        <v>Security/Integrity/Storage/Credentials/Services</v>
      </c>
    </row>
    <row r="724" spans="1:6">
      <c r="A724" t="s">
        <v>1969</v>
      </c>
      <c r="B724" t="s">
        <v>2246</v>
      </c>
      <c r="C724" s="35" t="s">
        <v>4879</v>
      </c>
      <c r="D724" s="27" t="s">
        <v>4880</v>
      </c>
      <c r="E724" t="str">
        <f xml:space="preserve"> CONCATENATE( MID(Table15[[#This Row],[PHASE]],2,3), MID(Table15[[#This Row],[DELIVERABLE]],2,4), TRIM(SUBSTITUTE(MID(Table15[[#This Row],[CONCERN.ID]],2,20),"","") )  )</f>
        <v>08.461.5848.02.2100</v>
      </c>
      <c r="F724" t="str">
        <f>TRIM(MID(Table15[[#This Row],[CONCERN.UNIQUEPATH]], IF( ISNUMBER( SEARCH("/",Table15[[#This Row],[CONCERN.UNIQUEPATH]])),SEARCH("/",Table15[[#This Row],[CONCERN.UNIQUEPATH]])+1,1),255))</f>
        <v>Security/Integrity/Storage/Credentials/Services/In Secure Storage</v>
      </c>
    </row>
    <row r="725" spans="1:6">
      <c r="A725" t="s">
        <v>1969</v>
      </c>
      <c r="B725" t="s">
        <v>2246</v>
      </c>
      <c r="C725" s="30" t="s">
        <v>4881</v>
      </c>
      <c r="D725" s="26" t="s">
        <v>4882</v>
      </c>
      <c r="E725" s="45" t="str">
        <f xml:space="preserve"> CONCATENATE( MID(Table15[[#This Row],[PHASE]],2,3), MID(Table15[[#This Row],[DELIVERABLE]],2,4), TRIM(SUBSTITUTE(MID(Table15[[#This Row],[CONCERN.ID]],2,20),"","") )  )</f>
        <v>08.461.5849.00.0000</v>
      </c>
      <c r="F725" t="str">
        <f>TRIM(MID(Table15[[#This Row],[CONCERN.UNIQUEPATH]], IF( ISNUMBER( SEARCH("/",Table15[[#This Row],[CONCERN.UNIQUEPATH]])),SEARCH("/",Table15[[#This Row],[CONCERN.UNIQUEPATH]])+1,1),255))</f>
        <v>Security/Integrity/Environment</v>
      </c>
    </row>
    <row r="726" spans="1:6">
      <c r="A726" t="s">
        <v>1969</v>
      </c>
      <c r="B726" t="s">
        <v>2246</v>
      </c>
      <c r="C726" s="32" t="s">
        <v>4883</v>
      </c>
      <c r="D726" s="27" t="s">
        <v>4884</v>
      </c>
      <c r="E726" t="str">
        <f xml:space="preserve"> CONCATENATE( MID(Table15[[#This Row],[PHASE]],2,3), MID(Table15[[#This Row],[DELIVERABLE]],2,4), TRIM(SUBSTITUTE(MID(Table15[[#This Row],[CONCERN.ID]],2,20),"","") )  )</f>
        <v>08.461.5849.01.0000</v>
      </c>
      <c r="F726" t="str">
        <f>TRIM(MID(Table15[[#This Row],[CONCERN.UNIQUEPATH]], IF( ISNUMBER( SEARCH("/",Table15[[#This Row],[CONCERN.UNIQUEPATH]])),SEARCH("/",Table15[[#This Row],[CONCERN.UNIQUEPATH]])+1,1),255))</f>
        <v>Security/Integrity/Environment/ISO-27001, Level 2+</v>
      </c>
    </row>
    <row r="727" spans="1:6">
      <c r="A727" t="s">
        <v>1969</v>
      </c>
      <c r="B727" t="s">
        <v>2246</v>
      </c>
      <c r="C727" s="30" t="s">
        <v>4885</v>
      </c>
      <c r="D727" s="26" t="s">
        <v>4886</v>
      </c>
      <c r="E727" s="45" t="str">
        <f xml:space="preserve"> CONCATENATE( MID(Table15[[#This Row],[PHASE]],2,3), MID(Table15[[#This Row],[DELIVERABLE]],2,4), TRIM(SUBSTITUTE(MID(Table15[[#This Row],[CONCERN.ID]],2,20),"","") )  )</f>
        <v>08.461.5850.00.0000</v>
      </c>
      <c r="F727" t="str">
        <f>TRIM(MID(Table15[[#This Row],[CONCERN.UNIQUEPATH]], IF( ISNUMBER( SEARCH("/",Table15[[#This Row],[CONCERN.UNIQUEPATH]])),SEARCH("/",Table15[[#This Row],[CONCERN.UNIQUEPATH]])+1,1),255))</f>
        <v>Security/Non-Repudiation</v>
      </c>
    </row>
    <row r="728" spans="1:6">
      <c r="A728" t="s">
        <v>1969</v>
      </c>
      <c r="B728" t="s">
        <v>2246</v>
      </c>
      <c r="C728" s="29" t="s">
        <v>4887</v>
      </c>
      <c r="D728" s="27" t="s">
        <v>4888</v>
      </c>
      <c r="E728" t="str">
        <f xml:space="preserve"> CONCATENATE( MID(Table15[[#This Row],[PHASE]],2,3), MID(Table15[[#This Row],[DELIVERABLE]],2,4), TRIM(SUBSTITUTE(MID(Table15[[#This Row],[CONCERN.ID]],2,20),"","") )  )</f>
        <v>08.461.5851.00.0000</v>
      </c>
      <c r="F728" t="str">
        <f>TRIM(MID(Table15[[#This Row],[CONCERN.UNIQUEPATH]], IF( ISNUMBER( SEARCH("/",Table15[[#This Row],[CONCERN.UNIQUEPATH]])),SEARCH("/",Table15[[#This Row],[CONCERN.UNIQUEPATH]])+1,1),255))</f>
        <v>Security/Non-Repudiation/Auditing logs never deleted</v>
      </c>
    </row>
    <row r="729" spans="1:6">
      <c r="A729" t="s">
        <v>1969</v>
      </c>
      <c r="B729" t="s">
        <v>2246</v>
      </c>
      <c r="C729" s="30" t="s">
        <v>4889</v>
      </c>
      <c r="D729" s="26" t="s">
        <v>4890</v>
      </c>
      <c r="E729" s="45" t="str">
        <f xml:space="preserve"> CONCATENATE( MID(Table15[[#This Row],[PHASE]],2,3), MID(Table15[[#This Row],[DELIVERABLE]],2,4), TRIM(SUBSTITUTE(MID(Table15[[#This Row],[CONCERN.ID]],2,20),"","") )  )</f>
        <v>08.461.5852.00.0000</v>
      </c>
      <c r="F729" t="str">
        <f>TRIM(MID(Table15[[#This Row],[CONCERN.UNIQUEPATH]], IF( ISNUMBER( SEARCH("/",Table15[[#This Row],[CONCERN.UNIQUEPATH]])),SEARCH("/",Table15[[#This Row],[CONCERN.UNIQUEPATH]])+1,1),255))</f>
        <v>Security/Non-Repudiation/Operations logged against User (Authenticated or not)</v>
      </c>
    </row>
    <row r="730" spans="1:6">
      <c r="A730" t="s">
        <v>1969</v>
      </c>
      <c r="B730" t="s">
        <v>2246</v>
      </c>
      <c r="C730" s="29" t="s">
        <v>4891</v>
      </c>
      <c r="D730" s="27" t="s">
        <v>4892</v>
      </c>
      <c r="E730" t="str">
        <f xml:space="preserve"> CONCATENATE( MID(Table15[[#This Row],[PHASE]],2,3), MID(Table15[[#This Row],[DELIVERABLE]],2,4), TRIM(SUBSTITUTE(MID(Table15[[#This Row],[CONCERN.ID]],2,20),"","") )  )</f>
        <v>08.461.5900.00.0000</v>
      </c>
      <c r="F730" t="str">
        <f>TRIM(MID(Table15[[#This Row],[CONCERN.UNIQUEPATH]], IF( ISNUMBER( SEARCH("/",Table15[[#This Row],[CONCERN.UNIQUEPATH]])),SEARCH("/",Table15[[#This Row],[CONCERN.UNIQUEPATH]])+1,1),255))</f>
        <v>Usability</v>
      </c>
    </row>
    <row r="731" spans="1:6">
      <c r="A731" t="s">
        <v>1969</v>
      </c>
      <c r="B731" t="s">
        <v>2246</v>
      </c>
      <c r="C731" s="30" t="s">
        <v>4893</v>
      </c>
      <c r="D731" s="26" t="s">
        <v>946</v>
      </c>
      <c r="E731" s="45" t="str">
        <f xml:space="preserve"> CONCATENATE( MID(Table15[[#This Row],[PHASE]],2,3), MID(Table15[[#This Row],[DELIVERABLE]],2,4), TRIM(SUBSTITUTE(MID(Table15[[#This Row],[CONCERN.ID]],2,20),"","") )  )</f>
        <v>08.461.5910.00.0000</v>
      </c>
      <c r="F731" t="str">
        <f>TRIM(MID(Table15[[#This Row],[CONCERN.UNIQUEPATH]], IF( ISNUMBER( SEARCH("/",Table15[[#This Row],[CONCERN.UNIQUEPATH]])),SEARCH("/",Table15[[#This Row],[CONCERN.UNIQUEPATH]])+1,1),255))</f>
        <v>Usability/Aesthetics</v>
      </c>
    </row>
    <row r="732" spans="1:6">
      <c r="A732" t="s">
        <v>1969</v>
      </c>
      <c r="B732" t="s">
        <v>2246</v>
      </c>
      <c r="C732" s="29" t="s">
        <v>4894</v>
      </c>
      <c r="D732" s="27" t="s">
        <v>4895</v>
      </c>
      <c r="E732" t="str">
        <f xml:space="preserve"> CONCATENATE( MID(Table15[[#This Row],[PHASE]],2,3), MID(Table15[[#This Row],[DELIVERABLE]],2,4), TRIM(SUBSTITUTE(MID(Table15[[#This Row],[CONCERN.ID]],2,20),"","") )  )</f>
        <v>08.461.5911.00.0000</v>
      </c>
      <c r="F732" t="str">
        <f>TRIM(MID(Table15[[#This Row],[CONCERN.UNIQUEPATH]], IF( ISNUMBER( SEARCH("/",Table15[[#This Row],[CONCERN.UNIQUEPATH]])),SEARCH("/",Table15[[#This Row],[CONCERN.UNIQUEPATH]])+1,1),255))</f>
        <v>Usability/Aesthetics/Corporate Branding</v>
      </c>
    </row>
    <row r="733" spans="1:6">
      <c r="A733" t="s">
        <v>1969</v>
      </c>
      <c r="B733" t="s">
        <v>2246</v>
      </c>
      <c r="C733" s="30" t="s">
        <v>4896</v>
      </c>
      <c r="D733" s="26" t="s">
        <v>4897</v>
      </c>
      <c r="E733" s="45" t="str">
        <f xml:space="preserve"> CONCATENATE( MID(Table15[[#This Row],[PHASE]],2,3), MID(Table15[[#This Row],[DELIVERABLE]],2,4), TRIM(SUBSTITUTE(MID(Table15[[#This Row],[CONCERN.ID]],2,20),"","") )  )</f>
        <v>08.461.5912.00.0000</v>
      </c>
      <c r="F733" t="str">
        <f>TRIM(MID(Table15[[#This Row],[CONCERN.UNIQUEPATH]], IF( ISNUMBER( SEARCH("/",Table15[[#This Row],[CONCERN.UNIQUEPATH]])),SEARCH("/",Table15[[#This Row],[CONCERN.UNIQUEPATH]])+1,1),255))</f>
        <v>Usability/Aesthetics/Tenancy Branding</v>
      </c>
    </row>
    <row r="734" spans="1:6">
      <c r="A734" t="s">
        <v>1969</v>
      </c>
      <c r="B734" t="s">
        <v>2246</v>
      </c>
      <c r="C734" s="29" t="s">
        <v>4898</v>
      </c>
      <c r="D734" s="27" t="s">
        <v>4899</v>
      </c>
      <c r="E734" t="str">
        <f xml:space="preserve"> CONCATENATE( MID(Table15[[#This Row],[PHASE]],2,3), MID(Table15[[#This Row],[DELIVERABLE]],2,4), TRIM(SUBSTITUTE(MID(Table15[[#This Row],[CONCERN.ID]],2,20),"","") )  )</f>
        <v>08.461.5920.00.0000</v>
      </c>
      <c r="F734" t="str">
        <f>TRIM(MID(Table15[[#This Row],[CONCERN.UNIQUEPATH]], IF( ISNUMBER( SEARCH("/",Table15[[#This Row],[CONCERN.UNIQUEPATH]])),SEARCH("/",Table15[[#This Row],[CONCERN.UNIQUEPATH]])+1,1),255))</f>
        <v>Usability/Analytics</v>
      </c>
    </row>
    <row r="735" spans="1:6">
      <c r="A735" t="s">
        <v>1969</v>
      </c>
      <c r="B735" t="s">
        <v>2246</v>
      </c>
      <c r="C735" s="30" t="s">
        <v>4900</v>
      </c>
      <c r="D735" s="26" t="s">
        <v>4901</v>
      </c>
      <c r="E735" s="45" t="str">
        <f xml:space="preserve"> CONCATENATE( MID(Table15[[#This Row],[PHASE]],2,3), MID(Table15[[#This Row],[DELIVERABLE]],2,4), TRIM(SUBSTITUTE(MID(Table15[[#This Row],[CONCERN.ID]],2,20),"","") )  )</f>
        <v>08.461.5921.00.0000</v>
      </c>
      <c r="F735" t="str">
        <f>TRIM(MID(Table15[[#This Row],[CONCERN.UNIQUEPATH]], IF( ISNUMBER( SEARCH("/",Table15[[#This Row],[CONCERN.UNIQUEPATH]])),SEARCH("/",Table15[[#This Row],[CONCERN.UNIQUEPATH]])+1,1),255))</f>
        <v>Usability/Analytics/Predictive</v>
      </c>
    </row>
    <row r="736" spans="1:6">
      <c r="A736" t="s">
        <v>1969</v>
      </c>
      <c r="B736" t="s">
        <v>2246</v>
      </c>
      <c r="C736" s="29" t="s">
        <v>4902</v>
      </c>
      <c r="D736" s="27" t="s">
        <v>4903</v>
      </c>
      <c r="E736" t="str">
        <f xml:space="preserve"> CONCATENATE( MID(Table15[[#This Row],[PHASE]],2,3), MID(Table15[[#This Row],[DELIVERABLE]],2,4), TRIM(SUBSTITUTE(MID(Table15[[#This Row],[CONCERN.ID]],2,20),"","") )  )</f>
        <v>08.461.5922.00.0000</v>
      </c>
      <c r="F736" t="str">
        <f>TRIM(MID(Table15[[#This Row],[CONCERN.UNIQUEPATH]], IF( ISNUMBER( SEARCH("/",Table15[[#This Row],[CONCERN.UNIQUEPATH]])),SEARCH("/",Table15[[#This Row],[CONCERN.UNIQUEPATH]])+1,1),255))</f>
        <v>Usability/Analytics/Status</v>
      </c>
    </row>
    <row r="737" spans="1:6">
      <c r="A737" t="s">
        <v>1969</v>
      </c>
      <c r="B737" t="s">
        <v>2246</v>
      </c>
      <c r="C737" s="30" t="s">
        <v>4904</v>
      </c>
      <c r="D737" s="26" t="s">
        <v>4905</v>
      </c>
      <c r="E737" s="45" t="str">
        <f xml:space="preserve"> CONCATENATE( MID(Table15[[#This Row],[PHASE]],2,3), MID(Table15[[#This Row],[DELIVERABLE]],2,4), TRIM(SUBSTITUTE(MID(Table15[[#This Row],[CONCERN.ID]],2,20),"","") )  )</f>
        <v>08.461.5930.00.0000</v>
      </c>
      <c r="F737" t="str">
        <f>TRIM(MID(Table15[[#This Row],[CONCERN.UNIQUEPATH]], IF( ISNUMBER( SEARCH("/",Table15[[#This Row],[CONCERN.UNIQUEPATH]])),SEARCH("/",Table15[[#This Row],[CONCERN.UNIQUEPATH]])+1,1),255))</f>
        <v>Usability/Assistance</v>
      </c>
    </row>
    <row r="738" spans="1:6">
      <c r="A738" t="s">
        <v>1969</v>
      </c>
      <c r="B738" t="s">
        <v>2246</v>
      </c>
      <c r="C738" s="29" t="s">
        <v>4906</v>
      </c>
      <c r="D738" s="27" t="s">
        <v>4907</v>
      </c>
      <c r="E738" t="str">
        <f xml:space="preserve"> CONCATENATE( MID(Table15[[#This Row],[PHASE]],2,3), MID(Table15[[#This Row],[DELIVERABLE]],2,4), TRIM(SUBSTITUTE(MID(Table15[[#This Row],[CONCERN.ID]],2,20),"","") )  )</f>
        <v>08.461.5931.00.0000</v>
      </c>
      <c r="F738" t="str">
        <f>TRIM(MID(Table15[[#This Row],[CONCERN.UNIQUEPATH]], IF( ISNUMBER( SEARCH("/",Table15[[#This Row],[CONCERN.UNIQUEPATH]])),SEARCH("/",Table15[[#This Row],[CONCERN.UNIQUEPATH]])+1,1),255))</f>
        <v>Usability/Assistance/Online Contact Email Provided</v>
      </c>
    </row>
    <row r="739" spans="1:6">
      <c r="A739" t="s">
        <v>1969</v>
      </c>
      <c r="B739" t="s">
        <v>2246</v>
      </c>
      <c r="C739" s="30" t="s">
        <v>4908</v>
      </c>
      <c r="D739" s="26" t="s">
        <v>937</v>
      </c>
      <c r="E739" s="45" t="str">
        <f xml:space="preserve"> CONCATENATE( MID(Table15[[#This Row],[PHASE]],2,3), MID(Table15[[#This Row],[DELIVERABLE]],2,4), TRIM(SUBSTITUTE(MID(Table15[[#This Row],[CONCERN.ID]],2,20),"","") )  )</f>
        <v>08.461.5940.00.0000</v>
      </c>
      <c r="F739" t="str">
        <f>TRIM(MID(Table15[[#This Row],[CONCERN.UNIQUEPATH]], IF( ISNUMBER( SEARCH("/",Table15[[#This Row],[CONCERN.UNIQUEPATH]])),SEARCH("/",Table15[[#This Row],[CONCERN.UNIQUEPATH]])+1,1),255))</f>
        <v>Usability/Configurability</v>
      </c>
    </row>
    <row r="740" spans="1:6">
      <c r="A740" t="s">
        <v>1969</v>
      </c>
      <c r="B740" t="s">
        <v>2246</v>
      </c>
      <c r="C740" s="29" t="s">
        <v>4909</v>
      </c>
      <c r="D740" s="27" t="s">
        <v>4910</v>
      </c>
      <c r="E740" t="str">
        <f xml:space="preserve"> CONCATENATE( MID(Table15[[#This Row],[PHASE]],2,3), MID(Table15[[#This Row],[DELIVERABLE]],2,4), TRIM(SUBSTITUTE(MID(Table15[[#This Row],[CONCERN.ID]],2,20),"","") )  )</f>
        <v>08.461.5941.00.0000</v>
      </c>
      <c r="F740" t="str">
        <f>TRIM(MID(Table15[[#This Row],[CONCERN.UNIQUEPATH]], IF( ISNUMBER( SEARCH("/",Table15[[#This Row],[CONCERN.UNIQUEPATH]])),SEARCH("/",Table15[[#This Row],[CONCERN.UNIQUEPATH]])+1,1),255))</f>
        <v>Usability/Configurability/Group</v>
      </c>
    </row>
    <row r="741" spans="1:6">
      <c r="A741" t="s">
        <v>1969</v>
      </c>
      <c r="B741" t="s">
        <v>2246</v>
      </c>
      <c r="C741" s="31" t="s">
        <v>4911</v>
      </c>
      <c r="D741" s="26" t="s">
        <v>4912</v>
      </c>
      <c r="E741" s="45" t="str">
        <f xml:space="preserve"> CONCATENATE( MID(Table15[[#This Row],[PHASE]],2,3), MID(Table15[[#This Row],[DELIVERABLE]],2,4), TRIM(SUBSTITUTE(MID(Table15[[#This Row],[CONCERN.ID]],2,20),"","") )  )</f>
        <v>08.461.5941.01.0000</v>
      </c>
      <c r="F741" t="str">
        <f>TRIM(MID(Table15[[#This Row],[CONCERN.UNIQUEPATH]], IF( ISNUMBER( SEARCH("/",Table15[[#This Row],[CONCERN.UNIQUEPATH]])),SEARCH("/",Table15[[#This Row],[CONCERN.UNIQUEPATH]])+1,1),255))</f>
        <v>Usability/Configurability/Group/Profile</v>
      </c>
    </row>
    <row r="742" spans="1:6">
      <c r="A742" t="s">
        <v>1969</v>
      </c>
      <c r="B742" t="s">
        <v>2246</v>
      </c>
      <c r="C742" s="32" t="s">
        <v>4913</v>
      </c>
      <c r="D742" s="27" t="s">
        <v>4914</v>
      </c>
      <c r="E742" t="str">
        <f xml:space="preserve"> CONCATENATE( MID(Table15[[#This Row],[PHASE]],2,3), MID(Table15[[#This Row],[DELIVERABLE]],2,4), TRIM(SUBSTITUTE(MID(Table15[[#This Row],[CONCERN.ID]],2,20),"","") )  )</f>
        <v>08.461.5941.02.0000</v>
      </c>
      <c r="F742" t="str">
        <f>TRIM(MID(Table15[[#This Row],[CONCERN.UNIQUEPATH]], IF( ISNUMBER( SEARCH("/",Table15[[#This Row],[CONCERN.UNIQUEPATH]])),SEARCH("/",Table15[[#This Row],[CONCERN.UNIQUEPATH]])+1,1),255))</f>
        <v>Usability/Configurability/Group/Roles</v>
      </c>
    </row>
    <row r="743" spans="1:6">
      <c r="A743" t="s">
        <v>1969</v>
      </c>
      <c r="B743" t="s">
        <v>2246</v>
      </c>
      <c r="C743" s="36" t="s">
        <v>4915</v>
      </c>
      <c r="D743" s="26" t="s">
        <v>4916</v>
      </c>
      <c r="E743" s="45" t="str">
        <f xml:space="preserve"> CONCATENATE( MID(Table15[[#This Row],[PHASE]],2,3), MID(Table15[[#This Row],[DELIVERABLE]],2,4), TRIM(SUBSTITUTE(MID(Table15[[#This Row],[CONCERN.ID]],2,20),"","") )  )</f>
        <v>08.461.5941.02.1000</v>
      </c>
      <c r="F743" t="str">
        <f>TRIM(MID(Table15[[#This Row],[CONCERN.UNIQUEPATH]], IF( ISNUMBER( SEARCH("/",Table15[[#This Row],[CONCERN.UNIQUEPATH]])),SEARCH("/",Table15[[#This Row],[CONCERN.UNIQUEPATH]])+1,1),255))</f>
        <v>Usability/Configurability/Group/Roles/Permissions</v>
      </c>
    </row>
    <row r="744" spans="1:6">
      <c r="A744" t="s">
        <v>1969</v>
      </c>
      <c r="B744" t="s">
        <v>2246</v>
      </c>
      <c r="C744" s="32" t="s">
        <v>4917</v>
      </c>
      <c r="D744" s="27" t="s">
        <v>4918</v>
      </c>
      <c r="E744" t="str">
        <f xml:space="preserve"> CONCATENATE( MID(Table15[[#This Row],[PHASE]],2,3), MID(Table15[[#This Row],[DELIVERABLE]],2,4), TRIM(SUBSTITUTE(MID(Table15[[#This Row],[CONCERN.ID]],2,20),"","") )  )</f>
        <v>08.461.5941.03.0000</v>
      </c>
      <c r="F744" t="str">
        <f>TRIM(MID(Table15[[#This Row],[CONCERN.UNIQUEPATH]], IF( ISNUMBER( SEARCH("/",Table15[[#This Row],[CONCERN.UNIQUEPATH]])),SEARCH("/",Table15[[#This Row],[CONCERN.UNIQUEPATH]])+1,1),255))</f>
        <v>Usability/Configurability/Group/Membership</v>
      </c>
    </row>
    <row r="745" spans="1:6">
      <c r="A745" t="s">
        <v>1969</v>
      </c>
      <c r="B745" t="s">
        <v>2246</v>
      </c>
      <c r="C745" s="30" t="s">
        <v>4919</v>
      </c>
      <c r="D745" s="26" t="s">
        <v>4920</v>
      </c>
      <c r="E745" s="45" t="str">
        <f xml:space="preserve"> CONCATENATE( MID(Table15[[#This Row],[PHASE]],2,3), MID(Table15[[#This Row],[DELIVERABLE]],2,4), TRIM(SUBSTITUTE(MID(Table15[[#This Row],[CONCERN.ID]],2,20),"","") )  )</f>
        <v>08.461.5943.00.0000</v>
      </c>
      <c r="F745" t="str">
        <f>TRIM(MID(Table15[[#This Row],[CONCERN.UNIQUEPATH]], IF( ISNUMBER( SEARCH("/",Table15[[#This Row],[CONCERN.UNIQUEPATH]])),SEARCH("/",Table15[[#This Row],[CONCERN.UNIQUEPATH]])+1,1),255))</f>
        <v>Usability/Configurability/Resources</v>
      </c>
    </row>
    <row r="746" spans="1:6">
      <c r="A746" t="s">
        <v>1969</v>
      </c>
      <c r="B746" t="s">
        <v>2246</v>
      </c>
      <c r="C746" s="32" t="s">
        <v>4921</v>
      </c>
      <c r="D746" s="27" t="s">
        <v>4922</v>
      </c>
      <c r="E746" t="str">
        <f xml:space="preserve"> CONCATENATE( MID(Table15[[#This Row],[PHASE]],2,3), MID(Table15[[#This Row],[DELIVERABLE]],2,4), TRIM(SUBSTITUTE(MID(Table15[[#This Row],[CONCERN.ID]],2,20),"","") )  )</f>
        <v>08.461.5943.01.0000</v>
      </c>
      <c r="F746" t="str">
        <f>TRIM(MID(Table15[[#This Row],[CONCERN.UNIQUEPATH]], IF( ISNUMBER( SEARCH("/",Table15[[#This Row],[CONCERN.UNIQUEPATH]])),SEARCH("/",Table15[[#This Row],[CONCERN.UNIQUEPATH]])+1,1),255))</f>
        <v>Usability/Configurability/Resources/Roles</v>
      </c>
    </row>
    <row r="747" spans="1:6">
      <c r="A747" t="s">
        <v>1969</v>
      </c>
      <c r="B747" t="s">
        <v>2246</v>
      </c>
      <c r="C747" s="36" t="s">
        <v>4923</v>
      </c>
      <c r="D747" s="26" t="s">
        <v>4924</v>
      </c>
      <c r="E747" s="45" t="str">
        <f xml:space="preserve"> CONCATENATE( MID(Table15[[#This Row],[PHASE]],2,3), MID(Table15[[#This Row],[DELIVERABLE]],2,4), TRIM(SUBSTITUTE(MID(Table15[[#This Row],[CONCERN.ID]],2,20),"","") )  )</f>
        <v>08.461.5943.01.1000</v>
      </c>
      <c r="F747" t="str">
        <f>TRIM(MID(Table15[[#This Row],[CONCERN.UNIQUEPATH]], IF( ISNUMBER( SEARCH("/",Table15[[#This Row],[CONCERN.UNIQUEPATH]])),SEARCH("/",Table15[[#This Row],[CONCERN.UNIQUEPATH]])+1,1),255))</f>
        <v>Usability/Configurability/Resources/Roles/Permissions</v>
      </c>
    </row>
    <row r="748" spans="1:6">
      <c r="A748" t="s">
        <v>1969</v>
      </c>
      <c r="B748" t="s">
        <v>2246</v>
      </c>
      <c r="C748" s="29" t="s">
        <v>4925</v>
      </c>
      <c r="D748" s="27" t="s">
        <v>4926</v>
      </c>
      <c r="E748" t="str">
        <f xml:space="preserve"> CONCATENATE( MID(Table15[[#This Row],[PHASE]],2,3), MID(Table15[[#This Row],[DELIVERABLE]],2,4), TRIM(SUBSTITUTE(MID(Table15[[#This Row],[CONCERN.ID]],2,20),"","") )  )</f>
        <v>08.461.5944.00.0000</v>
      </c>
      <c r="F748" t="str">
        <f>TRIM(MID(Table15[[#This Row],[CONCERN.UNIQUEPATH]], IF( ISNUMBER( SEARCH("/",Table15[[#This Row],[CONCERN.UNIQUEPATH]])),SEARCH("/",Table15[[#This Row],[CONCERN.UNIQUEPATH]])+1,1),255))</f>
        <v>Usability/Configurability/System Profile</v>
      </c>
    </row>
    <row r="749" spans="1:6">
      <c r="A749" t="s">
        <v>1969</v>
      </c>
      <c r="B749" t="s">
        <v>2246</v>
      </c>
      <c r="C749" s="31" t="s">
        <v>4927</v>
      </c>
      <c r="D749" s="26" t="s">
        <v>4928</v>
      </c>
      <c r="E749" s="45" t="str">
        <f xml:space="preserve"> CONCATENATE( MID(Table15[[#This Row],[PHASE]],2,3), MID(Table15[[#This Row],[DELIVERABLE]],2,4), TRIM(SUBSTITUTE(MID(Table15[[#This Row],[CONCERN.ID]],2,20),"","") )  )</f>
        <v>08.461.5944.01.0000</v>
      </c>
      <c r="F749" t="str">
        <f>TRIM(MID(Table15[[#This Row],[CONCERN.UNIQUEPATH]], IF( ISNUMBER( SEARCH("/",Table15[[#This Row],[CONCERN.UNIQUEPATH]])),SEARCH("/",Table15[[#This Row],[CONCERN.UNIQUEPATH]])+1,1),255))</f>
        <v>Usability/Configurability/Resource Collection/Profile</v>
      </c>
    </row>
    <row r="750" spans="1:6">
      <c r="A750" t="s">
        <v>1969</v>
      </c>
      <c r="B750" t="s">
        <v>2246</v>
      </c>
      <c r="C750" s="32" t="s">
        <v>4929</v>
      </c>
      <c r="D750" s="27" t="s">
        <v>4930</v>
      </c>
      <c r="E750" t="str">
        <f xml:space="preserve"> CONCATENATE( MID(Table15[[#This Row],[PHASE]],2,3), MID(Table15[[#This Row],[DELIVERABLE]],2,4), TRIM(SUBSTITUTE(MID(Table15[[#This Row],[CONCERN.ID]],2,20),"","") )  )</f>
        <v>08.461.5944.02.0000</v>
      </c>
      <c r="F750" t="str">
        <f>TRIM(MID(Table15[[#This Row],[CONCERN.UNIQUEPATH]], IF( ISNUMBER( SEARCH("/",Table15[[#This Row],[CONCERN.UNIQUEPATH]])),SEARCH("/",Table15[[#This Row],[CONCERN.UNIQUEPATH]])+1,1),255))</f>
        <v>Usability/Configurability/Resource Collection/Role Associations</v>
      </c>
    </row>
    <row r="751" spans="1:6">
      <c r="A751" t="s">
        <v>1969</v>
      </c>
      <c r="B751" t="s">
        <v>2246</v>
      </c>
      <c r="C751" s="30" t="s">
        <v>4931</v>
      </c>
      <c r="D751" s="26" t="s">
        <v>4932</v>
      </c>
      <c r="E751" s="45" t="str">
        <f xml:space="preserve"> CONCATENATE( MID(Table15[[#This Row],[PHASE]],2,3), MID(Table15[[#This Row],[DELIVERABLE]],2,4), TRIM(SUBSTITUTE(MID(Table15[[#This Row],[CONCERN.ID]],2,20),"","") )  )</f>
        <v>08.461.5945.00.0000</v>
      </c>
      <c r="F751" t="str">
        <f>TRIM(MID(Table15[[#This Row],[CONCERN.UNIQUEPATH]], IF( ISNUMBER( SEARCH("/",Table15[[#This Row],[CONCERN.UNIQUEPATH]])),SEARCH("/",Table15[[#This Row],[CONCERN.UNIQUEPATH]])+1,1),255))</f>
        <v>Usability/Configurability/Tenancy Profile</v>
      </c>
    </row>
    <row r="752" spans="1:6">
      <c r="A752" t="s">
        <v>1969</v>
      </c>
      <c r="B752" t="s">
        <v>2246</v>
      </c>
      <c r="C752" s="29" t="s">
        <v>4933</v>
      </c>
      <c r="D752" s="27" t="s">
        <v>4934</v>
      </c>
      <c r="E752" t="str">
        <f xml:space="preserve"> CONCATENATE( MID(Table15[[#This Row],[PHASE]],2,3), MID(Table15[[#This Row],[DELIVERABLE]],2,4), TRIM(SUBSTITUTE(MID(Table15[[#This Row],[CONCERN.ID]],2,20),"","") )  )</f>
        <v>08.461.5946.00.0000</v>
      </c>
      <c r="F752" t="str">
        <f>TRIM(MID(Table15[[#This Row],[CONCERN.UNIQUEPATH]], IF( ISNUMBER( SEARCH("/",Table15[[#This Row],[CONCERN.UNIQUEPATH]])),SEARCH("/",Table15[[#This Row],[CONCERN.UNIQUEPATH]])+1,1),255))</f>
        <v>Usability/Configurability/User Dashboard</v>
      </c>
    </row>
    <row r="753" spans="1:6">
      <c r="A753" t="s">
        <v>1969</v>
      </c>
      <c r="B753" t="s">
        <v>2246</v>
      </c>
      <c r="C753" s="30" t="s">
        <v>4935</v>
      </c>
      <c r="D753" s="26" t="s">
        <v>4936</v>
      </c>
      <c r="E753" s="45" t="str">
        <f xml:space="preserve"> CONCATENATE( MID(Table15[[#This Row],[PHASE]],2,3), MID(Table15[[#This Row],[DELIVERABLE]],2,4), TRIM(SUBSTITUTE(MID(Table15[[#This Row],[CONCERN.ID]],2,20),"","") )  )</f>
        <v>08.461.5947.00.0000</v>
      </c>
      <c r="F753" t="str">
        <f>TRIM(MID(Table15[[#This Row],[CONCERN.UNIQUEPATH]], IF( ISNUMBER( SEARCH("/",Table15[[#This Row],[CONCERN.UNIQUEPATH]])),SEARCH("/",Table15[[#This Row],[CONCERN.UNIQUEPATH]])+1,1),255))</f>
        <v>Usability/Configurability/User Profile</v>
      </c>
    </row>
    <row r="754" spans="1:6">
      <c r="A754" t="s">
        <v>1969</v>
      </c>
      <c r="B754" t="s">
        <v>2246</v>
      </c>
      <c r="C754" s="29" t="s">
        <v>4937</v>
      </c>
      <c r="D754" s="27" t="s">
        <v>922</v>
      </c>
      <c r="E754" t="str">
        <f xml:space="preserve"> CONCATENATE( MID(Table15[[#This Row],[PHASE]],2,3), MID(Table15[[#This Row],[DELIVERABLE]],2,4), TRIM(SUBSTITUTE(MID(Table15[[#This Row],[CONCERN.ID]],2,20),"","") )  )</f>
        <v>08.461.5950.00.0000</v>
      </c>
      <c r="F754" t="str">
        <f>TRIM(MID(Table15[[#This Row],[CONCERN.UNIQUEPATH]], IF( ISNUMBER( SEARCH("/",Table15[[#This Row],[CONCERN.UNIQUEPATH]])),SEARCH("/",Table15[[#This Row],[CONCERN.UNIQUEPATH]])+1,1),255))</f>
        <v>Usability/Learnability</v>
      </c>
    </row>
    <row r="755" spans="1:6">
      <c r="A755" t="s">
        <v>1969</v>
      </c>
      <c r="B755" t="s">
        <v>2246</v>
      </c>
      <c r="C755" s="30" t="s">
        <v>4938</v>
      </c>
      <c r="D755" s="26" t="s">
        <v>4939</v>
      </c>
      <c r="E755" s="45" t="str">
        <f xml:space="preserve"> CONCATENATE( MID(Table15[[#This Row],[PHASE]],2,3), MID(Table15[[#This Row],[DELIVERABLE]],2,4), TRIM(SUBSTITUTE(MID(Table15[[#This Row],[CONCERN.ID]],2,20),"","") )  )</f>
        <v>08.461.5951.00.0000</v>
      </c>
      <c r="F755" t="str">
        <f>TRIM(MID(Table15[[#This Row],[CONCERN.UNIQUEPATH]], IF( ISNUMBER( SEARCH("/",Table15[[#This Row],[CONCERN.UNIQUEPATH]])),SEARCH("/",Table15[[#This Row],[CONCERN.UNIQUEPATH]])+1,1),255))</f>
        <v>Usability/Learnability/Operations</v>
      </c>
    </row>
    <row r="756" spans="1:6">
      <c r="A756" t="s">
        <v>1969</v>
      </c>
      <c r="B756" t="s">
        <v>2246</v>
      </c>
      <c r="C756" s="32" t="s">
        <v>4940</v>
      </c>
      <c r="D756" s="27" t="s">
        <v>4941</v>
      </c>
      <c r="E756" t="str">
        <f xml:space="preserve"> CONCATENATE( MID(Table15[[#This Row],[PHASE]],2,3), MID(Table15[[#This Row],[DELIVERABLE]],2,4), TRIM(SUBSTITUTE(MID(Table15[[#This Row],[CONCERN.ID]],2,20),"","") )  )</f>
        <v>08.461.5951.01.0000</v>
      </c>
      <c r="F756" t="str">
        <f>TRIM(MID(Table15[[#This Row],[CONCERN.UNIQUEPATH]], IF( ISNUMBER( SEARCH("/",Table15[[#This Row],[CONCERN.UNIQUEPATH]])),SEARCH("/",Table15[[#This Row],[CONCERN.UNIQUEPATH]])+1,1),255))</f>
        <v>Usability/Learnability/Operations/Undoable</v>
      </c>
    </row>
    <row r="757" spans="1:6">
      <c r="A757" t="s">
        <v>1969</v>
      </c>
      <c r="B757" t="s">
        <v>2246</v>
      </c>
      <c r="C757" s="31" t="s">
        <v>4942</v>
      </c>
      <c r="D757" s="26" t="s">
        <v>4943</v>
      </c>
      <c r="E757" s="45" t="str">
        <f xml:space="preserve"> CONCATENATE( MID(Table15[[#This Row],[PHASE]],2,3), MID(Table15[[#This Row],[DELIVERABLE]],2,4), TRIM(SUBSTITUTE(MID(Table15[[#This Row],[CONCERN.ID]],2,20),"","") )  )</f>
        <v>08.461.5951.02.0000</v>
      </c>
      <c r="F757" t="str">
        <f>TRIM(MID(Table15[[#This Row],[CONCERN.UNIQUEPATH]], IF( ISNUMBER( SEARCH("/",Table15[[#This Row],[CONCERN.UNIQUEPATH]])),SEARCH("/",Table15[[#This Row],[CONCERN.UNIQUEPATH]])+1,1),255))</f>
        <v>Usability/Learnability/Operations/Delayable</v>
      </c>
    </row>
    <row r="758" spans="1:6">
      <c r="A758" t="s">
        <v>1969</v>
      </c>
      <c r="B758" t="s">
        <v>2246</v>
      </c>
      <c r="C758" s="29" t="s">
        <v>4944</v>
      </c>
      <c r="D758" s="27" t="s">
        <v>4945</v>
      </c>
      <c r="E758" t="str">
        <f xml:space="preserve"> CONCATENATE( MID(Table15[[#This Row],[PHASE]],2,3), MID(Table15[[#This Row],[DELIVERABLE]],2,4), TRIM(SUBSTITUTE(MID(Table15[[#This Row],[CONCERN.ID]],2,20),"","") )  )</f>
        <v>08.461.5952.00.0000</v>
      </c>
      <c r="F758" t="str">
        <f>TRIM(MID(Table15[[#This Row],[CONCERN.UNIQUEPATH]], IF( ISNUMBER( SEARCH("/",Table15[[#This Row],[CONCERN.UNIQUEPATH]])),SEARCH("/",Table15[[#This Row],[CONCERN.UNIQUEPATH]])+1,1),255))</f>
        <v>Usability/Learnability/Documentation</v>
      </c>
    </row>
    <row r="759" spans="1:6">
      <c r="A759" t="s">
        <v>1969</v>
      </c>
      <c r="B759" t="s">
        <v>2246</v>
      </c>
      <c r="C759" s="31" t="s">
        <v>4946</v>
      </c>
      <c r="D759" s="26" t="s">
        <v>4947</v>
      </c>
      <c r="E759" s="45" t="str">
        <f xml:space="preserve"> CONCATENATE( MID(Table15[[#This Row],[PHASE]],2,3), MID(Table15[[#This Row],[DELIVERABLE]],2,4), TRIM(SUBSTITUTE(MID(Table15[[#This Row],[CONCERN.ID]],2,20),"","") )  )</f>
        <v>08.461.5952.01.0000</v>
      </c>
      <c r="F759" t="str">
        <f>TRIM(MID(Table15[[#This Row],[CONCERN.UNIQUEPATH]], IF( ISNUMBER( SEARCH("/",Table15[[#This Row],[CONCERN.UNIQUEPATH]])),SEARCH("/",Table15[[#This Row],[CONCERN.UNIQUEPATH]])+1,1),255))</f>
        <v>Usability/Learnability/Documentation/Is Available &amp; Online</v>
      </c>
    </row>
    <row r="760" spans="1:6">
      <c r="A760" t="s">
        <v>1969</v>
      </c>
      <c r="B760" t="s">
        <v>2246</v>
      </c>
      <c r="C760" s="32" t="s">
        <v>4948</v>
      </c>
      <c r="D760" s="27" t="s">
        <v>4949</v>
      </c>
      <c r="E760" t="str">
        <f xml:space="preserve"> CONCATENATE( MID(Table15[[#This Row],[PHASE]],2,3), MID(Table15[[#This Row],[DELIVERABLE]],2,4), TRIM(SUBSTITUTE(MID(Table15[[#This Row],[CONCERN.ID]],2,20),"","") )  )</f>
        <v>08.461.5952.02.0000</v>
      </c>
      <c r="F760" t="str">
        <f>TRIM(MID(Table15[[#This Row],[CONCERN.UNIQUEPATH]], IF( ISNUMBER( SEARCH("/",Table15[[#This Row],[CONCERN.UNIQUEPATH]])),SEARCH("/",Table15[[#This Row],[CONCERN.UNIQUEPATH]])+1,1),255))</f>
        <v>Usability/Learnability/Documentation/Is Searchable</v>
      </c>
    </row>
    <row r="761" spans="1:6">
      <c r="A761" t="s">
        <v>1969</v>
      </c>
      <c r="B761" t="s">
        <v>2246</v>
      </c>
      <c r="C761" s="31" t="s">
        <v>4950</v>
      </c>
      <c r="D761" s="26" t="s">
        <v>4951</v>
      </c>
      <c r="E761" s="45" t="str">
        <f xml:space="preserve"> CONCATENATE( MID(Table15[[#This Row],[PHASE]],2,3), MID(Table15[[#This Row],[DELIVERABLE]],2,4), TRIM(SUBSTITUTE(MID(Table15[[#This Row],[CONCERN.ID]],2,20),"","") )  )</f>
        <v>08.461.5952.03.0000</v>
      </c>
      <c r="F761" t="str">
        <f>TRIM(MID(Table15[[#This Row],[CONCERN.UNIQUEPATH]], IF( ISNUMBER( SEARCH("/",Table15[[#This Row],[CONCERN.UNIQUEPATH]])),SEARCH("/",Table15[[#This Row],[CONCERN.UNIQUEPATH]])+1,1),255))</f>
        <v>Usability/Learnability/Documentation/Dynamically Updatable</v>
      </c>
    </row>
    <row r="762" spans="1:6">
      <c r="A762" t="s">
        <v>1969</v>
      </c>
      <c r="B762" t="s">
        <v>2246</v>
      </c>
      <c r="C762" s="29" t="s">
        <v>4952</v>
      </c>
      <c r="D762" s="27" t="s">
        <v>4953</v>
      </c>
      <c r="E762" t="str">
        <f xml:space="preserve"> CONCATENATE( MID(Table15[[#This Row],[PHASE]],2,3), MID(Table15[[#This Row],[DELIVERABLE]],2,4), TRIM(SUBSTITUTE(MID(Table15[[#This Row],[CONCERN.ID]],2,20),"","") )  )</f>
        <v>08.461.5953.00.0000</v>
      </c>
      <c r="F762" t="str">
        <f>TRIM(MID(Table15[[#This Row],[CONCERN.UNIQUEPATH]], IF( ISNUMBER( SEARCH("/",Table15[[#This Row],[CONCERN.UNIQUEPATH]])),SEARCH("/",Table15[[#This Row],[CONCERN.UNIQUEPATH]])+1,1),255))</f>
        <v>Usability/Learnability/Training Not Required</v>
      </c>
    </row>
    <row r="763" spans="1:6">
      <c r="A763" t="s">
        <v>1969</v>
      </c>
      <c r="B763" t="s">
        <v>2246</v>
      </c>
      <c r="C763" s="30" t="s">
        <v>4954</v>
      </c>
      <c r="D763" s="26" t="s">
        <v>143</v>
      </c>
      <c r="E763" s="45" t="str">
        <f xml:space="preserve"> CONCATENATE( MID(Table15[[#This Row],[PHASE]],2,3), MID(Table15[[#This Row],[DELIVERABLE]],2,4), TRIM(SUBSTITUTE(MID(Table15[[#This Row],[CONCERN.ID]],2,20),"","") )  )</f>
        <v>08.461.5960.00.0000</v>
      </c>
      <c r="F763" t="str">
        <f>TRIM(MID(Table15[[#This Row],[CONCERN.UNIQUEPATH]], IF( ISNUMBER( SEARCH("/",Table15[[#This Row],[CONCERN.UNIQUEPATH]])),SEARCH("/",Table15[[#This Row],[CONCERN.UNIQUEPATH]])+1,1),255))</f>
        <v>Usability/Operability</v>
      </c>
    </row>
    <row r="764" spans="1:6">
      <c r="A764" t="s">
        <v>1969</v>
      </c>
      <c r="B764" t="s">
        <v>2246</v>
      </c>
      <c r="C764" s="29" t="s">
        <v>4955</v>
      </c>
      <c r="D764" s="27" t="s">
        <v>4956</v>
      </c>
      <c r="E764" t="str">
        <f xml:space="preserve"> CONCATENATE( MID(Table15[[#This Row],[PHASE]],2,3), MID(Table15[[#This Row],[DELIVERABLE]],2,4), TRIM(SUBSTITUTE(MID(Table15[[#This Row],[CONCERN.ID]],2,20),"","") )  )</f>
        <v>08.461.5961.00.0000</v>
      </c>
      <c r="F764" t="str">
        <f>TRIM(MID(Table15[[#This Row],[CONCERN.UNIQUEPATH]], IF( ISNUMBER( SEARCH("/",Table15[[#This Row],[CONCERN.UNIQUEPATH]])),SEARCH("/",Table15[[#This Row],[CONCERN.UNIQUEPATH]])+1,1),255))</f>
        <v>Usability/Operability/Reporting</v>
      </c>
    </row>
    <row r="765" spans="1:6">
      <c r="A765" t="s">
        <v>1969</v>
      </c>
      <c r="B765" t="s">
        <v>2246</v>
      </c>
      <c r="C765" s="31" t="s">
        <v>4957</v>
      </c>
      <c r="D765" s="26" t="s">
        <v>4958</v>
      </c>
      <c r="E765" s="45" t="str">
        <f xml:space="preserve"> CONCATENATE( MID(Table15[[#This Row],[PHASE]],2,3), MID(Table15[[#This Row],[DELIVERABLE]],2,4), TRIM(SUBSTITUTE(MID(Table15[[#This Row],[CONCERN.ID]],2,20),"","") )  )</f>
        <v>08.461.5961.01.0000</v>
      </c>
      <c r="F765" t="str">
        <f>TRIM(MID(Table15[[#This Row],[CONCERN.UNIQUEPATH]], IF( ISNUMBER( SEARCH("/",Table15[[#This Row],[CONCERN.UNIQUEPATH]])),SEARCH("/",Table15[[#This Row],[CONCERN.UNIQUEPATH]])+1,1),255))</f>
        <v>Usability/Operability/Reporting/Free</v>
      </c>
    </row>
    <row r="766" spans="1:6">
      <c r="A766" t="s">
        <v>1969</v>
      </c>
      <c r="B766" t="s">
        <v>2246</v>
      </c>
      <c r="C766" s="32" t="s">
        <v>4959</v>
      </c>
      <c r="D766" s="27" t="s">
        <v>4960</v>
      </c>
      <c r="E766" t="str">
        <f xml:space="preserve"> CONCATENATE( MID(Table15[[#This Row],[PHASE]],2,3), MID(Table15[[#This Row],[DELIVERABLE]],2,4), TRIM(SUBSTITUTE(MID(Table15[[#This Row],[CONCERN.ID]],2,20),"","") )  )</f>
        <v>08.461.5961.02.0000</v>
      </c>
      <c r="F766" t="str">
        <f>TRIM(MID(Table15[[#This Row],[CONCERN.UNIQUEPATH]], IF( ISNUMBER( SEARCH("/",Table15[[#This Row],[CONCERN.UNIQUEPATH]])),SEARCH("/",Table15[[#This Row],[CONCERN.UNIQUEPATH]])+1,1),255))</f>
        <v>Usability/Operability/Reporting/Filterable</v>
      </c>
    </row>
    <row r="767" spans="1:6">
      <c r="A767" t="s">
        <v>1969</v>
      </c>
      <c r="B767" t="s">
        <v>2246</v>
      </c>
      <c r="C767" s="31" t="s">
        <v>4961</v>
      </c>
      <c r="D767" s="26" t="s">
        <v>4962</v>
      </c>
      <c r="E767" s="45" t="str">
        <f xml:space="preserve"> CONCATENATE( MID(Table15[[#This Row],[PHASE]],2,3), MID(Table15[[#This Row],[DELIVERABLE]],2,4), TRIM(SUBSTITUTE(MID(Table15[[#This Row],[CONCERN.ID]],2,20),"","") )  )</f>
        <v>08.461.5961.03.0000</v>
      </c>
      <c r="F767" t="str">
        <f>TRIM(MID(Table15[[#This Row],[CONCERN.UNIQUEPATH]], IF( ISNUMBER( SEARCH("/",Table15[[#This Row],[CONCERN.UNIQUEPATH]])),SEARCH("/",Table15[[#This Row],[CONCERN.UNIQUEPATH]])+1,1),255))</f>
        <v>Usability/Operability/Reporting/Sortable</v>
      </c>
    </row>
    <row r="768" spans="1:6">
      <c r="A768" t="s">
        <v>1969</v>
      </c>
      <c r="B768" t="s">
        <v>2246</v>
      </c>
      <c r="C768" s="32" t="s">
        <v>4963</v>
      </c>
      <c r="D768" s="27" t="s">
        <v>4964</v>
      </c>
      <c r="E768" t="str">
        <f xml:space="preserve"> CONCATENATE( MID(Table15[[#This Row],[PHASE]],2,3), MID(Table15[[#This Row],[DELIVERABLE]],2,4), TRIM(SUBSTITUTE(MID(Table15[[#This Row],[CONCERN.ID]],2,20),"","") )  )</f>
        <v>08.461.5961.04.0000</v>
      </c>
      <c r="F768" t="str">
        <f>TRIM(MID(Table15[[#This Row],[CONCERN.UNIQUEPATH]], IF( ISNUMBER( SEARCH("/",Table15[[#This Row],[CONCERN.UNIQUEPATH]])),SEARCH("/",Table15[[#This Row],[CONCERN.UNIQUEPATH]])+1,1),255))</f>
        <v>Usability/Operability/Reporting/Printable</v>
      </c>
    </row>
    <row r="769" spans="1:6">
      <c r="A769" t="s">
        <v>1969</v>
      </c>
      <c r="B769" t="s">
        <v>2246</v>
      </c>
      <c r="C769" s="31" t="s">
        <v>4965</v>
      </c>
      <c r="D769" s="26" t="s">
        <v>4966</v>
      </c>
      <c r="E769" s="45" t="str">
        <f xml:space="preserve"> CONCATENATE( MID(Table15[[#This Row],[PHASE]],2,3), MID(Table15[[#This Row],[DELIVERABLE]],2,4), TRIM(SUBSTITUTE(MID(Table15[[#This Row],[CONCERN.ID]],2,20),"","") )  )</f>
        <v>08.461.5961.05.0000</v>
      </c>
      <c r="F769" t="str">
        <f>TRIM(MID(Table15[[#This Row],[CONCERN.UNIQUEPATH]], IF( ISNUMBER( SEARCH("/",Table15[[#This Row],[CONCERN.UNIQUEPATH]])),SEARCH("/",Table15[[#This Row],[CONCERN.UNIQUEPATH]])+1,1),255))</f>
        <v>Usability/Operability/Reporting/Clear of UI Artefacts</v>
      </c>
    </row>
    <row r="770" spans="1:6">
      <c r="A770" t="s">
        <v>1969</v>
      </c>
      <c r="B770" t="s">
        <v>2246</v>
      </c>
      <c r="C770" s="32" t="s">
        <v>4967</v>
      </c>
      <c r="D770" s="27" t="s">
        <v>4968</v>
      </c>
      <c r="E770" t="str">
        <f xml:space="preserve"> CONCATENATE( MID(Table15[[#This Row],[PHASE]],2,3), MID(Table15[[#This Row],[DELIVERABLE]],2,4), TRIM(SUBSTITUTE(MID(Table15[[#This Row],[CONCERN.ID]],2,20),"","") )  )</f>
        <v>08.461.5961.06.0000</v>
      </c>
      <c r="F770" t="str">
        <f>TRIM(MID(Table15[[#This Row],[CONCERN.UNIQUEPATH]], IF( ISNUMBER( SEARCH("/",Table15[[#This Row],[CONCERN.UNIQUEPATH]])),SEARCH("/",Table15[[#This Row],[CONCERN.UNIQUEPATH]])+1,1),255))</f>
        <v>Usability/Operability/Reporting/UI and Print layouts are distinct</v>
      </c>
    </row>
    <row r="771" spans="1:6">
      <c r="A771" t="s">
        <v>1969</v>
      </c>
      <c r="B771" t="s">
        <v>2246</v>
      </c>
      <c r="C771" s="31" t="s">
        <v>4969</v>
      </c>
      <c r="D771" s="26" t="s">
        <v>4970</v>
      </c>
      <c r="E771" s="45" t="str">
        <f xml:space="preserve"> CONCATENATE( MID(Table15[[#This Row],[PHASE]],2,3), MID(Table15[[#This Row],[DELIVERABLE]],2,4), TRIM(SUBSTITUTE(MID(Table15[[#This Row],[CONCERN.ID]],2,20),"","") )  )</f>
        <v>08.461.5961.07.0000</v>
      </c>
      <c r="F771" t="str">
        <f>TRIM(MID(Table15[[#This Row],[CONCERN.UNIQUEPATH]], IF( ISNUMBER( SEARCH("/",Table15[[#This Row],[CONCERN.UNIQUEPATH]])),SEARCH("/",Table15[[#This Row],[CONCERN.UNIQUEPATH]])+1,1),255))</f>
        <v>Usability/Operability/Reporting/PDF</v>
      </c>
    </row>
    <row r="772" spans="1:6">
      <c r="A772" t="s">
        <v>1969</v>
      </c>
      <c r="B772" t="s">
        <v>2246</v>
      </c>
      <c r="C772" s="32" t="s">
        <v>4971</v>
      </c>
      <c r="D772" s="27" t="s">
        <v>4972</v>
      </c>
      <c r="E772" t="str">
        <f xml:space="preserve"> CONCATENATE( MID(Table15[[#This Row],[PHASE]],2,3), MID(Table15[[#This Row],[DELIVERABLE]],2,4), TRIM(SUBSTITUTE(MID(Table15[[#This Row],[CONCERN.ID]],2,20),"","") )  )</f>
        <v>08.461.5961.08.0000</v>
      </c>
      <c r="F772" t="str">
        <f>TRIM(MID(Table15[[#This Row],[CONCERN.UNIQUEPATH]], IF( ISNUMBER( SEARCH("/",Table15[[#This Row],[CONCERN.UNIQUEPATH]])),SEARCH("/",Table15[[#This Row],[CONCERN.UNIQUEPATH]])+1,1),255))</f>
        <v>Usability/Operability/Reporting/Unalterable (Digitally Signed)</v>
      </c>
    </row>
    <row r="773" spans="1:6">
      <c r="A773" t="s">
        <v>1969</v>
      </c>
      <c r="B773" t="s">
        <v>2246</v>
      </c>
      <c r="C773" s="30" t="s">
        <v>4973</v>
      </c>
      <c r="D773" s="26" t="s">
        <v>4974</v>
      </c>
      <c r="E773" s="45" t="str">
        <f xml:space="preserve"> CONCATENATE( MID(Table15[[#This Row],[PHASE]],2,3), MID(Table15[[#This Row],[DELIVERABLE]],2,4), TRIM(SUBSTITUTE(MID(Table15[[#This Row],[CONCERN.ID]],2,20),"","") )  )</f>
        <v>08.461.5963.00.0000</v>
      </c>
      <c r="F773" t="str">
        <f>TRIM(MID(Table15[[#This Row],[CONCERN.UNIQUEPATH]], IF( ISNUMBER( SEARCH("/",Table15[[#This Row],[CONCERN.UNIQUEPATH]])),SEARCH("/",Table15[[#This Row],[CONCERN.UNIQUEPATH]])+1,1),255))</f>
        <v>Usability/Accessibility/Dashboards</v>
      </c>
    </row>
    <row r="774" spans="1:6">
      <c r="A774" t="s">
        <v>1969</v>
      </c>
      <c r="B774" t="s">
        <v>2246</v>
      </c>
      <c r="C774" s="32" t="s">
        <v>4975</v>
      </c>
      <c r="D774" s="27" t="s">
        <v>4976</v>
      </c>
      <c r="E774" t="str">
        <f xml:space="preserve"> CONCATENATE( MID(Table15[[#This Row],[PHASE]],2,3), MID(Table15[[#This Row],[DELIVERABLE]],2,4), TRIM(SUBSTITUTE(MID(Table15[[#This Row],[CONCERN.ID]],2,20),"","") )  )</f>
        <v>08.461.5963.01.0000</v>
      </c>
      <c r="F774" t="str">
        <f>TRIM(MID(Table15[[#This Row],[CONCERN.UNIQUEPATH]], IF( ISNUMBER( SEARCH("/",Table15[[#This Row],[CONCERN.UNIQUEPATH]])),SEARCH("/",Table15[[#This Row],[CONCERN.UNIQUEPATH]])+1,1),255))</f>
        <v>Usability/Accessibility/Dashboards/Public Users</v>
      </c>
    </row>
    <row r="775" spans="1:6">
      <c r="A775" t="s">
        <v>1969</v>
      </c>
      <c r="B775" t="s">
        <v>2246</v>
      </c>
      <c r="C775" s="31" t="s">
        <v>4977</v>
      </c>
      <c r="D775" s="26" t="s">
        <v>4978</v>
      </c>
      <c r="E775" s="45" t="str">
        <f xml:space="preserve"> CONCATENATE( MID(Table15[[#This Row],[PHASE]],2,3), MID(Table15[[#This Row],[DELIVERABLE]],2,4), TRIM(SUBSTITUTE(MID(Table15[[#This Row],[CONCERN.ID]],2,20),"","") )  )</f>
        <v>08.461.5963.02.0000</v>
      </c>
      <c r="F775" t="str">
        <f>TRIM(MID(Table15[[#This Row],[CONCERN.UNIQUEPATH]], IF( ISNUMBER( SEARCH("/",Table15[[#This Row],[CONCERN.UNIQUEPATH]])),SEARCH("/",Table15[[#This Row],[CONCERN.UNIQUEPATH]])+1,1),255))</f>
        <v>Usability/Accessibility/Dashboards/Authenticated Users</v>
      </c>
    </row>
    <row r="776" spans="1:6">
      <c r="A776" t="s">
        <v>1969</v>
      </c>
      <c r="B776" t="s">
        <v>2246</v>
      </c>
      <c r="C776" s="29" t="s">
        <v>4979</v>
      </c>
      <c r="D776" s="27" t="s">
        <v>4980</v>
      </c>
      <c r="E776" t="str">
        <f xml:space="preserve"> CONCATENATE( MID(Table15[[#This Row],[PHASE]],2,3), MID(Table15[[#This Row],[DELIVERABLE]],2,4), TRIM(SUBSTITUTE(MID(Table15[[#This Row],[CONCERN.ID]],2,20),"","") )  )</f>
        <v>08.461.5964.00.0000</v>
      </c>
      <c r="F776" t="str">
        <f>TRIM(MID(Table15[[#This Row],[CONCERN.UNIQUEPATH]], IF( ISNUMBER( SEARCH("/",Table15[[#This Row],[CONCERN.UNIQUEPATH]])),SEARCH("/",Table15[[#This Row],[CONCERN.UNIQUEPATH]])+1,1),255))</f>
        <v>Usability/Operability/Dependencies</v>
      </c>
    </row>
    <row r="777" spans="1:6">
      <c r="A777" t="s">
        <v>1969</v>
      </c>
      <c r="B777" t="s">
        <v>2246</v>
      </c>
      <c r="C777" s="31" t="s">
        <v>4981</v>
      </c>
      <c r="D777" s="26" t="s">
        <v>4982</v>
      </c>
      <c r="E777" s="45" t="str">
        <f xml:space="preserve"> CONCATENATE( MID(Table15[[#This Row],[PHASE]],2,3), MID(Table15[[#This Row],[DELIVERABLE]],2,4), TRIM(SUBSTITUTE(MID(Table15[[#This Row],[CONCERN.ID]],2,20),"","") )  )</f>
        <v>08.461.5964.01.0000</v>
      </c>
      <c r="F777" t="str">
        <f>TRIM(MID(Table15[[#This Row],[CONCERN.UNIQUEPATH]], IF( ISNUMBER( SEARCH("/",Table15[[#This Row],[CONCERN.UNIQUEPATH]])),SEARCH("/",Table15[[#This Row],[CONCERN.UNIQUEPATH]])+1,1),255))</f>
        <v>Usability/Operability/Dependencies/Device</v>
      </c>
    </row>
    <row r="778" spans="1:6">
      <c r="A778" t="s">
        <v>1969</v>
      </c>
      <c r="B778" t="s">
        <v>2246</v>
      </c>
      <c r="C778" s="32" t="s">
        <v>4983</v>
      </c>
      <c r="D778" s="27" t="s">
        <v>4984</v>
      </c>
      <c r="E778" t="str">
        <f xml:space="preserve"> CONCATENATE( MID(Table15[[#This Row],[PHASE]],2,3), MID(Table15[[#This Row],[DELIVERABLE]],2,4), TRIM(SUBSTITUTE(MID(Table15[[#This Row],[CONCERN.ID]],2,20),"","") )  )</f>
        <v>08.461.5964.02.0000</v>
      </c>
      <c r="F778" t="str">
        <f>TRIM(MID(Table15[[#This Row],[CONCERN.UNIQUEPATH]], IF( ISNUMBER( SEARCH("/",Table15[[#This Row],[CONCERN.UNIQUEPATH]])),SEARCH("/",Table15[[#This Row],[CONCERN.UNIQUEPATH]])+1,1),255))</f>
        <v>Usability/Operability/Dependencies/Permissions</v>
      </c>
    </row>
    <row r="779" spans="1:6">
      <c r="A779" t="s">
        <v>1969</v>
      </c>
      <c r="B779" t="s">
        <v>2246</v>
      </c>
      <c r="C779" s="36" t="s">
        <v>4985</v>
      </c>
      <c r="D779" s="26" t="s">
        <v>4986</v>
      </c>
      <c r="E779" s="45" t="str">
        <f xml:space="preserve"> CONCATENATE( MID(Table15[[#This Row],[PHASE]],2,3), MID(Table15[[#This Row],[DELIVERABLE]],2,4), TRIM(SUBSTITUTE(MID(Table15[[#This Row],[CONCERN.ID]],2,20),"","") )  )</f>
        <v>08.461.5964.02.1000</v>
      </c>
      <c r="F779" t="str">
        <f>TRIM(MID(Table15[[#This Row],[CONCERN.UNIQUEPATH]], IF( ISNUMBER( SEARCH("/",Table15[[#This Row],[CONCERN.UNIQUEPATH]])),SEARCH("/",Table15[[#This Row],[CONCERN.UNIQUEPATH]])+1,1),255))</f>
        <v>Usability/Operability/Dependencies/Permissions/Request Least</v>
      </c>
    </row>
    <row r="780" spans="1:6">
      <c r="A780" t="s">
        <v>1969</v>
      </c>
      <c r="B780" t="s">
        <v>2246</v>
      </c>
      <c r="C780" s="33" t="s">
        <v>4987</v>
      </c>
      <c r="D780" s="27" t="s">
        <v>4988</v>
      </c>
      <c r="E780" t="str">
        <f xml:space="preserve"> CONCATENATE( MID(Table15[[#This Row],[PHASE]],2,3), MID(Table15[[#This Row],[DELIVERABLE]],2,4), TRIM(SUBSTITUTE(MID(Table15[[#This Row],[CONCERN.ID]],2,20),"","") )  )</f>
        <v>08.461.5964.02.2000</v>
      </c>
      <c r="F780" t="str">
        <f>TRIM(MID(Table15[[#This Row],[CONCERN.UNIQUEPATH]], IF( ISNUMBER( SEARCH("/",Table15[[#This Row],[CONCERN.UNIQUEPATH]])),SEARCH("/",Table15[[#This Row],[CONCERN.UNIQUEPATH]])+1,1),255))</f>
        <v>Usability/Operability/Dependencies/Permissions/Request As Needed</v>
      </c>
    </row>
    <row r="781" spans="1:6">
      <c r="A781" t="s">
        <v>1969</v>
      </c>
      <c r="B781" t="s">
        <v>2246</v>
      </c>
      <c r="C781" s="30" t="s">
        <v>4989</v>
      </c>
      <c r="D781" s="26" t="s">
        <v>255</v>
      </c>
      <c r="E781" s="45" t="str">
        <f xml:space="preserve"> CONCATENATE( MID(Table15[[#This Row],[PHASE]],2,3), MID(Table15[[#This Row],[DELIVERABLE]],2,4), TRIM(SUBSTITUTE(MID(Table15[[#This Row],[CONCERN.ID]],2,20),"","") )  )</f>
        <v>08.461.5970.00.0000</v>
      </c>
      <c r="F781" t="str">
        <f>TRIM(MID(Table15[[#This Row],[CONCERN.UNIQUEPATH]], IF( ISNUMBER( SEARCH("/",Table15[[#This Row],[CONCERN.UNIQUEPATH]])),SEARCH("/",Table15[[#This Row],[CONCERN.UNIQUEPATH]])+1,1),255))</f>
        <v>Usability/Accessibility</v>
      </c>
    </row>
    <row r="782" spans="1:6">
      <c r="A782" t="s">
        <v>1969</v>
      </c>
      <c r="B782" t="s">
        <v>2246</v>
      </c>
      <c r="C782" s="29" t="s">
        <v>4990</v>
      </c>
      <c r="D782" s="27" t="s">
        <v>4991</v>
      </c>
      <c r="E782" t="str">
        <f xml:space="preserve"> CONCATENATE( MID(Table15[[#This Row],[PHASE]],2,3), MID(Table15[[#This Row],[DELIVERABLE]],2,4), TRIM(SUBSTITUTE(MID(Table15[[#This Row],[CONCERN.ID]],2,20),"","") )  )</f>
        <v>08.461.5971.01.0000</v>
      </c>
      <c r="F782" t="str">
        <f>TRIM(MID(Table15[[#This Row],[CONCERN.UNIQUEPATH]], IF( ISNUMBER( SEARCH("/",Table15[[#This Row],[CONCERN.UNIQUEPATH]])),SEARCH("/",Table15[[#This Row],[CONCERN.UNIQUEPATH]])+1,1),255))</f>
        <v>Usability/Accessibility/WCAG</v>
      </c>
    </row>
    <row r="783" spans="1:6">
      <c r="A783" t="s">
        <v>1969</v>
      </c>
      <c r="B783" t="s">
        <v>2246</v>
      </c>
      <c r="C783" s="31" t="s">
        <v>4992</v>
      </c>
      <c r="D783" s="26" t="s">
        <v>4993</v>
      </c>
      <c r="E783" s="45" t="str">
        <f xml:space="preserve"> CONCATENATE( MID(Table15[[#This Row],[PHASE]],2,3), MID(Table15[[#This Row],[DELIVERABLE]],2,4), TRIM(SUBSTITUTE(MID(Table15[[#This Row],[CONCERN.ID]],2,20),"","") )  )</f>
        <v>08.461.5971.07.1000</v>
      </c>
      <c r="F783" t="str">
        <f>TRIM(MID(Table15[[#This Row],[CONCERN.UNIQUEPATH]], IF( ISNUMBER( SEARCH("/",Table15[[#This Row],[CONCERN.UNIQUEPATH]])),SEARCH("/",Table15[[#This Row],[CONCERN.UNIQUEPATH]])+1,1),255))</f>
        <v>Usability/Accessibility/By API/Queryable</v>
      </c>
    </row>
    <row r="784" spans="1:6">
      <c r="A784" t="s">
        <v>1969</v>
      </c>
      <c r="B784" t="s">
        <v>2246</v>
      </c>
      <c r="C784" s="29" t="s">
        <v>4994</v>
      </c>
      <c r="D784" s="27" t="s">
        <v>4995</v>
      </c>
      <c r="E784" t="str">
        <f xml:space="preserve"> CONCATENATE( MID(Table15[[#This Row],[PHASE]],2,3), MID(Table15[[#This Row],[DELIVERABLE]],2,4), TRIM(SUBSTITUTE(MID(Table15[[#This Row],[CONCERN.ID]],2,20),"","") )  )</f>
        <v>08.461.5972.02.0000</v>
      </c>
      <c r="F784" t="str">
        <f>TRIM(MID(Table15[[#This Row],[CONCERN.UNIQUEPATH]], IF( ISNUMBER( SEARCH("/",Table15[[#This Row],[CONCERN.UNIQUEPATH]])),SEARCH("/",Table15[[#This Row],[CONCERN.UNIQUEPATH]])+1,1),255))</f>
        <v>Usability/Accessibility/Colours</v>
      </c>
    </row>
    <row r="785" spans="1:6">
      <c r="A785" t="s">
        <v>1969</v>
      </c>
      <c r="B785" t="s">
        <v>2246</v>
      </c>
      <c r="C785" s="31" t="s">
        <v>4996</v>
      </c>
      <c r="D785" s="26" t="s">
        <v>4997</v>
      </c>
      <c r="E785" s="45" t="str">
        <f xml:space="preserve"> CONCATENATE( MID(Table15[[#This Row],[PHASE]],2,3), MID(Table15[[#This Row],[DELIVERABLE]],2,4), TRIM(SUBSTITUTE(MID(Table15[[#This Row],[CONCERN.ID]],2,20),"","") )  )</f>
        <v>08.461.5972.02.1000</v>
      </c>
      <c r="F785" t="str">
        <f>TRIM(MID(Table15[[#This Row],[CONCERN.UNIQUEPATH]], IF( ISNUMBER( SEARCH("/",Table15[[#This Row],[CONCERN.UNIQUEPATH]])),SEARCH("/",Table15[[#This Row],[CONCERN.UNIQUEPATH]])+1,1),255))</f>
        <v>Usability/Accessibility/Colours/RedGreen</v>
      </c>
    </row>
    <row r="786" spans="1:6">
      <c r="A786" t="s">
        <v>1969</v>
      </c>
      <c r="B786" t="s">
        <v>2246</v>
      </c>
      <c r="C786" s="32" t="s">
        <v>4998</v>
      </c>
      <c r="D786" s="27" t="s">
        <v>4999</v>
      </c>
      <c r="E786" t="str">
        <f xml:space="preserve"> CONCATENATE( MID(Table15[[#This Row],[PHASE]],2,3), MID(Table15[[#This Row],[DELIVERABLE]],2,4), TRIM(SUBSTITUTE(MID(Table15[[#This Row],[CONCERN.ID]],2,20),"","") )  )</f>
        <v>08.461.5972.02.2000</v>
      </c>
      <c r="F786" t="str">
        <f>TRIM(MID(Table15[[#This Row],[CONCERN.UNIQUEPATH]], IF( ISNUMBER( SEARCH("/",Table15[[#This Row],[CONCERN.UNIQUEPATH]])),SEARCH("/",Table15[[#This Row],[CONCERN.UNIQUEPATH]])+1,1),255))</f>
        <v>Usability/Accessibility/Colours/BlueYellow</v>
      </c>
    </row>
    <row r="787" spans="1:6">
      <c r="A787" t="s">
        <v>1969</v>
      </c>
      <c r="B787" t="s">
        <v>2246</v>
      </c>
      <c r="C787" s="30" t="s">
        <v>5000</v>
      </c>
      <c r="D787" s="26" t="s">
        <v>5001</v>
      </c>
      <c r="E787" s="45" t="str">
        <f xml:space="preserve"> CONCATENATE( MID(Table15[[#This Row],[PHASE]],2,3), MID(Table15[[#This Row],[DELIVERABLE]],2,4), TRIM(SUBSTITUTE(MID(Table15[[#This Row],[CONCERN.ID]],2,20),"","") )  )</f>
        <v>08.461.5973.01.0000</v>
      </c>
      <c r="F787" t="str">
        <f>TRIM(MID(Table15[[#This Row],[CONCERN.UNIQUEPATH]], IF( ISNUMBER( SEARCH("/",Table15[[#This Row],[CONCERN.UNIQUEPATH]])),SEARCH("/",Table15[[#This Row],[CONCERN.UNIQUEPATH]])+1,1),255))</f>
        <v>Usability/Accessibility/Images</v>
      </c>
    </row>
    <row r="788" spans="1:6">
      <c r="A788" t="s">
        <v>1969</v>
      </c>
      <c r="B788" t="s">
        <v>2246</v>
      </c>
      <c r="C788" s="32" t="s">
        <v>5002</v>
      </c>
      <c r="D788" s="27" t="s">
        <v>5003</v>
      </c>
      <c r="E788" t="str">
        <f xml:space="preserve"> CONCATENATE( MID(Table15[[#This Row],[PHASE]],2,3), MID(Table15[[#This Row],[DELIVERABLE]],2,4), TRIM(SUBSTITUTE(MID(Table15[[#This Row],[CONCERN.ID]],2,20),"","") )  )</f>
        <v>08.461.5973.01.1000</v>
      </c>
      <c r="F788" t="str">
        <f>TRIM(MID(Table15[[#This Row],[CONCERN.UNIQUEPATH]], IF( ISNUMBER( SEARCH("/",Table15[[#This Row],[CONCERN.UNIQUEPATH]])),SEARCH("/",Table15[[#This Row],[CONCERN.UNIQUEPATH]])+1,1),255))</f>
        <v>Usability/Accessibility/Images/AltTet</v>
      </c>
    </row>
    <row r="789" spans="1:6">
      <c r="A789" t="s">
        <v>1969</v>
      </c>
      <c r="B789" t="s">
        <v>2246</v>
      </c>
      <c r="C789" s="31" t="s">
        <v>5002</v>
      </c>
      <c r="D789" s="26" t="s">
        <v>5004</v>
      </c>
      <c r="E789" s="45" t="str">
        <f xml:space="preserve"> CONCATENATE( MID(Table15[[#This Row],[PHASE]],2,3), MID(Table15[[#This Row],[DELIVERABLE]],2,4), TRIM(SUBSTITUTE(MID(Table15[[#This Row],[CONCERN.ID]],2,20),"","") )  )</f>
        <v>08.461.5973.01.1000</v>
      </c>
      <c r="F789" t="str">
        <f>TRIM(MID(Table15[[#This Row],[CONCERN.UNIQUEPATH]], IF( ISNUMBER( SEARCH("/",Table15[[#This Row],[CONCERN.UNIQUEPATH]])),SEARCH("/",Table15[[#This Row],[CONCERN.UNIQUEPATH]])+1,1),255))</f>
        <v>Usability/Accessibility/Images/Monochrome</v>
      </c>
    </row>
    <row r="790" spans="1:6">
      <c r="A790" t="s">
        <v>1969</v>
      </c>
      <c r="B790" t="s">
        <v>2246</v>
      </c>
      <c r="C790" s="32" t="s">
        <v>5005</v>
      </c>
      <c r="D790" s="27" t="s">
        <v>5006</v>
      </c>
      <c r="E790" t="str">
        <f xml:space="preserve"> CONCATENATE( MID(Table15[[#This Row],[PHASE]],2,3), MID(Table15[[#This Row],[DELIVERABLE]],2,4), TRIM(SUBSTITUTE(MID(Table15[[#This Row],[CONCERN.ID]],2,20),"","") )  )</f>
        <v>08.461.5973.01.3000</v>
      </c>
      <c r="F790" t="str">
        <f>TRIM(MID(Table15[[#This Row],[CONCERN.UNIQUEPATH]], IF( ISNUMBER( SEARCH("/",Table15[[#This Row],[CONCERN.UNIQUEPATH]])),SEARCH("/",Table15[[#This Row],[CONCERN.UNIQUEPATH]])+1,1),255))</f>
        <v>Usability/Accessibility/Images/Scalable</v>
      </c>
    </row>
    <row r="791" spans="1:6">
      <c r="A791" t="s">
        <v>1969</v>
      </c>
      <c r="B791" t="s">
        <v>2246</v>
      </c>
      <c r="C791" s="30" t="s">
        <v>5007</v>
      </c>
      <c r="D791" s="26" t="s">
        <v>5008</v>
      </c>
      <c r="E791" s="45" t="str">
        <f xml:space="preserve"> CONCATENATE( MID(Table15[[#This Row],[PHASE]],2,3), MID(Table15[[#This Row],[DELIVERABLE]],2,4), TRIM(SUBSTITUTE(MID(Table15[[#This Row],[CONCERN.ID]],2,20),"","") )  )</f>
        <v>08.461.5974.03.0000</v>
      </c>
      <c r="F791" t="str">
        <f>TRIM(MID(Table15[[#This Row],[CONCERN.UNIQUEPATH]], IF( ISNUMBER( SEARCH("/",Table15[[#This Row],[CONCERN.UNIQUEPATH]])),SEARCH("/",Table15[[#This Row],[CONCERN.UNIQUEPATH]])+1,1),255))</f>
        <v>Usability/Accessibility/Tet</v>
      </c>
    </row>
    <row r="792" spans="1:6">
      <c r="A792" t="s">
        <v>1969</v>
      </c>
      <c r="B792" t="s">
        <v>2246</v>
      </c>
      <c r="C792" s="32" t="s">
        <v>5009</v>
      </c>
      <c r="D792" s="27" t="s">
        <v>5010</v>
      </c>
      <c r="E792" t="str">
        <f xml:space="preserve"> CONCATENATE( MID(Table15[[#This Row],[PHASE]],2,3), MID(Table15[[#This Row],[DELIVERABLE]],2,4), TRIM(SUBSTITUTE(MID(Table15[[#This Row],[CONCERN.ID]],2,20),"","") )  )</f>
        <v>08.461.5974.03.1000</v>
      </c>
      <c r="F792" t="str">
        <f>TRIM(MID(Table15[[#This Row],[CONCERN.UNIQUEPATH]], IF( ISNUMBER( SEARCH("/",Table15[[#This Row],[CONCERN.UNIQUEPATH]])),SEARCH("/",Table15[[#This Row],[CONCERN.UNIQUEPATH]])+1,1),255))</f>
        <v>Usability/Accessibility/Tet/Concise</v>
      </c>
    </row>
    <row r="793" spans="1:6">
      <c r="A793" t="s">
        <v>1969</v>
      </c>
      <c r="B793" t="s">
        <v>2246</v>
      </c>
      <c r="C793" s="31" t="s">
        <v>5011</v>
      </c>
      <c r="D793" s="26" t="s">
        <v>5012</v>
      </c>
      <c r="E793" s="45" t="str">
        <f xml:space="preserve"> CONCATENATE( MID(Table15[[#This Row],[PHASE]],2,3), MID(Table15[[#This Row],[DELIVERABLE]],2,4), TRIM(SUBSTITUTE(MID(Table15[[#This Row],[CONCERN.ID]],2,20),"","") )  )</f>
        <v>08.461.5974.03.2000</v>
      </c>
      <c r="F793" t="str">
        <f>TRIM(MID(Table15[[#This Row],[CONCERN.UNIQUEPATH]], IF( ISNUMBER( SEARCH("/",Table15[[#This Row],[CONCERN.UNIQUEPATH]])),SEARCH("/",Table15[[#This Row],[CONCERN.UNIQUEPATH]])+1,1),255))</f>
        <v>Usability/Accessibility/Tet/Simple</v>
      </c>
    </row>
    <row r="794" spans="1:6">
      <c r="A794" t="s">
        <v>1969</v>
      </c>
      <c r="B794" t="s">
        <v>2246</v>
      </c>
      <c r="C794" s="32" t="s">
        <v>5013</v>
      </c>
      <c r="D794" s="27" t="s">
        <v>5014</v>
      </c>
      <c r="E794" t="str">
        <f xml:space="preserve"> CONCATENATE( MID(Table15[[#This Row],[PHASE]],2,3), MID(Table15[[#This Row],[DELIVERABLE]],2,4), TRIM(SUBSTITUTE(MID(Table15[[#This Row],[CONCERN.ID]],2,20),"","") )  )</f>
        <v>08.461.5974.04.3000</v>
      </c>
      <c r="F794" t="str">
        <f>TRIM(MID(Table15[[#This Row],[CONCERN.UNIQUEPATH]], IF( ISNUMBER( SEARCH("/",Table15[[#This Row],[CONCERN.UNIQUEPATH]])),SEARCH("/",Table15[[#This Row],[CONCERN.UNIQUEPATH]])+1,1),255))</f>
        <v>Usability/Accessibility/Tet/CTPA</v>
      </c>
    </row>
    <row r="795" spans="1:6">
      <c r="A795" t="s">
        <v>1969</v>
      </c>
      <c r="B795" t="s">
        <v>2246</v>
      </c>
      <c r="C795" s="31" t="s">
        <v>5015</v>
      </c>
      <c r="D795" s="26" t="s">
        <v>5016</v>
      </c>
      <c r="E795" s="45" t="str">
        <f xml:space="preserve"> CONCATENATE( MID(Table15[[#This Row],[PHASE]],2,3), MID(Table15[[#This Row],[DELIVERABLE]],2,4), TRIM(SUBSTITUTE(MID(Table15[[#This Row],[CONCERN.ID]],2,20),"","") )  )</f>
        <v>08.461.5974.05.4000</v>
      </c>
      <c r="F795" t="str">
        <f>TRIM(MID(Table15[[#This Row],[CONCERN.UNIQUEPATH]], IF( ISNUMBER( SEARCH("/",Table15[[#This Row],[CONCERN.UNIQUEPATH]])),SEARCH("/",Table15[[#This Row],[CONCERN.UNIQUEPATH]])+1,1),255))</f>
        <v>Usability/Accessibility/Tet/Error Messages are Understandable</v>
      </c>
    </row>
    <row r="796" spans="1:6">
      <c r="A796" t="s">
        <v>1969</v>
      </c>
      <c r="B796" t="s">
        <v>2246</v>
      </c>
      <c r="C796" s="29" t="s">
        <v>5017</v>
      </c>
      <c r="D796" s="27" t="s">
        <v>5018</v>
      </c>
      <c r="E796" t="str">
        <f xml:space="preserve"> CONCATENATE( MID(Table15[[#This Row],[PHASE]],2,3), MID(Table15[[#This Row],[DELIVERABLE]],2,4), TRIM(SUBSTITUTE(MID(Table15[[#This Row],[CONCERN.ID]],2,20),"","") )  )</f>
        <v>08.461.5975.04.0000</v>
      </c>
      <c r="F796" t="str">
        <f>TRIM(MID(Table15[[#This Row],[CONCERN.UNIQUEPATH]], IF( ISNUMBER( SEARCH("/",Table15[[#This Row],[CONCERN.UNIQUEPATH]])),SEARCH("/",Table15[[#This Row],[CONCERN.UNIQUEPATH]])+1,1),255))</f>
        <v>Usability/Accessibility/Language</v>
      </c>
    </row>
    <row r="797" spans="1:6">
      <c r="A797" t="s">
        <v>1969</v>
      </c>
      <c r="B797" t="s">
        <v>2246</v>
      </c>
      <c r="C797" s="31" t="s">
        <v>5019</v>
      </c>
      <c r="D797" s="26" t="s">
        <v>5020</v>
      </c>
      <c r="E797" s="45" t="str">
        <f xml:space="preserve"> CONCATENATE( MID(Table15[[#This Row],[PHASE]],2,3), MID(Table15[[#This Row],[DELIVERABLE]],2,4), TRIM(SUBSTITUTE(MID(Table15[[#This Row],[CONCERN.ID]],2,20),"","") )  )</f>
        <v>08.461.5975.04.1000</v>
      </c>
      <c r="F797" t="str">
        <f>TRIM(MID(Table15[[#This Row],[CONCERN.UNIQUEPATH]], IF( ISNUMBER( SEARCH("/",Table15[[#This Row],[CONCERN.UNIQUEPATH]])),SEARCH("/",Table15[[#This Row],[CONCERN.UNIQUEPATH]])+1,1),255))</f>
        <v>Usability/Accessibility/Language/User Selected</v>
      </c>
    </row>
    <row r="798" spans="1:6">
      <c r="A798" t="s">
        <v>1969</v>
      </c>
      <c r="B798" t="s">
        <v>2246</v>
      </c>
      <c r="C798" s="32" t="s">
        <v>5021</v>
      </c>
      <c r="D798" s="27" t="s">
        <v>5022</v>
      </c>
      <c r="E798" t="str">
        <f xml:space="preserve"> CONCATENATE( MID(Table15[[#This Row],[PHASE]],2,3), MID(Table15[[#This Row],[DELIVERABLE]],2,4), TRIM(SUBSTITUTE(MID(Table15[[#This Row],[CONCERN.ID]],2,20),"","") )  )</f>
        <v>08.461.5975.04.2000</v>
      </c>
      <c r="F798" t="str">
        <f>TRIM(MID(Table15[[#This Row],[CONCERN.UNIQUEPATH]], IF( ISNUMBER( SEARCH("/",Table15[[#This Row],[CONCERN.UNIQUEPATH]])),SEARCH("/",Table15[[#This Row],[CONCERN.UNIQUEPATH]])+1,1),255))</f>
        <v>Usability/Accessibility/Language/Interpretations</v>
      </c>
    </row>
    <row r="799" spans="1:6">
      <c r="A799" t="s">
        <v>1969</v>
      </c>
      <c r="B799" t="s">
        <v>2246</v>
      </c>
      <c r="C799" s="30" t="s">
        <v>5023</v>
      </c>
      <c r="D799" s="26" t="s">
        <v>5024</v>
      </c>
      <c r="E799" s="45" t="str">
        <f xml:space="preserve"> CONCATENATE( MID(Table15[[#This Row],[PHASE]],2,3), MID(Table15[[#This Row],[DELIVERABLE]],2,4), TRIM(SUBSTITUTE(MID(Table15[[#This Row],[CONCERN.ID]],2,20),"","") )  )</f>
        <v>08.461.5976.05.0000</v>
      </c>
      <c r="F799" t="str">
        <f>TRIM(MID(Table15[[#This Row],[CONCERN.UNIQUEPATH]], IF( ISNUMBER( SEARCH("/",Table15[[#This Row],[CONCERN.UNIQUEPATH]])),SEARCH("/",Table15[[#This Row],[CONCERN.UNIQUEPATH]])+1,1),255))</f>
        <v>Usability/Accessibility/Styling</v>
      </c>
    </row>
    <row r="800" spans="1:6">
      <c r="A800" t="s">
        <v>1969</v>
      </c>
      <c r="B800" t="s">
        <v>2246</v>
      </c>
      <c r="C800" s="32" t="s">
        <v>5025</v>
      </c>
      <c r="D800" s="27" t="s">
        <v>5026</v>
      </c>
      <c r="E800" t="str">
        <f xml:space="preserve"> CONCATENATE( MID(Table15[[#This Row],[PHASE]],2,3), MID(Table15[[#This Row],[DELIVERABLE]],2,4), TRIM(SUBSTITUTE(MID(Table15[[#This Row],[CONCERN.ID]],2,20),"","") )  )</f>
        <v>08.461.5976.05.1000</v>
      </c>
      <c r="F800" t="str">
        <f>TRIM(MID(Table15[[#This Row],[CONCERN.UNIQUEPATH]], IF( ISNUMBER( SEARCH("/",Table15[[#This Row],[CONCERN.UNIQUEPATH]])),SEARCH("/",Table15[[#This Row],[CONCERN.UNIQUEPATH]])+1,1),255))</f>
        <v>Usability/Accessibility/Styling/Progressive</v>
      </c>
    </row>
    <row r="801" spans="1:6">
      <c r="A801" t="s">
        <v>1969</v>
      </c>
      <c r="B801" t="s">
        <v>2246</v>
      </c>
      <c r="C801" s="31" t="s">
        <v>5027</v>
      </c>
      <c r="D801" s="26" t="s">
        <v>5028</v>
      </c>
      <c r="E801" s="45" t="str">
        <f xml:space="preserve"> CONCATENATE( MID(Table15[[#This Row],[PHASE]],2,3), MID(Table15[[#This Row],[DELIVERABLE]],2,4), TRIM(SUBSTITUTE(MID(Table15[[#This Row],[CONCERN.ID]],2,20),"","") )  )</f>
        <v>08.461.5976.05.2000</v>
      </c>
      <c r="F801" t="str">
        <f>TRIM(MID(Table15[[#This Row],[CONCERN.UNIQUEPATH]], IF( ISNUMBER( SEARCH("/",Table15[[#This Row],[CONCERN.UNIQUEPATH]])),SEARCH("/",Table15[[#This Row],[CONCERN.UNIQUEPATH]])+1,1),255))</f>
        <v>Usability/Accessibility/Styling/Scalable</v>
      </c>
    </row>
    <row r="802" spans="1:6">
      <c r="A802" t="s">
        <v>1969</v>
      </c>
      <c r="B802" t="s">
        <v>2246</v>
      </c>
      <c r="C802" s="32" t="s">
        <v>5029</v>
      </c>
      <c r="D802" s="27" t="s">
        <v>5030</v>
      </c>
      <c r="E802" t="str">
        <f xml:space="preserve"> CONCATENATE( MID(Table15[[#This Row],[PHASE]],2,3), MID(Table15[[#This Row],[DELIVERABLE]],2,4), TRIM(SUBSTITUTE(MID(Table15[[#This Row],[CONCERN.ID]],2,20),"","") )  )</f>
        <v>08.461.5976.05.3000</v>
      </c>
      <c r="F802" t="str">
        <f>TRIM(MID(Table15[[#This Row],[CONCERN.UNIQUEPATH]], IF( ISNUMBER( SEARCH("/",Table15[[#This Row],[CONCERN.UNIQUEPATH]])),SEARCH("/",Table15[[#This Row],[CONCERN.UNIQUEPATH]])+1,1),255))</f>
        <v>Usability/Accessibility/Styling/Sufficient Space</v>
      </c>
    </row>
    <row r="803" spans="1:6">
      <c r="A803" t="s">
        <v>1969</v>
      </c>
      <c r="B803" t="s">
        <v>2246</v>
      </c>
      <c r="C803" s="31" t="s">
        <v>5031</v>
      </c>
      <c r="D803" s="26" t="s">
        <v>5032</v>
      </c>
      <c r="E803" s="45" t="str">
        <f xml:space="preserve"> CONCATENATE( MID(Table15[[#This Row],[PHASE]],2,3), MID(Table15[[#This Row],[DELIVERABLE]],2,4), TRIM(SUBSTITUTE(MID(Table15[[#This Row],[CONCERN.ID]],2,20),"","") )  )</f>
        <v>08.461.5976.05.3100</v>
      </c>
      <c r="F803" t="str">
        <f>TRIM(MID(Table15[[#This Row],[CONCERN.UNIQUEPATH]], IF( ISNUMBER( SEARCH("/",Table15[[#This Row],[CONCERN.UNIQUEPATH]])),SEARCH("/",Table15[[#This Row],[CONCERN.UNIQUEPATH]])+1,1),255))</f>
        <v>Usability/Accessibility/Styling/Sufficient Space/580%</v>
      </c>
    </row>
    <row r="804" spans="1:6">
      <c r="A804" t="s">
        <v>1969</v>
      </c>
      <c r="B804" t="s">
        <v>2246</v>
      </c>
      <c r="C804" s="32" t="s">
        <v>5033</v>
      </c>
      <c r="D804" s="27" t="s">
        <v>5034</v>
      </c>
      <c r="E804" t="str">
        <f xml:space="preserve"> CONCATENATE( MID(Table15[[#This Row],[PHASE]],2,3), MID(Table15[[#This Row],[DELIVERABLE]],2,4), TRIM(SUBSTITUTE(MID(Table15[[#This Row],[CONCERN.ID]],2,20),"","") )  )</f>
        <v>08.461.5976.05.4000</v>
      </c>
      <c r="F804" t="str">
        <f>TRIM(MID(Table15[[#This Row],[CONCERN.UNIQUEPATH]], IF( ISNUMBER( SEARCH("/",Table15[[#This Row],[CONCERN.UNIQUEPATH]])),SEARCH("/",Table15[[#This Row],[CONCERN.UNIQUEPATH]])+1,1),255))</f>
        <v>Usability/Accessibility/Styling/Minimal Contet Info</v>
      </c>
    </row>
    <row r="805" spans="1:6">
      <c r="A805" t="s">
        <v>1969</v>
      </c>
      <c r="B805" t="s">
        <v>2246</v>
      </c>
      <c r="C805" s="31" t="s">
        <v>5035</v>
      </c>
      <c r="D805" s="26" t="s">
        <v>5036</v>
      </c>
      <c r="E805" s="45" t="str">
        <f xml:space="preserve"> CONCATENATE( MID(Table15[[#This Row],[PHASE]],2,3), MID(Table15[[#This Row],[DELIVERABLE]],2,4), TRIM(SUBSTITUTE(MID(Table15[[#This Row],[CONCERN.ID]],2,20),"","") )  )</f>
        <v>08.461.5976.05.5000</v>
      </c>
      <c r="F805" t="str">
        <f>TRIM(MID(Table15[[#This Row],[CONCERN.UNIQUEPATH]], IF( ISNUMBER( SEARCH("/",Table15[[#This Row],[CONCERN.UNIQUEPATH]])),SEARCH("/",Table15[[#This Row],[CONCERN.UNIQUEPATH]])+1,1),255))</f>
        <v>Usability/Accessibility/Styling/Smallest Screens First</v>
      </c>
    </row>
    <row r="806" spans="1:6">
      <c r="A806" t="s">
        <v>1969</v>
      </c>
      <c r="B806" t="s">
        <v>2246</v>
      </c>
      <c r="C806" s="29" t="s">
        <v>5037</v>
      </c>
      <c r="D806" s="27" t="s">
        <v>5038</v>
      </c>
      <c r="E806" t="str">
        <f xml:space="preserve"> CONCATENATE( MID(Table15[[#This Row],[PHASE]],2,3), MID(Table15[[#This Row],[DELIVERABLE]],2,4), TRIM(SUBSTITUTE(MID(Table15[[#This Row],[CONCERN.ID]],2,20),"","") )  )</f>
        <v>08.461.5977.06.0000</v>
      </c>
      <c r="F806" t="str">
        <f>TRIM(MID(Table15[[#This Row],[CONCERN.UNIQUEPATH]], IF( ISNUMBER( SEARCH("/",Table15[[#This Row],[CONCERN.UNIQUEPATH]])),SEARCH("/",Table15[[#This Row],[CONCERN.UNIQUEPATH]])+1,1),255))</f>
        <v>Usability/Accessibility/Controls</v>
      </c>
    </row>
    <row r="807" spans="1:6">
      <c r="A807" t="s">
        <v>1969</v>
      </c>
      <c r="B807" t="s">
        <v>2246</v>
      </c>
      <c r="C807" s="31" t="s">
        <v>5039</v>
      </c>
      <c r="D807" s="26" t="s">
        <v>5040</v>
      </c>
      <c r="E807" s="45" t="str">
        <f xml:space="preserve"> CONCATENATE( MID(Table15[[#This Row],[PHASE]],2,3), MID(Table15[[#This Row],[DELIVERABLE]],2,4), TRIM(SUBSTITUTE(MID(Table15[[#This Row],[CONCERN.ID]],2,20),"","") )  )</f>
        <v>08.461.5977.06.1000</v>
      </c>
      <c r="F807" t="str">
        <f>TRIM(MID(Table15[[#This Row],[CONCERN.UNIQUEPATH]], IF( ISNUMBER( SEARCH("/",Table15[[#This Row],[CONCERN.UNIQUEPATH]])),SEARCH("/",Table15[[#This Row],[CONCERN.UNIQUEPATH]])+1,1),255))</f>
        <v>Usability/Accessibility/Controls/Primary &amp; Secondary Actions</v>
      </c>
    </row>
    <row r="808" spans="1:6">
      <c r="A808" t="s">
        <v>1969</v>
      </c>
      <c r="B808" t="s">
        <v>2246</v>
      </c>
      <c r="C808" s="29" t="s">
        <v>5041</v>
      </c>
      <c r="D808" s="27" t="s">
        <v>5042</v>
      </c>
      <c r="E808" t="str">
        <f xml:space="preserve"> CONCATENATE( MID(Table15[[#This Row],[PHASE]],2,3), MID(Table15[[#This Row],[DELIVERABLE]],2,4), TRIM(SUBSTITUTE(MID(Table15[[#This Row],[CONCERN.ID]],2,20),"","") )  )</f>
        <v>08.461.5978.07.0000</v>
      </c>
      <c r="F808" t="str">
        <f>TRIM(MID(Table15[[#This Row],[CONCERN.UNIQUEPATH]], IF( ISNUMBER( SEARCH("/",Table15[[#This Row],[CONCERN.UNIQUEPATH]])),SEARCH("/",Table15[[#This Row],[CONCERN.UNIQUEPATH]])+1,1),255))</f>
        <v>Usability/Accessibility/By API</v>
      </c>
    </row>
    <row r="809" spans="1:6">
      <c r="A809" t="s">
        <v>1969</v>
      </c>
      <c r="B809" t="s">
        <v>2246</v>
      </c>
      <c r="C809" s="30" t="s">
        <v>5043</v>
      </c>
      <c r="D809" s="26" t="s">
        <v>5044</v>
      </c>
      <c r="E809" s="45" t="str">
        <f xml:space="preserve"> CONCATENATE( MID(Table15[[#This Row],[PHASE]],2,3), MID(Table15[[#This Row],[DELIVERABLE]],2,4), TRIM(SUBSTITUTE(MID(Table15[[#This Row],[CONCERN.ID]],2,20),"","") )  )</f>
        <v>08.461.5980.00.0000</v>
      </c>
      <c r="F809" t="str">
        <f>TRIM(MID(Table15[[#This Row],[CONCERN.UNIQUEPATH]], IF( ISNUMBER( SEARCH("/",Table15[[#This Row],[CONCERN.UNIQUEPATH]])),SEARCH("/",Table15[[#This Row],[CONCERN.UNIQUEPATH]])+1,1),255))</f>
        <v>Usability/Recognisability</v>
      </c>
    </row>
    <row r="810" spans="1:6">
      <c r="A810" t="s">
        <v>1969</v>
      </c>
      <c r="B810" t="s">
        <v>2246</v>
      </c>
      <c r="C810" s="29" t="s">
        <v>5045</v>
      </c>
      <c r="D810" s="27" t="s">
        <v>5046</v>
      </c>
      <c r="E810" t="str">
        <f xml:space="preserve"> CONCATENATE( MID(Table15[[#This Row],[PHASE]],2,3), MID(Table15[[#This Row],[DELIVERABLE]],2,4), TRIM(SUBSTITUTE(MID(Table15[[#This Row],[CONCERN.ID]],2,20),"","") )  )</f>
        <v>08.461.5981.00.0000</v>
      </c>
      <c r="F810" t="str">
        <f>TRIM(MID(Table15[[#This Row],[CONCERN.UNIQUEPATH]], IF( ISNUMBER( SEARCH("/",Table15[[#This Row],[CONCERN.UNIQUEPATH]])),SEARCH("/",Table15[[#This Row],[CONCERN.UNIQUEPATH]])+1,1),255))</f>
        <v>Usability/Recognisability/Sponsor Organisation Domain based URL</v>
      </c>
    </row>
    <row r="811" spans="1:6">
      <c r="A811" t="s">
        <v>1969</v>
      </c>
      <c r="B811" t="s">
        <v>2246</v>
      </c>
      <c r="C811" s="30" t="s">
        <v>5047</v>
      </c>
      <c r="D811" s="26" t="s">
        <v>5048</v>
      </c>
      <c r="E811" s="45" t="str">
        <f xml:space="preserve"> CONCATENATE( MID(Table15[[#This Row],[PHASE]],2,3), MID(Table15[[#This Row],[DELIVERABLE]],2,4), TRIM(SUBSTITUTE(MID(Table15[[#This Row],[CONCERN.ID]],2,20),"","") )  )</f>
        <v>08.461.5982.00.0000</v>
      </c>
      <c r="F811" t="str">
        <f>TRIM(MID(Table15[[#This Row],[CONCERN.UNIQUEPATH]], IF( ISNUMBER( SEARCH("/",Table15[[#This Row],[CONCERN.UNIQUEPATH]])),SEARCH("/",Table15[[#This Row],[CONCERN.UNIQUEPATH]])+1,1),255))</f>
        <v>Usability/Recognisability/Sponsor Organisation based HTTPS Certificate</v>
      </c>
    </row>
    <row r="812" spans="1:6">
      <c r="A812" t="s">
        <v>1969</v>
      </c>
      <c r="B812" t="s">
        <v>2246</v>
      </c>
      <c r="C812" s="29" t="s">
        <v>5049</v>
      </c>
      <c r="D812" s="27" t="s">
        <v>5050</v>
      </c>
      <c r="E812" t="str">
        <f xml:space="preserve"> CONCATENATE( MID(Table15[[#This Row],[PHASE]],2,3), MID(Table15[[#This Row],[DELIVERABLE]],2,4), TRIM(SUBSTITUTE(MID(Table15[[#This Row],[CONCERN.ID]],2,20),"","") )  )</f>
        <v>08.461.5983.00.0000</v>
      </c>
      <c r="F812" t="str">
        <f>TRIM(MID(Table15[[#This Row],[CONCERN.UNIQUEPATH]], IF( ISNUMBER( SEARCH("/",Table15[[#This Row],[CONCERN.UNIQUEPATH]])),SEARCH("/",Table15[[#This Row],[CONCERN.UNIQUEPATH]])+1,1),255))</f>
        <v>Usability/Recognisability/Sponsor Organisation Branding</v>
      </c>
    </row>
    <row r="813" spans="1:6">
      <c r="A813" t="s">
        <v>1969</v>
      </c>
      <c r="B813" t="s">
        <v>2246</v>
      </c>
      <c r="C813" s="30" t="s">
        <v>5049</v>
      </c>
      <c r="D813" s="26" t="s">
        <v>5051</v>
      </c>
      <c r="E813" s="45" t="str">
        <f xml:space="preserve"> CONCATENATE( MID(Table15[[#This Row],[PHASE]],2,3), MID(Table15[[#This Row],[DELIVERABLE]],2,4), TRIM(SUBSTITUTE(MID(Table15[[#This Row],[CONCERN.ID]],2,20),"","") )  )</f>
        <v>08.461.5983.00.0000</v>
      </c>
      <c r="F813" t="str">
        <f>TRIM(MID(Table15[[#This Row],[CONCERN.UNIQUEPATH]], IF( ISNUMBER( SEARCH("/",Table15[[#This Row],[CONCERN.UNIQUEPATH]])),SEARCH("/",Table15[[#This Row],[CONCERN.UNIQUEPATH]])+1,1),255))</f>
        <v>Usability/Recognisability/Tenant Organisation Domain based URL</v>
      </c>
    </row>
    <row r="814" spans="1:6">
      <c r="A814" t="s">
        <v>1969</v>
      </c>
      <c r="B814" t="s">
        <v>2246</v>
      </c>
      <c r="C814" s="29" t="s">
        <v>5052</v>
      </c>
      <c r="D814" s="27" t="s">
        <v>5053</v>
      </c>
      <c r="E814" t="str">
        <f xml:space="preserve"> CONCATENATE( MID(Table15[[#This Row],[PHASE]],2,3), MID(Table15[[#This Row],[DELIVERABLE]],2,4), TRIM(SUBSTITUTE(MID(Table15[[#This Row],[CONCERN.ID]],2,20),"","") )  )</f>
        <v>08.461.5984.00.0000</v>
      </c>
      <c r="F814" t="str">
        <f>TRIM(MID(Table15[[#This Row],[CONCERN.UNIQUEPATH]], IF( ISNUMBER( SEARCH("/",Table15[[#This Row],[CONCERN.UNIQUEPATH]])),SEARCH("/",Table15[[#This Row],[CONCERN.UNIQUEPATH]])+1,1),255))</f>
        <v>Usability/Recognisability/Sector Endorsements</v>
      </c>
    </row>
    <row r="815" spans="1:6">
      <c r="A815" t="s">
        <v>1969</v>
      </c>
      <c r="B815" t="s">
        <v>2246</v>
      </c>
      <c r="C815" s="30" t="s">
        <v>5054</v>
      </c>
      <c r="D815" s="26" t="s">
        <v>5055</v>
      </c>
      <c r="E815" s="45" t="str">
        <f xml:space="preserve"> CONCATENATE( MID(Table15[[#This Row],[PHASE]],2,3), MID(Table15[[#This Row],[DELIVERABLE]],2,4), TRIM(SUBSTITUTE(MID(Table15[[#This Row],[CONCERN.ID]],2,20),"","") )  )</f>
        <v>08.461.5990.00.0000</v>
      </c>
      <c r="F815" t="str">
        <f>TRIM(MID(Table15[[#This Row],[CONCERN.UNIQUEPATH]], IF( ISNUMBER( SEARCH("/",Table15[[#This Row],[CONCERN.UNIQUEPATH]])),SEARCH("/",Table15[[#This Row],[CONCERN.UNIQUEPATH]])+1,1),255))</f>
        <v>Usability/Supportability</v>
      </c>
    </row>
    <row r="816" spans="1:6">
      <c r="A816" t="s">
        <v>1969</v>
      </c>
      <c r="B816" t="s">
        <v>2246</v>
      </c>
      <c r="C816" s="29" t="s">
        <v>5056</v>
      </c>
      <c r="D816" s="27" t="s">
        <v>5057</v>
      </c>
      <c r="E816" t="str">
        <f xml:space="preserve"> CONCATENATE( MID(Table15[[#This Row],[PHASE]],2,3), MID(Table15[[#This Row],[DELIVERABLE]],2,4), TRIM(SUBSTITUTE(MID(Table15[[#This Row],[CONCERN.ID]],2,20),"","") )  )</f>
        <v>08.461.5991.00.0000</v>
      </c>
      <c r="F816" t="str">
        <f>TRIM(MID(Table15[[#This Row],[CONCERN.UNIQUEPATH]], IF( ISNUMBER( SEARCH("/",Table15[[#This Row],[CONCERN.UNIQUEPATH]])),SEARCH("/",Table15[[#This Row],[CONCERN.UNIQUEPATH]])+1,1),255))</f>
        <v>Usability/Supportability/On-Off-Boarding</v>
      </c>
    </row>
    <row r="817" spans="1:6">
      <c r="A817" t="s">
        <v>1969</v>
      </c>
      <c r="B817" t="s">
        <v>2246</v>
      </c>
      <c r="C817" s="30" t="s">
        <v>5058</v>
      </c>
      <c r="D817" s="26" t="s">
        <v>5059</v>
      </c>
      <c r="E817" s="45" t="str">
        <f xml:space="preserve"> CONCATENATE( MID(Table15[[#This Row],[PHASE]],2,3), MID(Table15[[#This Row],[DELIVERABLE]],2,4), TRIM(SUBSTITUTE(MID(Table15[[#This Row],[CONCERN.ID]],2,20),"","") )  )</f>
        <v>08.461.5992.00.0000</v>
      </c>
      <c r="F817" t="str">
        <f>TRIM(MID(Table15[[#This Row],[CONCERN.UNIQUEPATH]], IF( ISNUMBER( SEARCH("/",Table15[[#This Row],[CONCERN.UNIQUEPATH]])),SEARCH("/",Table15[[#This Row],[CONCERN.UNIQUEPATH]])+1,1),255))</f>
        <v>Usability/Supportability/ReEnabling</v>
      </c>
    </row>
    <row r="818" spans="1:6">
      <c r="A818" t="s">
        <v>1969</v>
      </c>
      <c r="B818" t="s">
        <v>2246</v>
      </c>
      <c r="C818" s="29" t="s">
        <v>5060</v>
      </c>
      <c r="D818" s="27" t="s">
        <v>5061</v>
      </c>
      <c r="E818" t="str">
        <f xml:space="preserve"> CONCATENATE( MID(Table15[[#This Row],[PHASE]],2,3), MID(Table15[[#This Row],[DELIVERABLE]],2,4), TRIM(SUBSTITUTE(MID(Table15[[#This Row],[CONCERN.ID]],2,20),"","") )  )</f>
        <v>08.461.5993.00.0000</v>
      </c>
      <c r="F818" t="str">
        <f>TRIM(MID(Table15[[#This Row],[CONCERN.UNIQUEPATH]], IF( ISNUMBER( SEARCH("/",Table15[[#This Row],[CONCERN.UNIQUEPATH]])),SEARCH("/",Table15[[#This Row],[CONCERN.UNIQUEPATH]])+1,1),255))</f>
        <v>Usability/Supportability/InSystem Notifying</v>
      </c>
    </row>
    <row r="819" spans="1:6">
      <c r="A819" t="s">
        <v>1969</v>
      </c>
      <c r="B819" t="s">
        <v>2246</v>
      </c>
      <c r="C819" s="30" t="s">
        <v>5062</v>
      </c>
      <c r="D819" s="26" t="s">
        <v>5063</v>
      </c>
      <c r="E819" s="45" t="str">
        <f xml:space="preserve"> CONCATENATE( MID(Table15[[#This Row],[PHASE]],2,3), MID(Table15[[#This Row],[DELIVERABLE]],2,4), TRIM(SUBSTITUTE(MID(Table15[[#This Row],[CONCERN.ID]],2,20),"","") )  )</f>
        <v>08.461.6110.00.0000</v>
      </c>
      <c r="F819" t="str">
        <f>TRIM(MID(Table15[[#This Row],[CONCERN.UNIQUEPATH]], IF( ISNUMBER( SEARCH("/",Table15[[#This Row],[CONCERN.UNIQUEPATH]])),SEARCH("/",Table15[[#This Row],[CONCERN.UNIQUEPATH]])+1,1),255))</f>
        <v>Inherent Data Qualities/Understandability</v>
      </c>
    </row>
    <row r="820" spans="1:6">
      <c r="A820" t="s">
        <v>1969</v>
      </c>
      <c r="B820" t="s">
        <v>2246</v>
      </c>
      <c r="C820" s="29" t="s">
        <v>5064</v>
      </c>
      <c r="D820" s="27" t="s">
        <v>5065</v>
      </c>
      <c r="E820" t="str">
        <f xml:space="preserve"> CONCATENATE( MID(Table15[[#This Row],[PHASE]],2,3), MID(Table15[[#This Row],[DELIVERABLE]],2,4), TRIM(SUBSTITUTE(MID(Table15[[#This Row],[CONCERN.ID]],2,20),"","") )  )</f>
        <v>08.461.6120.00.0000</v>
      </c>
      <c r="F820" t="str">
        <f>TRIM(MID(Table15[[#This Row],[CONCERN.UNIQUEPATH]], IF( ISNUMBER( SEARCH("/",Table15[[#This Row],[CONCERN.UNIQUEPATH]])),SEARCH("/",Table15[[#This Row],[CONCERN.UNIQUEPATH]])+1,1),255))</f>
        <v>Inherent Data Qualities/Accuracy</v>
      </c>
    </row>
    <row r="821" spans="1:6">
      <c r="A821" t="s">
        <v>1969</v>
      </c>
      <c r="B821" t="s">
        <v>2246</v>
      </c>
      <c r="C821" s="30" t="s">
        <v>5066</v>
      </c>
      <c r="D821" s="26" t="s">
        <v>5067</v>
      </c>
      <c r="E821" s="45" t="str">
        <f xml:space="preserve"> CONCATENATE( MID(Table15[[#This Row],[PHASE]],2,3), MID(Table15[[#This Row],[DELIVERABLE]],2,4), TRIM(SUBSTITUTE(MID(Table15[[#This Row],[CONCERN.ID]],2,20),"","") )  )</f>
        <v>08.461.6130.00.0000</v>
      </c>
      <c r="F821" t="str">
        <f>TRIM(MID(Table15[[#This Row],[CONCERN.UNIQUEPATH]], IF( ISNUMBER( SEARCH("/",Table15[[#This Row],[CONCERN.UNIQUEPATH]])),SEARCH("/",Table15[[#This Row],[CONCERN.UNIQUEPATH]])+1,1),255))</f>
        <v>Inherent Data Qualities/Completeness</v>
      </c>
    </row>
    <row r="822" spans="1:6">
      <c r="A822" t="s">
        <v>1969</v>
      </c>
      <c r="B822" t="s">
        <v>2246</v>
      </c>
      <c r="C822" s="29" t="s">
        <v>5068</v>
      </c>
      <c r="D822" s="27" t="s">
        <v>5069</v>
      </c>
      <c r="E822" t="str">
        <f xml:space="preserve"> CONCATENATE( MID(Table15[[#This Row],[PHASE]],2,3), MID(Table15[[#This Row],[DELIVERABLE]],2,4), TRIM(SUBSTITUTE(MID(Table15[[#This Row],[CONCERN.ID]],2,20),"","") )  )</f>
        <v>08.461.6131.00.0000</v>
      </c>
      <c r="F822" t="str">
        <f>TRIM(MID(Table15[[#This Row],[CONCERN.UNIQUEPATH]], IF( ISNUMBER( SEARCH("/",Table15[[#This Row],[CONCERN.UNIQUEPATH]])),SEARCH("/",Table15[[#This Row],[CONCERN.UNIQUEPATH]])+1,1),255))</f>
        <v>Inherent Data Qualities/Completeness/Model Relationships as well as Entities</v>
      </c>
    </row>
    <row r="823" spans="1:6">
      <c r="A823" t="s">
        <v>1969</v>
      </c>
      <c r="B823" t="s">
        <v>2246</v>
      </c>
      <c r="C823" s="30" t="s">
        <v>5070</v>
      </c>
      <c r="D823" s="26" t="s">
        <v>5071</v>
      </c>
      <c r="E823" s="45" t="str">
        <f xml:space="preserve"> CONCATENATE( MID(Table15[[#This Row],[PHASE]],2,3), MID(Table15[[#This Row],[DELIVERABLE]],2,4), TRIM(SUBSTITUTE(MID(Table15[[#This Row],[CONCERN.ID]],2,20),"","") )  )</f>
        <v>08.461.6132.00.1000</v>
      </c>
      <c r="F823" t="str">
        <f>TRIM(MID(Table15[[#This Row],[CONCERN.UNIQUEPATH]], IF( ISNUMBER( SEARCH("/",Table15[[#This Row],[CONCERN.UNIQUEPATH]])),SEARCH("/",Table15[[#This Row],[CONCERN.UNIQUEPATH]])+1,1),255))</f>
        <v>Inherent Data Qualities/Completeness/Prefer Junction Tables to ForeignKeys</v>
      </c>
    </row>
    <row r="824" spans="1:6">
      <c r="A824" t="s">
        <v>1969</v>
      </c>
      <c r="B824" t="s">
        <v>2246</v>
      </c>
      <c r="C824" s="29" t="s">
        <v>5072</v>
      </c>
      <c r="D824" s="27" t="s">
        <v>5073</v>
      </c>
      <c r="E824" t="str">
        <f xml:space="preserve"> CONCATENATE( MID(Table15[[#This Row],[PHASE]],2,3), MID(Table15[[#This Row],[DELIVERABLE]],2,4), TRIM(SUBSTITUTE(MID(Table15[[#This Row],[CONCERN.ID]],2,20),"","") )  )</f>
        <v>08.461.6140.00.0000</v>
      </c>
      <c r="F824" t="str">
        <f>TRIM(MID(Table15[[#This Row],[CONCERN.UNIQUEPATH]], IF( ISNUMBER( SEARCH("/",Table15[[#This Row],[CONCERN.UNIQUEPATH]])),SEARCH("/",Table15[[#This Row],[CONCERN.UNIQUEPATH]])+1,1),255))</f>
        <v>Inherent Data Qualities/Consistency</v>
      </c>
    </row>
    <row r="825" spans="1:6">
      <c r="A825" t="s">
        <v>1969</v>
      </c>
      <c r="B825" t="s">
        <v>2246</v>
      </c>
      <c r="C825" s="30" t="s">
        <v>5074</v>
      </c>
      <c r="D825" s="26" t="s">
        <v>5075</v>
      </c>
      <c r="E825" s="45" t="str">
        <f xml:space="preserve"> CONCATENATE( MID(Table15[[#This Row],[PHASE]],2,3), MID(Table15[[#This Row],[DELIVERABLE]],2,4), TRIM(SUBSTITUTE(MID(Table15[[#This Row],[CONCERN.ID]],2,20),"","") )  )</f>
        <v>08.461.6141.00.0000</v>
      </c>
      <c r="F825" t="str">
        <f>TRIM(MID(Table15[[#This Row],[CONCERN.UNIQUEPATH]], IF( ISNUMBER( SEARCH("/",Table15[[#This Row],[CONCERN.UNIQUEPATH]])),SEARCH("/",Table15[[#This Row],[CONCERN.UNIQUEPATH]])+1,1),255))</f>
        <v>Inherent Data Qualities/Consistency/Eventually right</v>
      </c>
    </row>
    <row r="826" spans="1:6">
      <c r="A826" t="s">
        <v>1969</v>
      </c>
      <c r="B826" t="s">
        <v>2246</v>
      </c>
      <c r="C826" s="29" t="s">
        <v>5076</v>
      </c>
      <c r="D826" s="27" t="s">
        <v>5077</v>
      </c>
      <c r="E826" t="str">
        <f xml:space="preserve"> CONCATENATE( MID(Table15[[#This Row],[PHASE]],2,3), MID(Table15[[#This Row],[DELIVERABLE]],2,4), TRIM(SUBSTITUTE(MID(Table15[[#This Row],[CONCERN.ID]],2,20),"","") )  )</f>
        <v>08.461.6150.00.0000</v>
      </c>
      <c r="F826" t="str">
        <f>TRIM(MID(Table15[[#This Row],[CONCERN.UNIQUEPATH]], IF( ISNUMBER( SEARCH("/",Table15[[#This Row],[CONCERN.UNIQUEPATH]])),SEARCH("/",Table15[[#This Row],[CONCERN.UNIQUEPATH]])+1,1),255))</f>
        <v>Inherent Data Qualities/Credibility</v>
      </c>
    </row>
    <row r="827" spans="1:6">
      <c r="A827" t="s">
        <v>1969</v>
      </c>
      <c r="B827" t="s">
        <v>2246</v>
      </c>
      <c r="C827" s="30" t="s">
        <v>5078</v>
      </c>
      <c r="D827" s="26" t="s">
        <v>5079</v>
      </c>
      <c r="E827" s="45" t="str">
        <f xml:space="preserve"> CONCATENATE( MID(Table15[[#This Row],[PHASE]],2,3), MID(Table15[[#This Row],[DELIVERABLE]],2,4), TRIM(SUBSTITUTE(MID(Table15[[#This Row],[CONCERN.ID]],2,20),"","") )  )</f>
        <v>08.461.6160.00.0000</v>
      </c>
      <c r="F827" t="str">
        <f>TRIM(MID(Table15[[#This Row],[CONCERN.UNIQUEPATH]], IF( ISNUMBER( SEARCH("/",Table15[[#This Row],[CONCERN.UNIQUEPATH]])),SEARCH("/",Table15[[#This Row],[CONCERN.UNIQUEPATH]])+1,1),255))</f>
        <v>Inherent Data Qualities/Currentness</v>
      </c>
    </row>
    <row r="828" spans="1:6">
      <c r="A828" t="s">
        <v>1969</v>
      </c>
      <c r="B828" t="s">
        <v>2246</v>
      </c>
      <c r="C828" s="29" t="s">
        <v>5080</v>
      </c>
      <c r="D828" s="27" t="s">
        <v>5081</v>
      </c>
      <c r="E828" t="str">
        <f xml:space="preserve"> CONCATENATE( MID(Table15[[#This Row],[PHASE]],2,3), MID(Table15[[#This Row],[DELIVERABLE]],2,4), TRIM(SUBSTITUTE(MID(Table15[[#This Row],[CONCERN.ID]],2,20),"","") )  )</f>
        <v>08.461.6161.00.0000</v>
      </c>
      <c r="F828" t="str">
        <f>TRIM(MID(Table15[[#This Row],[CONCERN.UNIQUEPATH]], IF( ISNUMBER( SEARCH("/",Table15[[#This Row],[CONCERN.UNIQUEPATH]])),SEARCH("/",Table15[[#This Row],[CONCERN.UNIQUEPATH]])+1,1),255))</f>
        <v>Inherent Data Qualities/Currentness/RealTime is not an Objective</v>
      </c>
    </row>
    <row r="829" spans="1:6">
      <c r="A829" t="s">
        <v>1969</v>
      </c>
      <c r="B829" t="s">
        <v>2246</v>
      </c>
      <c r="C829" s="30" t="s">
        <v>5082</v>
      </c>
      <c r="D829" s="26" t="s">
        <v>5083</v>
      </c>
      <c r="E829" s="45" t="str">
        <f xml:space="preserve"> CONCATENATE( MID(Table15[[#This Row],[PHASE]],2,3), MID(Table15[[#This Row],[DELIVERABLE]],2,4), TRIM(SUBSTITUTE(MID(Table15[[#This Row],[CONCERN.ID]],2,20),"","") )  )</f>
        <v>08.461.6162.00.0000</v>
      </c>
      <c r="F829" t="str">
        <f>TRIM(MID(Table15[[#This Row],[CONCERN.UNIQUEPATH]], IF( ISNUMBER( SEARCH("/",Table15[[#This Row],[CONCERN.UNIQUEPATH]])),SEARCH("/",Table15[[#This Row],[CONCERN.UNIQUEPATH]])+1,1),255))</f>
        <v>Inherent Data Qualities/Currentness/Enough to make informed Decisions</v>
      </c>
    </row>
    <row r="830" spans="1:6">
      <c r="A830" t="s">
        <v>1969</v>
      </c>
      <c r="B830" t="s">
        <v>2246</v>
      </c>
      <c r="C830" s="29" t="s">
        <v>5084</v>
      </c>
      <c r="D830" s="27" t="s">
        <v>5085</v>
      </c>
      <c r="E830" t="str">
        <f xml:space="preserve"> CONCATENATE( MID(Table15[[#This Row],[PHASE]],2,3), MID(Table15[[#This Row],[DELIVERABLE]],2,4), TRIM(SUBSTITUTE(MID(Table15[[#This Row],[CONCERN.ID]],2,20),"","") )  )</f>
        <v>08.461.6210.00.0000</v>
      </c>
      <c r="F830" t="str">
        <f>TRIM(MID(Table15[[#This Row],[CONCERN.UNIQUEPATH]], IF( ISNUMBER( SEARCH("/",Table15[[#This Row],[CONCERN.UNIQUEPATH]])),SEARCH("/",Table15[[#This Row],[CONCERN.UNIQUEPATH]])+1,1),255))</f>
        <v>System Dependent Data Qualities/Accessibility</v>
      </c>
    </row>
    <row r="831" spans="1:6">
      <c r="A831" t="s">
        <v>1969</v>
      </c>
      <c r="B831" t="s">
        <v>2246</v>
      </c>
      <c r="C831" s="30" t="s">
        <v>5086</v>
      </c>
      <c r="D831" s="26" t="s">
        <v>5087</v>
      </c>
      <c r="E831" s="45" t="str">
        <f xml:space="preserve"> CONCATENATE( MID(Table15[[#This Row],[PHASE]],2,3), MID(Table15[[#This Row],[DELIVERABLE]],2,4), TRIM(SUBSTITUTE(MID(Table15[[#This Row],[CONCERN.ID]],2,20),"","") )  )</f>
        <v>08.461.6220.00.0000</v>
      </c>
      <c r="F831" t="str">
        <f>TRIM(MID(Table15[[#This Row],[CONCERN.UNIQUEPATH]], IF( ISNUMBER( SEARCH("/",Table15[[#This Row],[CONCERN.UNIQUEPATH]])),SEARCH("/",Table15[[#This Row],[CONCERN.UNIQUEPATH]])+1,1),255))</f>
        <v>System Dependent Data Qualities/Compliance</v>
      </c>
    </row>
    <row r="832" spans="1:6">
      <c r="A832" t="s">
        <v>1969</v>
      </c>
      <c r="B832" t="s">
        <v>2246</v>
      </c>
      <c r="C832" s="29" t="s">
        <v>5088</v>
      </c>
      <c r="D832" s="27" t="s">
        <v>5089</v>
      </c>
      <c r="E832" t="str">
        <f xml:space="preserve"> CONCATENATE( MID(Table15[[#This Row],[PHASE]],2,3), MID(Table15[[#This Row],[DELIVERABLE]],2,4), TRIM(SUBSTITUTE(MID(Table15[[#This Row],[CONCERN.ID]],2,20),"","") )  )</f>
        <v>08.461.6240.00.0000</v>
      </c>
      <c r="F832" t="str">
        <f>TRIM(MID(Table15[[#This Row],[CONCERN.UNIQUEPATH]], IF( ISNUMBER( SEARCH("/",Table15[[#This Row],[CONCERN.UNIQUEPATH]])),SEARCH("/",Table15[[#This Row],[CONCERN.UNIQUEPATH]])+1,1),255))</f>
        <v>System Dependent Data Qualities/Efficiency</v>
      </c>
    </row>
    <row r="833" spans="1:6">
      <c r="A833" t="s">
        <v>1969</v>
      </c>
      <c r="B833" t="s">
        <v>2246</v>
      </c>
      <c r="C833" s="30" t="s">
        <v>5090</v>
      </c>
      <c r="D833" s="26" t="s">
        <v>5091</v>
      </c>
      <c r="E833" s="45" t="str">
        <f xml:space="preserve"> CONCATENATE( MID(Table15[[#This Row],[PHASE]],2,3), MID(Table15[[#This Row],[DELIVERABLE]],2,4), TRIM(SUBSTITUTE(MID(Table15[[#This Row],[CONCERN.ID]],2,20),"","") )  )</f>
        <v>08.461.6250.00.0000</v>
      </c>
      <c r="F833" t="str">
        <f>TRIM(MID(Table15[[#This Row],[CONCERN.UNIQUEPATH]], IF( ISNUMBER( SEARCH("/",Table15[[#This Row],[CONCERN.UNIQUEPATH]])),SEARCH("/",Table15[[#This Row],[CONCERN.UNIQUEPATH]])+1,1),255))</f>
        <v>System Dependent Data Qualities/Precision</v>
      </c>
    </row>
    <row r="834" spans="1:6">
      <c r="A834" t="s">
        <v>1969</v>
      </c>
      <c r="B834" t="s">
        <v>2246</v>
      </c>
      <c r="C834" s="29" t="s">
        <v>5092</v>
      </c>
      <c r="D834" s="27" t="s">
        <v>5093</v>
      </c>
      <c r="E834" t="str">
        <f xml:space="preserve"> CONCATENATE( MID(Table15[[#This Row],[PHASE]],2,3), MID(Table15[[#This Row],[DELIVERABLE]],2,4), TRIM(SUBSTITUTE(MID(Table15[[#This Row],[CONCERN.ID]],2,20),"","") )  )</f>
        <v>08.461.6251.00.0000</v>
      </c>
      <c r="F834" t="str">
        <f>TRIM(MID(Table15[[#This Row],[CONCERN.UNIQUEPATH]], IF( ISNUMBER( SEARCH("/",Table15[[#This Row],[CONCERN.UNIQUEPATH]])),SEARCH("/",Table15[[#This Row],[CONCERN.UNIQUEPATH]])+1,1),255))</f>
        <v>System Dependent Data Qualities/Prefer Precision over Storage Brevity</v>
      </c>
    </row>
    <row r="835" spans="1:6">
      <c r="A835" t="s">
        <v>1969</v>
      </c>
      <c r="B835" t="s">
        <v>2246</v>
      </c>
      <c r="C835" s="30" t="s">
        <v>5094</v>
      </c>
      <c r="D835" s="26" t="s">
        <v>5095</v>
      </c>
      <c r="E835" s="45" t="str">
        <f xml:space="preserve"> CONCATENATE( MID(Table15[[#This Row],[PHASE]],2,3), MID(Table15[[#This Row],[DELIVERABLE]],2,4), TRIM(SUBSTITUTE(MID(Table15[[#This Row],[CONCERN.ID]],2,20),"","") )  )</f>
        <v>08.461.6260.00.0000</v>
      </c>
      <c r="F835" t="str">
        <f>TRIM(MID(Table15[[#This Row],[CONCERN.UNIQUEPATH]], IF( ISNUMBER( SEARCH("/",Table15[[#This Row],[CONCERN.UNIQUEPATH]])),SEARCH("/",Table15[[#This Row],[CONCERN.UNIQUEPATH]])+1,1),255))</f>
        <v>System Dependent Data Qualities/Traceability</v>
      </c>
    </row>
    <row r="836" spans="1:6">
      <c r="A836" t="s">
        <v>1969</v>
      </c>
      <c r="B836" t="s">
        <v>2246</v>
      </c>
      <c r="C836" s="29" t="s">
        <v>5096</v>
      </c>
      <c r="D836" s="27" t="s">
        <v>5097</v>
      </c>
      <c r="E836" t="str">
        <f xml:space="preserve"> CONCATENATE( MID(Table15[[#This Row],[PHASE]],2,3), MID(Table15[[#This Row],[DELIVERABLE]],2,4), TRIM(SUBSTITUTE(MID(Table15[[#This Row],[CONCERN.ID]],2,20),"","") )  )</f>
        <v>08.461.6261.00.0000</v>
      </c>
      <c r="F836" t="str">
        <f>TRIM(MID(Table15[[#This Row],[CONCERN.UNIQUEPATH]], IF( ISNUMBER( SEARCH("/",Table15[[#This Row],[CONCERN.UNIQUEPATH]])),SEARCH("/",Table15[[#This Row],[CONCERN.UNIQUEPATH]])+1,1),255))</f>
        <v>System Dependent Data Qualities/Data Changes only via Audited System</v>
      </c>
    </row>
    <row r="837" spans="1:6">
      <c r="A837" t="s">
        <v>1969</v>
      </c>
      <c r="B837" t="s">
        <v>2246</v>
      </c>
      <c r="C837" s="30" t="s">
        <v>5098</v>
      </c>
      <c r="D837" s="26" t="s">
        <v>5099</v>
      </c>
      <c r="E837" s="45" t="str">
        <f xml:space="preserve"> CONCATENATE( MID(Table15[[#This Row],[PHASE]],2,3), MID(Table15[[#This Row],[DELIVERABLE]],2,4), TRIM(SUBSTITUTE(MID(Table15[[#This Row],[CONCERN.ID]],2,20),"","") )  )</f>
        <v>08.461.6262.00.0000</v>
      </c>
      <c r="F837" t="str">
        <f>TRIM(MID(Table15[[#This Row],[CONCERN.UNIQUEPATH]], IF( ISNUMBER( SEARCH("/",Table15[[#This Row],[CONCERN.UNIQUEPATH]])),SEARCH("/",Table15[[#This Row],[CONCERN.UNIQUEPATH]])+1,1),255))</f>
        <v>System Dependent Data Qualities/Confidentiality</v>
      </c>
    </row>
    <row r="838" spans="1:6">
      <c r="A838" t="s">
        <v>1969</v>
      </c>
      <c r="B838" t="s">
        <v>2246</v>
      </c>
      <c r="C838" s="29" t="s">
        <v>5100</v>
      </c>
      <c r="D838" s="27" t="s">
        <v>5101</v>
      </c>
      <c r="E838" t="str">
        <f xml:space="preserve"> CONCATENATE( MID(Table15[[#This Row],[PHASE]],2,3), MID(Table15[[#This Row],[DELIVERABLE]],2,4), TRIM(SUBSTITUTE(MID(Table15[[#This Row],[CONCERN.ID]],2,20),"","") )  )</f>
        <v>08.461.6310.00.0000</v>
      </c>
      <c r="F838" t="str">
        <f>TRIM(MID(Table15[[#This Row],[CONCERN.UNIQUEPATH]], IF( ISNUMBER( SEARCH("/",Table15[[#This Row],[CONCERN.UNIQUEPATH]])),SEARCH("/",Table15[[#This Row],[CONCERN.UNIQUEPATH]])+1,1),255))</f>
        <v>Data Systems Qualities/Availability</v>
      </c>
    </row>
    <row r="839" spans="1:6">
      <c r="A839" t="s">
        <v>1969</v>
      </c>
      <c r="B839" t="s">
        <v>2246</v>
      </c>
      <c r="C839" s="30" t="s">
        <v>5102</v>
      </c>
      <c r="D839" s="26" t="s">
        <v>5103</v>
      </c>
      <c r="E839" s="45" t="str">
        <f xml:space="preserve"> CONCATENATE( MID(Table15[[#This Row],[PHASE]],2,3), MID(Table15[[#This Row],[DELIVERABLE]],2,4), TRIM(SUBSTITUTE(MID(Table15[[#This Row],[CONCERN.ID]],2,20),"","") )  )</f>
        <v>08.461.6320.00.0000</v>
      </c>
      <c r="F839" t="str">
        <f>TRIM(MID(Table15[[#This Row],[CONCERN.UNIQUEPATH]], IF( ISNUMBER( SEARCH("/",Table15[[#This Row],[CONCERN.UNIQUEPATH]])),SEARCH("/",Table15[[#This Row],[CONCERN.UNIQUEPATH]])+1,1),255))</f>
        <v>Data Systems Qualities/Portability</v>
      </c>
    </row>
    <row r="840" spans="1:6">
      <c r="A840" t="s">
        <v>1969</v>
      </c>
      <c r="B840" t="s">
        <v>2246</v>
      </c>
      <c r="C840" s="29" t="s">
        <v>5104</v>
      </c>
      <c r="D840" s="27" t="s">
        <v>5105</v>
      </c>
      <c r="E840" t="str">
        <f xml:space="preserve"> CONCATENATE( MID(Table15[[#This Row],[PHASE]],2,3), MID(Table15[[#This Row],[DELIVERABLE]],2,4), TRIM(SUBSTITUTE(MID(Table15[[#This Row],[CONCERN.ID]],2,20),"","") )  )</f>
        <v>08.461.6321.00.0000</v>
      </c>
      <c r="F840" t="str">
        <f>TRIM(MID(Table15[[#This Row],[CONCERN.UNIQUEPATH]], IF( ISNUMBER( SEARCH("/",Table15[[#This Row],[CONCERN.UNIQUEPATH]])),SEARCH("/",Table15[[#This Row],[CONCERN.UNIQUEPATH]])+1,1),255))</f>
        <v>Data Systems Qualities/Portability/Data stored in Unstyled Standard (eg: Markdown)</v>
      </c>
    </row>
    <row r="841" spans="1:6">
      <c r="A841" t="s">
        <v>1969</v>
      </c>
      <c r="B841" t="s">
        <v>2246</v>
      </c>
      <c r="C841" s="30" t="s">
        <v>5106</v>
      </c>
      <c r="D841" s="26" t="s">
        <v>5107</v>
      </c>
      <c r="E841" s="45" t="str">
        <f xml:space="preserve"> CONCATENATE( MID(Table15[[#This Row],[PHASE]],2,3), MID(Table15[[#This Row],[DELIVERABLE]],2,4), TRIM(SUBSTITUTE(MID(Table15[[#This Row],[CONCERN.ID]],2,20),"","") )  )</f>
        <v>08.461.6322.00.0000</v>
      </c>
      <c r="F841" t="str">
        <f>TRIM(MID(Table15[[#This Row],[CONCERN.UNIQUEPATH]], IF( ISNUMBER( SEARCH("/",Table15[[#This Row],[CONCERN.UNIQUEPATH]])),SEARCH("/",Table15[[#This Row],[CONCERN.UNIQUEPATH]])+1,1),255))</f>
        <v>Data Systems Qualities/Portability/Etractable</v>
      </c>
    </row>
    <row r="842" spans="1:6">
      <c r="A842" t="s">
        <v>1969</v>
      </c>
      <c r="B842" t="s">
        <v>2246</v>
      </c>
      <c r="C842" s="32" t="s">
        <v>5108</v>
      </c>
      <c r="D842" s="27" t="s">
        <v>5109</v>
      </c>
      <c r="E842" t="str">
        <f xml:space="preserve"> CONCATENATE( MID(Table15[[#This Row],[PHASE]],2,3), MID(Table15[[#This Row],[DELIVERABLE]],2,4), TRIM(SUBSTITUTE(MID(Table15[[#This Row],[CONCERN.ID]],2,20),"","") )  )</f>
        <v>08.461.6322.01.0000</v>
      </c>
      <c r="F842" t="str">
        <f>TRIM(MID(Table15[[#This Row],[CONCERN.UNIQUEPATH]], IF( ISNUMBER( SEARCH("/",Table15[[#This Row],[CONCERN.UNIQUEPATH]])),SEARCH("/",Table15[[#This Row],[CONCERN.UNIQUEPATH]])+1,1),255))</f>
        <v>Data Systems Qualities/Portability/Etractable/Serialised</v>
      </c>
    </row>
    <row r="843" spans="1:6">
      <c r="A843" t="s">
        <v>1969</v>
      </c>
      <c r="B843" t="s">
        <v>2246</v>
      </c>
      <c r="C843" s="31" t="s">
        <v>5110</v>
      </c>
      <c r="D843" s="26" t="s">
        <v>5111</v>
      </c>
      <c r="E843" s="45" t="str">
        <f xml:space="preserve"> CONCATENATE( MID(Table15[[#This Row],[PHASE]],2,3), MID(Table15[[#This Row],[DELIVERABLE]],2,4), TRIM(SUBSTITUTE(MID(Table15[[#This Row],[CONCERN.ID]],2,20),"","") )  )</f>
        <v>08.461.6322.02.0000</v>
      </c>
      <c r="F843" t="str">
        <f>TRIM(MID(Table15[[#This Row],[CONCERN.UNIQUEPATH]], IF( ISNUMBER( SEARCH("/",Table15[[#This Row],[CONCERN.UNIQUEPATH]])),SEARCH("/",Table15[[#This Row],[CONCERN.UNIQUEPATH]])+1,1),255))</f>
        <v>Data Systems Qualities/Portability/Etractable/As batch instructions</v>
      </c>
    </row>
    <row r="844" spans="1:6">
      <c r="A844" t="s">
        <v>1969</v>
      </c>
      <c r="B844" t="s">
        <v>2246</v>
      </c>
      <c r="C844" s="29" t="s">
        <v>5112</v>
      </c>
      <c r="D844" s="27" t="s">
        <v>5113</v>
      </c>
      <c r="E844" t="str">
        <f xml:space="preserve"> CONCATENATE( MID(Table15[[#This Row],[PHASE]],2,3), MID(Table15[[#This Row],[DELIVERABLE]],2,4), TRIM(SUBSTITUTE(MID(Table15[[#This Row],[CONCERN.ID]],2,20),"","") )  )</f>
        <v>08.461.6323.00.0000</v>
      </c>
      <c r="F844" t="str">
        <f>TRIM(MID(Table15[[#This Row],[CONCERN.UNIQUEPATH]], IF( ISNUMBER( SEARCH("/",Table15[[#This Row],[CONCERN.UNIQUEPATH]])),SEARCH("/",Table15[[#This Row],[CONCERN.UNIQUEPATH]])+1,1),255))</f>
        <v>Data Systems Qualities/Recoverability</v>
      </c>
    </row>
  </sheetData>
  <dataValidations count="4">
    <dataValidation type="list" allowBlank="1" showInputMessage="1" showErrorMessage="1" sqref="A2:A1048576" xr:uid="{C701984E-77E6-4553-B03F-4A1446EE5CAC}">
      <formula1>TBL_Phase</formula1>
    </dataValidation>
    <dataValidation type="list" allowBlank="1" showInputMessage="1" showErrorMessage="1" sqref="B3:B844" xr:uid="{6C4BD511-00EA-4FE1-8093-9AE72C47E550}">
      <formula1>TBL_Deliverables</formula1>
    </dataValidation>
    <dataValidation type="list" allowBlank="1" showInputMessage="1" showErrorMessage="1" sqref="J3:K844" xr:uid="{0B89B7D0-5BEB-4D9A-8EBC-3D61CD38DA4E}">
      <formula1>TBL_Stakeholders</formula1>
    </dataValidation>
    <dataValidation type="list" allowBlank="1" showInputMessage="1" showErrorMessage="1" sqref="L3:L844" xr:uid="{EE7661A0-C911-403E-9A34-532611BB2C7E}">
      <formula1>TBL_Type</formula1>
    </dataValidation>
  </dataValidation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7D8D-3971-4EA8-9BE5-8708C7F29BCE}">
  <sheetPr>
    <tabColor theme="4"/>
  </sheetPr>
  <dimension ref="A1:L2"/>
  <sheetViews>
    <sheetView workbookViewId="0">
      <selection activeCell="A14" sqref="A14"/>
    </sheetView>
  </sheetViews>
  <sheetFormatPr defaultRowHeight="14.5"/>
  <cols>
    <col min="1" max="1" width="8.453125" customWidth="1"/>
    <col min="2" max="2" width="13.81640625" customWidth="1"/>
    <col min="3" max="3" width="13.81640625" bestFit="1" customWidth="1"/>
    <col min="4" max="5" width="13.81640625" customWidth="1"/>
    <col min="6" max="6" width="7.81640625" bestFit="1" customWidth="1"/>
    <col min="7" max="9" width="13" customWidth="1"/>
    <col min="10" max="10" width="14.1796875" customWidth="1"/>
    <col min="11" max="11" width="13.453125" bestFit="1" customWidth="1"/>
  </cols>
  <sheetData>
    <row r="1" spans="1:12">
      <c r="A1" t="s">
        <v>3091</v>
      </c>
      <c r="B1" t="s">
        <v>3092</v>
      </c>
      <c r="C1" t="s">
        <v>3093</v>
      </c>
      <c r="D1" t="s">
        <v>3095</v>
      </c>
      <c r="E1" t="s">
        <v>3094</v>
      </c>
      <c r="F1" t="s">
        <v>3096</v>
      </c>
      <c r="G1" t="s">
        <v>2286</v>
      </c>
      <c r="H1" t="s">
        <v>3097</v>
      </c>
      <c r="I1" t="s">
        <v>3098</v>
      </c>
      <c r="J1" t="s">
        <v>3099</v>
      </c>
      <c r="K1" t="s">
        <v>3100</v>
      </c>
      <c r="L1" t="s">
        <v>1922</v>
      </c>
    </row>
    <row r="2" spans="1:12">
      <c r="A2" t="s">
        <v>1965</v>
      </c>
      <c r="C2" t="s">
        <v>5114</v>
      </c>
      <c r="E2" t="str">
        <f xml:space="preserve"> CONCATENATE( MID(Table15184[[#This Row],[PHASE]],2,3), MID(Table15184[[#This Row],[DELIVERABLE]],2,4), TRIM(SUBSTITUTE(MID(Table15184[[#This Row],[CONCERN.ID]],2,20),"X","") )  )</f>
        <v>07.81.01.01</v>
      </c>
      <c r="F2" t="str">
        <f>TRIM(MID(Table15184[[#This Row],[CONCERN.UNIQUEPATH]], IF( ISNUMBER( SEARCH("/",Table15184[[#This Row],[CONCERN.UNIQUEPATH]])),SEARCH("/",Table15184[[#This Row],[CONCERN.UNIQUEPATH]])+1,1),255))</f>
        <v/>
      </c>
    </row>
  </sheetData>
  <dataValidations count="4">
    <dataValidation type="list" allowBlank="1" showInputMessage="1" showErrorMessage="1" sqref="L2" xr:uid="{84FB2ECA-0A92-45EB-8F52-764922C881E3}">
      <formula1>TBL_Type</formula1>
    </dataValidation>
    <dataValidation type="list" allowBlank="1" showInputMessage="1" showErrorMessage="1" sqref="J2:K2" xr:uid="{C4C5A29C-75A6-4B6C-8C42-E134537EE722}">
      <formula1>TBL_Stakeholders</formula1>
    </dataValidation>
    <dataValidation type="list" allowBlank="1" showInputMessage="1" showErrorMessage="1" sqref="B2" xr:uid="{1712A437-70B0-4DDC-B858-9379E9D7C0A0}">
      <formula1>TBL_Deliverables</formula1>
    </dataValidation>
    <dataValidation type="list" allowBlank="1" showInputMessage="1" showErrorMessage="1" sqref="A2" xr:uid="{6AEF4A01-BC86-45E7-9D1D-880B97790643}">
      <formula1>TBL_Phase</formula1>
    </dataValidation>
  </dataValidation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3FD01-FFCB-43FD-B70C-0B7C7E3AFB97}">
  <sheetPr codeName="Sheet12">
    <tabColor theme="8" tint="0.39997558519241921"/>
  </sheetPr>
  <dimension ref="A1:M381"/>
  <sheetViews>
    <sheetView workbookViewId="0">
      <selection activeCell="A16" sqref="A16"/>
    </sheetView>
  </sheetViews>
  <sheetFormatPr defaultRowHeight="14.5"/>
  <cols>
    <col min="1" max="1" width="8.453125" customWidth="1"/>
    <col min="2" max="2" width="38" bestFit="1" customWidth="1"/>
    <col min="3" max="3" width="13.81640625" bestFit="1" customWidth="1"/>
    <col min="4" max="4" width="24" bestFit="1" customWidth="1"/>
    <col min="5" max="5" width="8.1796875" bestFit="1" customWidth="1"/>
    <col min="6" max="6" width="7.453125" customWidth="1"/>
    <col min="7" max="7" width="13.453125" bestFit="1" customWidth="1"/>
    <col min="8" max="8" width="42.81640625" bestFit="1" customWidth="1"/>
    <col min="9" max="9" width="45.1796875" bestFit="1" customWidth="1"/>
  </cols>
  <sheetData>
    <row r="1" spans="1:13">
      <c r="A1" t="s">
        <v>3091</v>
      </c>
      <c r="B1" t="s">
        <v>3092</v>
      </c>
      <c r="C1" t="s">
        <v>3093</v>
      </c>
      <c r="D1" t="s">
        <v>3095</v>
      </c>
      <c r="E1" t="s">
        <v>3094</v>
      </c>
      <c r="F1" t="s">
        <v>3096</v>
      </c>
      <c r="G1" t="s">
        <v>2286</v>
      </c>
      <c r="H1" t="s">
        <v>3097</v>
      </c>
      <c r="I1" t="s">
        <v>3098</v>
      </c>
      <c r="J1" t="s">
        <v>3099</v>
      </c>
      <c r="K1" t="s">
        <v>3100</v>
      </c>
      <c r="L1" t="s">
        <v>1922</v>
      </c>
      <c r="M1" s="38" t="s">
        <v>1923</v>
      </c>
    </row>
    <row r="2" spans="1:13">
      <c r="A2" t="s">
        <v>1977</v>
      </c>
      <c r="B2" t="s">
        <v>5115</v>
      </c>
      <c r="E2" t="str">
        <f xml:space="preserve"> CONCATENATE( MID(Table151823[[#This Row],[PHASE]],2,3), MID(Table151823[[#This Row],[DELIVERABLE]],2,4), TRIM(SUBSTITUTE(MID(Table151823[[#This Row],[CONCERN.ID]],2,20),"X","") )  )</f>
        <v>10.305.</v>
      </c>
      <c r="F2" t="str">
        <f>TRIM(MID(Table151823[[#This Row],[CONCERN.UNIQUEPATH]], IF( ISNUMBER( SEARCH("/",Table151823[[#This Row],[CONCERN.UNIQUEPATH]])),SEARCH("/",Table151823[[#This Row],[CONCERN.UNIQUEPATH]])+1,1),255))</f>
        <v/>
      </c>
      <c r="J2" t="s">
        <v>2068</v>
      </c>
      <c r="K2" t="s">
        <v>2096</v>
      </c>
      <c r="L2" t="s">
        <v>1928</v>
      </c>
    </row>
    <row r="3" spans="1:13">
      <c r="A3" t="s">
        <v>1977</v>
      </c>
      <c r="B3" t="s">
        <v>2189</v>
      </c>
      <c r="E3" t="str">
        <f xml:space="preserve"> CONCATENATE( MID(Table151823[[#This Row],[PHASE]],2,3), MID(Table151823[[#This Row],[DELIVERABLE]],2,4), TRIM(SUBSTITUTE(MID(Table151823[[#This Row],[CONCERN.ID]],2,20),"X","") )  )</f>
        <v>10.402.</v>
      </c>
      <c r="F3" t="str">
        <f>TRIM(MID(Table151823[[#This Row],[CONCERN.UNIQUEPATH]], IF( ISNUMBER( SEARCH("/",Table151823[[#This Row],[CONCERN.UNIQUEPATH]])),SEARCH("/",Table151823[[#This Row],[CONCERN.UNIQUEPATH]])+1,1),255))</f>
        <v/>
      </c>
      <c r="J3" t="s">
        <v>2068</v>
      </c>
      <c r="L3" t="s">
        <v>1928</v>
      </c>
    </row>
    <row r="4" spans="1:13">
      <c r="A4" t="s">
        <v>1977</v>
      </c>
      <c r="B4" t="s">
        <v>2189</v>
      </c>
      <c r="E4" t="str">
        <f xml:space="preserve"> CONCATENATE( MID(Table151823[[#This Row],[PHASE]],2,3), MID(Table151823[[#This Row],[DELIVERABLE]],2,4), TRIM(SUBSTITUTE(MID(Table151823[[#This Row],[CONCERN.ID]],2,20),"X","") )  )</f>
        <v>10.402.</v>
      </c>
      <c r="F4" t="str">
        <f>TRIM(MID(Table151823[[#This Row],[CONCERN.UNIQUEPATH]], IF( ISNUMBER( SEARCH("/",Table151823[[#This Row],[CONCERN.UNIQUEPATH]])),SEARCH("/",Table151823[[#This Row],[CONCERN.UNIQUEPATH]])+1,1),255))</f>
        <v/>
      </c>
      <c r="J4" t="s">
        <v>2068</v>
      </c>
      <c r="L4" t="s">
        <v>1928</v>
      </c>
    </row>
    <row r="5" spans="1:13">
      <c r="A5" t="s">
        <v>1977</v>
      </c>
      <c r="B5" t="s">
        <v>2189</v>
      </c>
      <c r="E5" t="str">
        <f xml:space="preserve"> CONCATENATE( MID(Table151823[[#This Row],[PHASE]],2,3), MID(Table151823[[#This Row],[DELIVERABLE]],2,4), TRIM(SUBSTITUTE(MID(Table151823[[#This Row],[CONCERN.ID]],2,20),"X","") )  )</f>
        <v>10.402.</v>
      </c>
      <c r="F5" t="str">
        <f>TRIM(MID(Table151823[[#This Row],[CONCERN.UNIQUEPATH]], IF( ISNUMBER( SEARCH("/",Table151823[[#This Row],[CONCERN.UNIQUEPATH]])),SEARCH("/",Table151823[[#This Row],[CONCERN.UNIQUEPATH]])+1,1),255))</f>
        <v/>
      </c>
      <c r="J5" t="s">
        <v>2068</v>
      </c>
      <c r="L5" t="s">
        <v>1928</v>
      </c>
    </row>
    <row r="6" spans="1:13">
      <c r="A6" t="s">
        <v>1977</v>
      </c>
      <c r="B6" t="s">
        <v>2189</v>
      </c>
      <c r="E6" t="str">
        <f xml:space="preserve"> CONCATENATE( MID(Table151823[[#This Row],[PHASE]],2,3), MID(Table151823[[#This Row],[DELIVERABLE]],2,4), TRIM(SUBSTITUTE(MID(Table151823[[#This Row],[CONCERN.ID]],2,20),"X","") )  )</f>
        <v>10.402.</v>
      </c>
      <c r="F6" t="str">
        <f>TRIM(MID(Table151823[[#This Row],[CONCERN.UNIQUEPATH]], IF( ISNUMBER( SEARCH("/",Table151823[[#This Row],[CONCERN.UNIQUEPATH]])),SEARCH("/",Table151823[[#This Row],[CONCERN.UNIQUEPATH]])+1,1),255))</f>
        <v/>
      </c>
      <c r="J6" t="s">
        <v>2068</v>
      </c>
      <c r="L6" t="s">
        <v>1928</v>
      </c>
    </row>
    <row r="7" spans="1:13">
      <c r="A7" t="s">
        <v>1977</v>
      </c>
      <c r="B7" t="s">
        <v>2189</v>
      </c>
      <c r="E7" t="str">
        <f xml:space="preserve"> CONCATENATE( MID(Table151823[[#This Row],[PHASE]],2,3), MID(Table151823[[#This Row],[DELIVERABLE]],2,4), TRIM(SUBSTITUTE(MID(Table151823[[#This Row],[CONCERN.ID]],2,20),"X","") )  )</f>
        <v>10.402.</v>
      </c>
      <c r="F7" t="str">
        <f>TRIM(MID(Table151823[[#This Row],[CONCERN.UNIQUEPATH]], IF( ISNUMBER( SEARCH("/",Table151823[[#This Row],[CONCERN.UNIQUEPATH]])),SEARCH("/",Table151823[[#This Row],[CONCERN.UNIQUEPATH]])+1,1),255))</f>
        <v/>
      </c>
      <c r="J7" t="s">
        <v>2068</v>
      </c>
      <c r="L7" t="s">
        <v>1928</v>
      </c>
    </row>
    <row r="8" spans="1:13">
      <c r="A8" t="s">
        <v>1977</v>
      </c>
      <c r="B8" t="s">
        <v>2189</v>
      </c>
      <c r="E8" t="str">
        <f xml:space="preserve"> CONCATENATE( MID(Table151823[[#This Row],[PHASE]],2,3), MID(Table151823[[#This Row],[DELIVERABLE]],2,4), TRIM(SUBSTITUTE(MID(Table151823[[#This Row],[CONCERN.ID]],2,20),"X","") )  )</f>
        <v>10.402.</v>
      </c>
      <c r="F8" t="str">
        <f>TRIM(MID(Table151823[[#This Row],[CONCERN.UNIQUEPATH]], IF( ISNUMBER( SEARCH("/",Table151823[[#This Row],[CONCERN.UNIQUEPATH]])),SEARCH("/",Table151823[[#This Row],[CONCERN.UNIQUEPATH]])+1,1),255))</f>
        <v/>
      </c>
      <c r="J8" t="s">
        <v>2068</v>
      </c>
      <c r="L8" t="s">
        <v>1928</v>
      </c>
    </row>
    <row r="9" spans="1:13">
      <c r="A9" t="s">
        <v>1977</v>
      </c>
      <c r="B9" t="s">
        <v>2189</v>
      </c>
      <c r="E9" t="str">
        <f xml:space="preserve"> CONCATENATE( MID(Table151823[[#This Row],[PHASE]],2,3), MID(Table151823[[#This Row],[DELIVERABLE]],2,4), TRIM(SUBSTITUTE(MID(Table151823[[#This Row],[CONCERN.ID]],2,20),"X","") )  )</f>
        <v>10.402.</v>
      </c>
      <c r="F9" t="str">
        <f>TRIM(MID(Table151823[[#This Row],[CONCERN.UNIQUEPATH]], IF( ISNUMBER( SEARCH("/",Table151823[[#This Row],[CONCERN.UNIQUEPATH]])),SEARCH("/",Table151823[[#This Row],[CONCERN.UNIQUEPATH]])+1,1),255))</f>
        <v/>
      </c>
      <c r="J9" t="s">
        <v>2068</v>
      </c>
      <c r="L9" t="s">
        <v>1928</v>
      </c>
    </row>
    <row r="10" spans="1:13">
      <c r="A10" t="s">
        <v>1977</v>
      </c>
      <c r="B10" t="s">
        <v>2189</v>
      </c>
      <c r="E10" t="str">
        <f xml:space="preserve"> CONCATENATE( MID(Table151823[[#This Row],[PHASE]],2,3), MID(Table151823[[#This Row],[DELIVERABLE]],2,4), TRIM(SUBSTITUTE(MID(Table151823[[#This Row],[CONCERN.ID]],2,20),"X","") )  )</f>
        <v>10.402.</v>
      </c>
      <c r="F10" t="str">
        <f>TRIM(MID(Table151823[[#This Row],[CONCERN.UNIQUEPATH]], IF( ISNUMBER( SEARCH("/",Table151823[[#This Row],[CONCERN.UNIQUEPATH]])),SEARCH("/",Table151823[[#This Row],[CONCERN.UNIQUEPATH]])+1,1),255))</f>
        <v/>
      </c>
      <c r="J10" t="s">
        <v>2068</v>
      </c>
      <c r="L10" t="s">
        <v>1928</v>
      </c>
    </row>
    <row r="11" spans="1:13">
      <c r="A11" t="s">
        <v>1977</v>
      </c>
      <c r="B11" t="s">
        <v>2189</v>
      </c>
      <c r="E11" t="str">
        <f xml:space="preserve"> CONCATENATE( MID(Table151823[[#This Row],[PHASE]],2,3), MID(Table151823[[#This Row],[DELIVERABLE]],2,4), TRIM(SUBSTITUTE(MID(Table151823[[#This Row],[CONCERN.ID]],2,20),"X","") )  )</f>
        <v>10.402.</v>
      </c>
      <c r="F11" t="str">
        <f>TRIM(MID(Table151823[[#This Row],[CONCERN.UNIQUEPATH]], IF( ISNUMBER( SEARCH("/",Table151823[[#This Row],[CONCERN.UNIQUEPATH]])),SEARCH("/",Table151823[[#This Row],[CONCERN.UNIQUEPATH]])+1,1),255))</f>
        <v/>
      </c>
      <c r="J11" t="s">
        <v>2068</v>
      </c>
      <c r="L11" t="s">
        <v>1928</v>
      </c>
    </row>
    <row r="12" spans="1:13">
      <c r="A12" t="s">
        <v>1977</v>
      </c>
      <c r="B12" t="s">
        <v>2189</v>
      </c>
      <c r="E12" t="str">
        <f xml:space="preserve"> CONCATENATE( MID(Table151823[[#This Row],[PHASE]],2,3), MID(Table151823[[#This Row],[DELIVERABLE]],2,4), TRIM(SUBSTITUTE(MID(Table151823[[#This Row],[CONCERN.ID]],2,20),"X","") )  )</f>
        <v>10.402.</v>
      </c>
      <c r="F12" t="str">
        <f>TRIM(MID(Table151823[[#This Row],[CONCERN.UNIQUEPATH]], IF( ISNUMBER( SEARCH("/",Table151823[[#This Row],[CONCERN.UNIQUEPATH]])),SEARCH("/",Table151823[[#This Row],[CONCERN.UNIQUEPATH]])+1,1),255))</f>
        <v/>
      </c>
      <c r="J12" t="s">
        <v>2068</v>
      </c>
      <c r="L12" t="s">
        <v>1928</v>
      </c>
    </row>
    <row r="13" spans="1:13">
      <c r="A13" t="s">
        <v>1977</v>
      </c>
      <c r="B13" t="s">
        <v>2189</v>
      </c>
      <c r="E13" t="str">
        <f xml:space="preserve"> CONCATENATE( MID(Table151823[[#This Row],[PHASE]],2,3), MID(Table151823[[#This Row],[DELIVERABLE]],2,4), TRIM(SUBSTITUTE(MID(Table151823[[#This Row],[CONCERN.ID]],2,20),"X","") )  )</f>
        <v>10.402.</v>
      </c>
      <c r="F13" t="str">
        <f>TRIM(MID(Table151823[[#This Row],[CONCERN.UNIQUEPATH]], IF( ISNUMBER( SEARCH("/",Table151823[[#This Row],[CONCERN.UNIQUEPATH]])),SEARCH("/",Table151823[[#This Row],[CONCERN.UNIQUEPATH]])+1,1),255))</f>
        <v/>
      </c>
      <c r="J13" t="s">
        <v>2068</v>
      </c>
      <c r="L13" t="s">
        <v>1928</v>
      </c>
    </row>
    <row r="14" spans="1:13">
      <c r="A14" t="s">
        <v>1977</v>
      </c>
      <c r="B14" t="s">
        <v>2189</v>
      </c>
      <c r="E14" t="str">
        <f xml:space="preserve"> CONCATENATE( MID(Table151823[[#This Row],[PHASE]],2,3), MID(Table151823[[#This Row],[DELIVERABLE]],2,4), TRIM(SUBSTITUTE(MID(Table151823[[#This Row],[CONCERN.ID]],2,20),"X","") )  )</f>
        <v>10.402.</v>
      </c>
      <c r="F14" t="str">
        <f>TRIM(MID(Table151823[[#This Row],[CONCERN.UNIQUEPATH]], IF( ISNUMBER( SEARCH("/",Table151823[[#This Row],[CONCERN.UNIQUEPATH]])),SEARCH("/",Table151823[[#This Row],[CONCERN.UNIQUEPATH]])+1,1),255))</f>
        <v/>
      </c>
      <c r="J14" t="s">
        <v>2068</v>
      </c>
      <c r="L14" t="s">
        <v>1928</v>
      </c>
    </row>
    <row r="15" spans="1:13">
      <c r="A15" t="s">
        <v>1977</v>
      </c>
      <c r="B15" t="s">
        <v>2189</v>
      </c>
      <c r="E15" t="str">
        <f xml:space="preserve"> CONCATENATE( MID(Table151823[[#This Row],[PHASE]],2,3), MID(Table151823[[#This Row],[DELIVERABLE]],2,4), TRIM(SUBSTITUTE(MID(Table151823[[#This Row],[CONCERN.ID]],2,20),"X","") )  )</f>
        <v>10.402.</v>
      </c>
      <c r="F15" t="str">
        <f>TRIM(MID(Table151823[[#This Row],[CONCERN.UNIQUEPATH]], IF( ISNUMBER( SEARCH("/",Table151823[[#This Row],[CONCERN.UNIQUEPATH]])),SEARCH("/",Table151823[[#This Row],[CONCERN.UNIQUEPATH]])+1,1),255))</f>
        <v/>
      </c>
      <c r="J15" t="s">
        <v>2068</v>
      </c>
      <c r="L15" t="s">
        <v>1928</v>
      </c>
    </row>
    <row r="16" spans="1:13">
      <c r="A16" t="s">
        <v>1977</v>
      </c>
      <c r="B16" t="s">
        <v>2189</v>
      </c>
      <c r="E16" t="str">
        <f xml:space="preserve"> CONCATENATE( MID(Table151823[[#This Row],[PHASE]],2,3), MID(Table151823[[#This Row],[DELIVERABLE]],2,4), TRIM(SUBSTITUTE(MID(Table151823[[#This Row],[CONCERN.ID]],2,20),"X","") )  )</f>
        <v>10.402.</v>
      </c>
      <c r="F16" t="str">
        <f>TRIM(MID(Table151823[[#This Row],[CONCERN.UNIQUEPATH]], IF( ISNUMBER( SEARCH("/",Table151823[[#This Row],[CONCERN.UNIQUEPATH]])),SEARCH("/",Table151823[[#This Row],[CONCERN.UNIQUEPATH]])+1,1),255))</f>
        <v/>
      </c>
      <c r="J16" t="s">
        <v>2068</v>
      </c>
      <c r="L16" t="s">
        <v>1928</v>
      </c>
    </row>
    <row r="17" spans="1:12">
      <c r="A17" t="s">
        <v>1977</v>
      </c>
      <c r="B17" t="s">
        <v>2189</v>
      </c>
      <c r="E17" t="str">
        <f xml:space="preserve"> CONCATENATE( MID(Table151823[[#This Row],[PHASE]],2,3), MID(Table151823[[#This Row],[DELIVERABLE]],2,4), TRIM(SUBSTITUTE(MID(Table151823[[#This Row],[CONCERN.ID]],2,20),"X","") )  )</f>
        <v>10.402.</v>
      </c>
      <c r="F17" t="str">
        <f>TRIM(MID(Table151823[[#This Row],[CONCERN.UNIQUEPATH]], IF( ISNUMBER( SEARCH("/",Table151823[[#This Row],[CONCERN.UNIQUEPATH]])),SEARCH("/",Table151823[[#This Row],[CONCERN.UNIQUEPATH]])+1,1),255))</f>
        <v/>
      </c>
      <c r="J17" t="s">
        <v>2068</v>
      </c>
      <c r="L17" t="s">
        <v>1928</v>
      </c>
    </row>
    <row r="18" spans="1:12">
      <c r="A18" t="s">
        <v>1977</v>
      </c>
      <c r="B18" t="s">
        <v>2189</v>
      </c>
      <c r="E18" t="str">
        <f xml:space="preserve"> CONCATENATE( MID(Table151823[[#This Row],[PHASE]],2,3), MID(Table151823[[#This Row],[DELIVERABLE]],2,4), TRIM(SUBSTITUTE(MID(Table151823[[#This Row],[CONCERN.ID]],2,20),"X","") )  )</f>
        <v>10.402.</v>
      </c>
      <c r="F18" t="str">
        <f>TRIM(MID(Table151823[[#This Row],[CONCERN.UNIQUEPATH]], IF( ISNUMBER( SEARCH("/",Table151823[[#This Row],[CONCERN.UNIQUEPATH]])),SEARCH("/",Table151823[[#This Row],[CONCERN.UNIQUEPATH]])+1,1),255))</f>
        <v/>
      </c>
      <c r="J18" t="s">
        <v>2068</v>
      </c>
      <c r="L18" t="s">
        <v>1928</v>
      </c>
    </row>
    <row r="19" spans="1:12">
      <c r="A19" t="s">
        <v>1977</v>
      </c>
      <c r="B19" t="s">
        <v>2189</v>
      </c>
      <c r="E19" t="str">
        <f xml:space="preserve"> CONCATENATE( MID(Table151823[[#This Row],[PHASE]],2,3), MID(Table151823[[#This Row],[DELIVERABLE]],2,4), TRIM(SUBSTITUTE(MID(Table151823[[#This Row],[CONCERN.ID]],2,20),"X","") )  )</f>
        <v>10.402.</v>
      </c>
      <c r="F19" t="str">
        <f>TRIM(MID(Table151823[[#This Row],[CONCERN.UNIQUEPATH]], IF( ISNUMBER( SEARCH("/",Table151823[[#This Row],[CONCERN.UNIQUEPATH]])),SEARCH("/",Table151823[[#This Row],[CONCERN.UNIQUEPATH]])+1,1),255))</f>
        <v/>
      </c>
      <c r="J19" t="s">
        <v>2068</v>
      </c>
      <c r="L19" t="s">
        <v>1928</v>
      </c>
    </row>
    <row r="20" spans="1:12">
      <c r="A20" t="s">
        <v>1977</v>
      </c>
      <c r="B20" t="s">
        <v>2189</v>
      </c>
      <c r="E20" t="str">
        <f xml:space="preserve"> CONCATENATE( MID(Table151823[[#This Row],[PHASE]],2,3), MID(Table151823[[#This Row],[DELIVERABLE]],2,4), TRIM(SUBSTITUTE(MID(Table151823[[#This Row],[CONCERN.ID]],2,20),"X","") )  )</f>
        <v>10.402.</v>
      </c>
      <c r="F20" t="str">
        <f>TRIM(MID(Table151823[[#This Row],[CONCERN.UNIQUEPATH]], IF( ISNUMBER( SEARCH("/",Table151823[[#This Row],[CONCERN.UNIQUEPATH]])),SEARCH("/",Table151823[[#This Row],[CONCERN.UNIQUEPATH]])+1,1),255))</f>
        <v/>
      </c>
      <c r="J20" t="s">
        <v>2068</v>
      </c>
      <c r="L20" t="s">
        <v>1928</v>
      </c>
    </row>
    <row r="21" spans="1:12">
      <c r="A21" t="s">
        <v>1977</v>
      </c>
      <c r="B21" t="s">
        <v>2189</v>
      </c>
      <c r="E21" t="str">
        <f xml:space="preserve"> CONCATENATE( MID(Table151823[[#This Row],[PHASE]],2,3), MID(Table151823[[#This Row],[DELIVERABLE]],2,4), TRIM(SUBSTITUTE(MID(Table151823[[#This Row],[CONCERN.ID]],2,20),"X","") )  )</f>
        <v>10.402.</v>
      </c>
      <c r="F21" t="str">
        <f>TRIM(MID(Table151823[[#This Row],[CONCERN.UNIQUEPATH]], IF( ISNUMBER( SEARCH("/",Table151823[[#This Row],[CONCERN.UNIQUEPATH]])),SEARCH("/",Table151823[[#This Row],[CONCERN.UNIQUEPATH]])+1,1),255))</f>
        <v/>
      </c>
      <c r="J21" t="s">
        <v>2068</v>
      </c>
      <c r="L21" t="s">
        <v>1928</v>
      </c>
    </row>
    <row r="22" spans="1:12">
      <c r="A22" t="s">
        <v>1977</v>
      </c>
      <c r="B22" t="s">
        <v>2189</v>
      </c>
      <c r="E22" t="str">
        <f xml:space="preserve"> CONCATENATE( MID(Table151823[[#This Row],[PHASE]],2,3), MID(Table151823[[#This Row],[DELIVERABLE]],2,4), TRIM(SUBSTITUTE(MID(Table151823[[#This Row],[CONCERN.ID]],2,20),"X","") )  )</f>
        <v>10.402.</v>
      </c>
      <c r="F22" t="str">
        <f>TRIM(MID(Table151823[[#This Row],[CONCERN.UNIQUEPATH]], IF( ISNUMBER( SEARCH("/",Table151823[[#This Row],[CONCERN.UNIQUEPATH]])),SEARCH("/",Table151823[[#This Row],[CONCERN.UNIQUEPATH]])+1,1),255))</f>
        <v/>
      </c>
      <c r="J22" t="s">
        <v>2068</v>
      </c>
      <c r="K22" s="21"/>
      <c r="L22" t="s">
        <v>1928</v>
      </c>
    </row>
    <row r="23" spans="1:12">
      <c r="A23" t="s">
        <v>1977</v>
      </c>
      <c r="B23" t="s">
        <v>2189</v>
      </c>
      <c r="E23" t="str">
        <f xml:space="preserve"> CONCATENATE( MID(Table151823[[#This Row],[PHASE]],2,3), MID(Table151823[[#This Row],[DELIVERABLE]],2,4), TRIM(SUBSTITUTE(MID(Table151823[[#This Row],[CONCERN.ID]],2,20),"X","") )  )</f>
        <v>10.402.</v>
      </c>
      <c r="F23" t="str">
        <f>TRIM(MID(Table151823[[#This Row],[CONCERN.UNIQUEPATH]], IF( ISNUMBER( SEARCH("/",Table151823[[#This Row],[CONCERN.UNIQUEPATH]])),SEARCH("/",Table151823[[#This Row],[CONCERN.UNIQUEPATH]])+1,1),255))</f>
        <v/>
      </c>
      <c r="J23" t="s">
        <v>2068</v>
      </c>
      <c r="L23" t="s">
        <v>1928</v>
      </c>
    </row>
    <row r="24" spans="1:12">
      <c r="A24" t="s">
        <v>1977</v>
      </c>
      <c r="B24" t="s">
        <v>2208</v>
      </c>
      <c r="E24" t="str">
        <f xml:space="preserve"> CONCATENATE( MID(Table151823[[#This Row],[PHASE]],2,3), MID(Table151823[[#This Row],[DELIVERABLE]],2,4), TRIM(SUBSTITUTE(MID(Table151823[[#This Row],[CONCERN.ID]],2,20),"X","") )  )</f>
        <v>10.405.</v>
      </c>
      <c r="F24" t="str">
        <f>TRIM(MID(Table151823[[#This Row],[CONCERN.UNIQUEPATH]], IF( ISNUMBER( SEARCH("/",Table151823[[#This Row],[CONCERN.UNIQUEPATH]])),SEARCH("/",Table151823[[#This Row],[CONCERN.UNIQUEPATH]])+1,1),255))</f>
        <v/>
      </c>
      <c r="J24" t="s">
        <v>2068</v>
      </c>
      <c r="K24" s="21"/>
      <c r="L24" t="s">
        <v>1928</v>
      </c>
    </row>
    <row r="25" spans="1:12">
      <c r="A25" t="s">
        <v>1977</v>
      </c>
      <c r="B25" t="s">
        <v>2194</v>
      </c>
      <c r="E25" t="str">
        <f xml:space="preserve"> CONCATENATE( MID(Table151823[[#This Row],[PHASE]],2,3), MID(Table151823[[#This Row],[DELIVERABLE]],2,4), TRIM(SUBSTITUTE(MID(Table151823[[#This Row],[CONCERN.ID]],2,20),"X","") )  )</f>
        <v>10.407.</v>
      </c>
      <c r="F25" t="str">
        <f>TRIM(MID(Table151823[[#This Row],[CONCERN.UNIQUEPATH]], IF( ISNUMBER( SEARCH("/",Table151823[[#This Row],[CONCERN.UNIQUEPATH]])),SEARCH("/",Table151823[[#This Row],[CONCERN.UNIQUEPATH]])+1,1),255))</f>
        <v/>
      </c>
      <c r="J25" t="s">
        <v>2068</v>
      </c>
      <c r="L25" t="s">
        <v>1928</v>
      </c>
    </row>
    <row r="26" spans="1:12">
      <c r="A26" t="s">
        <v>1977</v>
      </c>
      <c r="B26" t="s">
        <v>2194</v>
      </c>
      <c r="E26" t="str">
        <f xml:space="preserve"> CONCATENATE( MID(Table151823[[#This Row],[PHASE]],2,3), MID(Table151823[[#This Row],[DELIVERABLE]],2,4), TRIM(SUBSTITUTE(MID(Table151823[[#This Row],[CONCERN.ID]],2,20),"X","") )  )</f>
        <v>10.407.</v>
      </c>
      <c r="F26" t="str">
        <f>TRIM(MID(Table151823[[#This Row],[CONCERN.UNIQUEPATH]], IF( ISNUMBER( SEARCH("/",Table151823[[#This Row],[CONCERN.UNIQUEPATH]])),SEARCH("/",Table151823[[#This Row],[CONCERN.UNIQUEPATH]])+1,1),255))</f>
        <v/>
      </c>
      <c r="J26" t="s">
        <v>2068</v>
      </c>
      <c r="L26" t="s">
        <v>1928</v>
      </c>
    </row>
    <row r="27" spans="1:12">
      <c r="A27" t="s">
        <v>1977</v>
      </c>
      <c r="B27" t="s">
        <v>2218</v>
      </c>
      <c r="E27" t="str">
        <f xml:space="preserve"> CONCATENATE( MID(Table151823[[#This Row],[PHASE]],2,3), MID(Table151823[[#This Row],[DELIVERABLE]],2,4), TRIM(SUBSTITUTE(MID(Table151823[[#This Row],[CONCERN.ID]],2,20),"X","") )  )</f>
        <v>10.422.</v>
      </c>
      <c r="F27" t="str">
        <f>TRIM(MID(Table151823[[#This Row],[CONCERN.UNIQUEPATH]], IF( ISNUMBER( SEARCH("/",Table151823[[#This Row],[CONCERN.UNIQUEPATH]])),SEARCH("/",Table151823[[#This Row],[CONCERN.UNIQUEPATH]])+1,1),255))</f>
        <v/>
      </c>
      <c r="J27" t="s">
        <v>2068</v>
      </c>
      <c r="K27" t="s">
        <v>2124</v>
      </c>
      <c r="L27" t="s">
        <v>1928</v>
      </c>
    </row>
    <row r="28" spans="1:12">
      <c r="A28" t="s">
        <v>1977</v>
      </c>
      <c r="B28" t="s">
        <v>2218</v>
      </c>
      <c r="E28" t="str">
        <f xml:space="preserve"> CONCATENATE( MID(Table151823[[#This Row],[PHASE]],2,3), MID(Table151823[[#This Row],[DELIVERABLE]],2,4), TRIM(SUBSTITUTE(MID(Table151823[[#This Row],[CONCERN.ID]],2,20),"X","") )  )</f>
        <v>10.422.</v>
      </c>
      <c r="F28" t="str">
        <f>TRIM(MID(Table151823[[#This Row],[CONCERN.UNIQUEPATH]], IF( ISNUMBER( SEARCH("/",Table151823[[#This Row],[CONCERN.UNIQUEPATH]])),SEARCH("/",Table151823[[#This Row],[CONCERN.UNIQUEPATH]])+1,1),255))</f>
        <v/>
      </c>
      <c r="J28" t="s">
        <v>2068</v>
      </c>
      <c r="L28" t="s">
        <v>1928</v>
      </c>
    </row>
    <row r="29" spans="1:12">
      <c r="A29" t="s">
        <v>1977</v>
      </c>
      <c r="B29" t="s">
        <v>2218</v>
      </c>
      <c r="E29" t="str">
        <f xml:space="preserve"> CONCATENATE( MID(Table151823[[#This Row],[PHASE]],2,3), MID(Table151823[[#This Row],[DELIVERABLE]],2,4), TRIM(SUBSTITUTE(MID(Table151823[[#This Row],[CONCERN.ID]],2,20),"X","") )  )</f>
        <v>10.422.</v>
      </c>
      <c r="F29" t="str">
        <f>TRIM(MID(Table151823[[#This Row],[CONCERN.UNIQUEPATH]], IF( ISNUMBER( SEARCH("/",Table151823[[#This Row],[CONCERN.UNIQUEPATH]])),SEARCH("/",Table151823[[#This Row],[CONCERN.UNIQUEPATH]])+1,1),255))</f>
        <v/>
      </c>
      <c r="J29" t="s">
        <v>2068</v>
      </c>
      <c r="L29" t="s">
        <v>1928</v>
      </c>
    </row>
    <row r="30" spans="1:12">
      <c r="A30" t="s">
        <v>1977</v>
      </c>
      <c r="B30" t="s">
        <v>2218</v>
      </c>
      <c r="E30" t="str">
        <f xml:space="preserve"> CONCATENATE( MID(Table151823[[#This Row],[PHASE]],2,3), MID(Table151823[[#This Row],[DELIVERABLE]],2,4), TRIM(SUBSTITUTE(MID(Table151823[[#This Row],[CONCERN.ID]],2,20),"X","") )  )</f>
        <v>10.422.</v>
      </c>
      <c r="F30" t="str">
        <f>TRIM(MID(Table151823[[#This Row],[CONCERN.UNIQUEPATH]], IF( ISNUMBER( SEARCH("/",Table151823[[#This Row],[CONCERN.UNIQUEPATH]])),SEARCH("/",Table151823[[#This Row],[CONCERN.UNIQUEPATH]])+1,1),255))</f>
        <v/>
      </c>
      <c r="J30" t="s">
        <v>2068</v>
      </c>
      <c r="L30" t="s">
        <v>1928</v>
      </c>
    </row>
    <row r="31" spans="1:12">
      <c r="A31" t="s">
        <v>1977</v>
      </c>
      <c r="B31" t="s">
        <v>2218</v>
      </c>
      <c r="E31" t="str">
        <f xml:space="preserve"> CONCATENATE( MID(Table151823[[#This Row],[PHASE]],2,3), MID(Table151823[[#This Row],[DELIVERABLE]],2,4), TRIM(SUBSTITUTE(MID(Table151823[[#This Row],[CONCERN.ID]],2,20),"X","") )  )</f>
        <v>10.422.</v>
      </c>
      <c r="F31" t="str">
        <f>TRIM(MID(Table151823[[#This Row],[CONCERN.UNIQUEPATH]], IF( ISNUMBER( SEARCH("/",Table151823[[#This Row],[CONCERN.UNIQUEPATH]])),SEARCH("/",Table151823[[#This Row],[CONCERN.UNIQUEPATH]])+1,1),255))</f>
        <v/>
      </c>
      <c r="J31" t="s">
        <v>2068</v>
      </c>
      <c r="L31" t="s">
        <v>1928</v>
      </c>
    </row>
    <row r="32" spans="1:12">
      <c r="A32" t="s">
        <v>1977</v>
      </c>
      <c r="B32" t="s">
        <v>2218</v>
      </c>
      <c r="E32" t="str">
        <f xml:space="preserve"> CONCATENATE( MID(Table151823[[#This Row],[PHASE]],2,3), MID(Table151823[[#This Row],[DELIVERABLE]],2,4), TRIM(SUBSTITUTE(MID(Table151823[[#This Row],[CONCERN.ID]],2,20),"X","") )  )</f>
        <v>10.422.</v>
      </c>
      <c r="F32" t="str">
        <f>TRIM(MID(Table151823[[#This Row],[CONCERN.UNIQUEPATH]], IF( ISNUMBER( SEARCH("/",Table151823[[#This Row],[CONCERN.UNIQUEPATH]])),SEARCH("/",Table151823[[#This Row],[CONCERN.UNIQUEPATH]])+1,1),255))</f>
        <v/>
      </c>
      <c r="J32" t="s">
        <v>2068</v>
      </c>
      <c r="L32" t="s">
        <v>1928</v>
      </c>
    </row>
    <row r="33" spans="1:13">
      <c r="A33" t="s">
        <v>1977</v>
      </c>
      <c r="B33" t="s">
        <v>2218</v>
      </c>
      <c r="E33" t="str">
        <f xml:space="preserve"> CONCATENATE( MID(Table151823[[#This Row],[PHASE]],2,3), MID(Table151823[[#This Row],[DELIVERABLE]],2,4), TRIM(SUBSTITUTE(MID(Table151823[[#This Row],[CONCERN.ID]],2,20),"X","") )  )</f>
        <v>10.422.</v>
      </c>
      <c r="F33" t="str">
        <f>TRIM(MID(Table151823[[#This Row],[CONCERN.UNIQUEPATH]], IF( ISNUMBER( SEARCH("/",Table151823[[#This Row],[CONCERN.UNIQUEPATH]])),SEARCH("/",Table151823[[#This Row],[CONCERN.UNIQUEPATH]])+1,1),255))</f>
        <v/>
      </c>
      <c r="J33" t="s">
        <v>2068</v>
      </c>
      <c r="L33" t="s">
        <v>1928</v>
      </c>
    </row>
    <row r="34" spans="1:13">
      <c r="A34" t="s">
        <v>1977</v>
      </c>
      <c r="B34" t="s">
        <v>2219</v>
      </c>
      <c r="E34" t="str">
        <f xml:space="preserve"> CONCATENATE( MID(Table151823[[#This Row],[PHASE]],2,3), MID(Table151823[[#This Row],[DELIVERABLE]],2,4), TRIM(SUBSTITUTE(MID(Table151823[[#This Row],[CONCERN.ID]],2,20),"X","") )  )</f>
        <v>10.423.</v>
      </c>
      <c r="F34" t="str">
        <f>TRIM(MID(Table151823[[#This Row],[CONCERN.UNIQUEPATH]], IF( ISNUMBER( SEARCH("/",Table151823[[#This Row],[CONCERN.UNIQUEPATH]])),SEARCH("/",Table151823[[#This Row],[CONCERN.UNIQUEPATH]])+1,1),255))</f>
        <v/>
      </c>
      <c r="J34" t="s">
        <v>2068</v>
      </c>
      <c r="L34" t="s">
        <v>1928</v>
      </c>
    </row>
    <row r="35" spans="1:13">
      <c r="A35" t="s">
        <v>1977</v>
      </c>
      <c r="B35" t="s">
        <v>2219</v>
      </c>
      <c r="E35" t="str">
        <f xml:space="preserve"> CONCATENATE( MID(Table151823[[#This Row],[PHASE]],2,3), MID(Table151823[[#This Row],[DELIVERABLE]],2,4), TRIM(SUBSTITUTE(MID(Table151823[[#This Row],[CONCERN.ID]],2,20),"X","") )  )</f>
        <v>10.423.</v>
      </c>
      <c r="F35" t="str">
        <f>TRIM(MID(Table151823[[#This Row],[CONCERN.UNIQUEPATH]], IF( ISNUMBER( SEARCH("/",Table151823[[#This Row],[CONCERN.UNIQUEPATH]])),SEARCH("/",Table151823[[#This Row],[CONCERN.UNIQUEPATH]])+1,1),255))</f>
        <v/>
      </c>
      <c r="J35" t="s">
        <v>2068</v>
      </c>
      <c r="L35" t="s">
        <v>1928</v>
      </c>
    </row>
    <row r="36" spans="1:13">
      <c r="A36" t="s">
        <v>1977</v>
      </c>
      <c r="B36" t="s">
        <v>2219</v>
      </c>
      <c r="E36" t="str">
        <f xml:space="preserve"> CONCATENATE( MID(Table151823[[#This Row],[PHASE]],2,3), MID(Table151823[[#This Row],[DELIVERABLE]],2,4), TRIM(SUBSTITUTE(MID(Table151823[[#This Row],[CONCERN.ID]],2,20),"X","") )  )</f>
        <v>10.423.</v>
      </c>
      <c r="F36" t="str">
        <f>TRIM(MID(Table151823[[#This Row],[CONCERN.UNIQUEPATH]], IF( ISNUMBER( SEARCH("/",Table151823[[#This Row],[CONCERN.UNIQUEPATH]])),SEARCH("/",Table151823[[#This Row],[CONCERN.UNIQUEPATH]])+1,1),255))</f>
        <v/>
      </c>
      <c r="J36" t="s">
        <v>2068</v>
      </c>
      <c r="L36" t="s">
        <v>1928</v>
      </c>
      <c r="M36" t="s">
        <v>5116</v>
      </c>
    </row>
    <row r="37" spans="1:13">
      <c r="A37" t="s">
        <v>1977</v>
      </c>
      <c r="B37" t="s">
        <v>2219</v>
      </c>
      <c r="E37" t="str">
        <f xml:space="preserve"> CONCATENATE( MID(Table151823[[#This Row],[PHASE]],2,3), MID(Table151823[[#This Row],[DELIVERABLE]],2,4), TRIM(SUBSTITUTE(MID(Table151823[[#This Row],[CONCERN.ID]],2,20),"X","") )  )</f>
        <v>10.423.</v>
      </c>
      <c r="F37" t="str">
        <f>TRIM(MID(Table151823[[#This Row],[CONCERN.UNIQUEPATH]], IF( ISNUMBER( SEARCH("/",Table151823[[#This Row],[CONCERN.UNIQUEPATH]])),SEARCH("/",Table151823[[#This Row],[CONCERN.UNIQUEPATH]])+1,1),255))</f>
        <v/>
      </c>
      <c r="J37" t="s">
        <v>2068</v>
      </c>
      <c r="L37" t="s">
        <v>1928</v>
      </c>
      <c r="M37" t="s">
        <v>5117</v>
      </c>
    </row>
    <row r="38" spans="1:13">
      <c r="A38" t="s">
        <v>1977</v>
      </c>
      <c r="B38" t="s">
        <v>2219</v>
      </c>
      <c r="E38" t="str">
        <f xml:space="preserve"> CONCATENATE( MID(Table151823[[#This Row],[PHASE]],2,3), MID(Table151823[[#This Row],[DELIVERABLE]],2,4), TRIM(SUBSTITUTE(MID(Table151823[[#This Row],[CONCERN.ID]],2,20),"X","") )  )</f>
        <v>10.423.</v>
      </c>
      <c r="F38" t="str">
        <f>TRIM(MID(Table151823[[#This Row],[CONCERN.UNIQUEPATH]], IF( ISNUMBER( SEARCH("/",Table151823[[#This Row],[CONCERN.UNIQUEPATH]])),SEARCH("/",Table151823[[#This Row],[CONCERN.UNIQUEPATH]])+1,1),255))</f>
        <v/>
      </c>
      <c r="J38" t="s">
        <v>2068</v>
      </c>
      <c r="L38" t="s">
        <v>1928</v>
      </c>
    </row>
    <row r="39" spans="1:13">
      <c r="A39" t="s">
        <v>1977</v>
      </c>
      <c r="B39" t="s">
        <v>2219</v>
      </c>
      <c r="E39" t="str">
        <f xml:space="preserve"> CONCATENATE( MID(Table151823[[#This Row],[PHASE]],2,3), MID(Table151823[[#This Row],[DELIVERABLE]],2,4), TRIM(SUBSTITUTE(MID(Table151823[[#This Row],[CONCERN.ID]],2,20),"X","") )  )</f>
        <v>10.423.</v>
      </c>
      <c r="F39" t="str">
        <f>TRIM(MID(Table151823[[#This Row],[CONCERN.UNIQUEPATH]], IF( ISNUMBER( SEARCH("/",Table151823[[#This Row],[CONCERN.UNIQUEPATH]])),SEARCH("/",Table151823[[#This Row],[CONCERN.UNIQUEPATH]])+1,1),255))</f>
        <v/>
      </c>
      <c r="J39" t="s">
        <v>2068</v>
      </c>
      <c r="K39" s="21"/>
      <c r="L39" t="s">
        <v>1928</v>
      </c>
    </row>
    <row r="40" spans="1:13">
      <c r="A40" t="s">
        <v>1977</v>
      </c>
      <c r="B40" t="s">
        <v>2220</v>
      </c>
      <c r="E40" t="str">
        <f xml:space="preserve"> CONCATENATE( MID(Table151823[[#This Row],[PHASE]],2,3), MID(Table151823[[#This Row],[DELIVERABLE]],2,4), TRIM(SUBSTITUTE(MID(Table151823[[#This Row],[CONCERN.ID]],2,20),"X","") )  )</f>
        <v>10.424.</v>
      </c>
      <c r="F40" t="str">
        <f>TRIM(MID(Table151823[[#This Row],[CONCERN.UNIQUEPATH]], IF( ISNUMBER( SEARCH("/",Table151823[[#This Row],[CONCERN.UNIQUEPATH]])),SEARCH("/",Table151823[[#This Row],[CONCERN.UNIQUEPATH]])+1,1),255))</f>
        <v/>
      </c>
      <c r="J40" t="s">
        <v>2068</v>
      </c>
      <c r="K40" t="s">
        <v>2082</v>
      </c>
      <c r="L40" t="s">
        <v>1928</v>
      </c>
    </row>
    <row r="41" spans="1:13">
      <c r="A41" t="s">
        <v>1977</v>
      </c>
      <c r="B41" t="s">
        <v>2221</v>
      </c>
      <c r="E41" t="str">
        <f xml:space="preserve"> CONCATENATE( MID(Table151823[[#This Row],[PHASE]],2,3), MID(Table151823[[#This Row],[DELIVERABLE]],2,4), TRIM(SUBSTITUTE(MID(Table151823[[#This Row],[CONCERN.ID]],2,20),"X","") )  )</f>
        <v>10.425.</v>
      </c>
      <c r="F41" t="str">
        <f>TRIM(MID(Table151823[[#This Row],[CONCERN.UNIQUEPATH]], IF( ISNUMBER( SEARCH("/",Table151823[[#This Row],[CONCERN.UNIQUEPATH]])),SEARCH("/",Table151823[[#This Row],[CONCERN.UNIQUEPATH]])+1,1),255))</f>
        <v/>
      </c>
      <c r="J41" t="s">
        <v>2068</v>
      </c>
      <c r="L41" t="s">
        <v>1928</v>
      </c>
    </row>
    <row r="42" spans="1:13">
      <c r="A42" t="s">
        <v>1977</v>
      </c>
      <c r="B42" t="s">
        <v>2221</v>
      </c>
      <c r="E42" t="str">
        <f xml:space="preserve"> CONCATENATE( MID(Table151823[[#This Row],[PHASE]],2,3), MID(Table151823[[#This Row],[DELIVERABLE]],2,4), TRIM(SUBSTITUTE(MID(Table151823[[#This Row],[CONCERN.ID]],2,20),"X","") )  )</f>
        <v>10.425.</v>
      </c>
      <c r="F42" t="str">
        <f>TRIM(MID(Table151823[[#This Row],[CONCERN.UNIQUEPATH]], IF( ISNUMBER( SEARCH("/",Table151823[[#This Row],[CONCERN.UNIQUEPATH]])),SEARCH("/",Table151823[[#This Row],[CONCERN.UNIQUEPATH]])+1,1),255))</f>
        <v/>
      </c>
      <c r="J42" t="s">
        <v>2068</v>
      </c>
      <c r="K42" t="s">
        <v>2096</v>
      </c>
      <c r="L42" t="s">
        <v>1928</v>
      </c>
    </row>
    <row r="43" spans="1:13">
      <c r="A43" t="s">
        <v>1977</v>
      </c>
      <c r="B43" t="s">
        <v>2221</v>
      </c>
      <c r="E43" t="str">
        <f xml:space="preserve"> CONCATENATE( MID(Table151823[[#This Row],[PHASE]],2,3), MID(Table151823[[#This Row],[DELIVERABLE]],2,4), TRIM(SUBSTITUTE(MID(Table151823[[#This Row],[CONCERN.ID]],2,20),"X","") )  )</f>
        <v>10.425.</v>
      </c>
      <c r="F43" t="str">
        <f>TRIM(MID(Table151823[[#This Row],[CONCERN.UNIQUEPATH]], IF( ISNUMBER( SEARCH("/",Table151823[[#This Row],[CONCERN.UNIQUEPATH]])),SEARCH("/",Table151823[[#This Row],[CONCERN.UNIQUEPATH]])+1,1),255))</f>
        <v/>
      </c>
      <c r="J43" t="s">
        <v>2068</v>
      </c>
      <c r="L43" t="s">
        <v>1928</v>
      </c>
    </row>
    <row r="44" spans="1:13">
      <c r="A44" t="s">
        <v>1977</v>
      </c>
      <c r="B44" t="s">
        <v>2221</v>
      </c>
      <c r="E44" t="str">
        <f xml:space="preserve"> CONCATENATE( MID(Table151823[[#This Row],[PHASE]],2,3), MID(Table151823[[#This Row],[DELIVERABLE]],2,4), TRIM(SUBSTITUTE(MID(Table151823[[#This Row],[CONCERN.ID]],2,20),"X","") )  )</f>
        <v>10.425.</v>
      </c>
      <c r="F44" t="str">
        <f>TRIM(MID(Table151823[[#This Row],[CONCERN.UNIQUEPATH]], IF( ISNUMBER( SEARCH("/",Table151823[[#This Row],[CONCERN.UNIQUEPATH]])),SEARCH("/",Table151823[[#This Row],[CONCERN.UNIQUEPATH]])+1,1),255))</f>
        <v/>
      </c>
      <c r="J44" t="s">
        <v>2068</v>
      </c>
      <c r="L44" t="s">
        <v>1928</v>
      </c>
    </row>
    <row r="45" spans="1:13">
      <c r="A45" t="s">
        <v>1977</v>
      </c>
      <c r="B45" t="s">
        <v>2221</v>
      </c>
      <c r="E45" t="str">
        <f xml:space="preserve"> CONCATENATE( MID(Table151823[[#This Row],[PHASE]],2,3), MID(Table151823[[#This Row],[DELIVERABLE]],2,4), TRIM(SUBSTITUTE(MID(Table151823[[#This Row],[CONCERN.ID]],2,20),"X","") )  )</f>
        <v>10.425.</v>
      </c>
      <c r="F45" t="str">
        <f>TRIM(MID(Table151823[[#This Row],[CONCERN.UNIQUEPATH]], IF( ISNUMBER( SEARCH("/",Table151823[[#This Row],[CONCERN.UNIQUEPATH]])),SEARCH("/",Table151823[[#This Row],[CONCERN.UNIQUEPATH]])+1,1),255))</f>
        <v/>
      </c>
      <c r="J45" t="s">
        <v>2068</v>
      </c>
      <c r="L45" t="s">
        <v>1928</v>
      </c>
    </row>
    <row r="46" spans="1:13">
      <c r="A46" t="s">
        <v>1977</v>
      </c>
      <c r="B46" t="s">
        <v>2440</v>
      </c>
      <c r="E46" t="str">
        <f xml:space="preserve"> CONCATENATE( MID(Table151823[[#This Row],[PHASE]],2,3), MID(Table151823[[#This Row],[DELIVERABLE]],2,4), TRIM(SUBSTITUTE(MID(Table151823[[#This Row],[CONCERN.ID]],2,20),"X","") )  )</f>
        <v>10.426.</v>
      </c>
      <c r="F46" t="str">
        <f>TRIM(MID(Table151823[[#This Row],[CONCERN.UNIQUEPATH]], IF( ISNUMBER( SEARCH("/",Table151823[[#This Row],[CONCERN.UNIQUEPATH]])),SEARCH("/",Table151823[[#This Row],[CONCERN.UNIQUEPATH]])+1,1),255))</f>
        <v/>
      </c>
      <c r="J46" t="s">
        <v>2068</v>
      </c>
      <c r="L46" t="s">
        <v>1928</v>
      </c>
    </row>
    <row r="47" spans="1:13">
      <c r="A47" t="s">
        <v>1977</v>
      </c>
      <c r="B47" t="s">
        <v>2440</v>
      </c>
      <c r="E47" t="str">
        <f xml:space="preserve"> CONCATENATE( MID(Table151823[[#This Row],[PHASE]],2,3), MID(Table151823[[#This Row],[DELIVERABLE]],2,4), TRIM(SUBSTITUTE(MID(Table151823[[#This Row],[CONCERN.ID]],2,20),"X","") )  )</f>
        <v>10.426.</v>
      </c>
      <c r="F47" t="str">
        <f>TRIM(MID(Table151823[[#This Row],[CONCERN.UNIQUEPATH]], IF( ISNUMBER( SEARCH("/",Table151823[[#This Row],[CONCERN.UNIQUEPATH]])),SEARCH("/",Table151823[[#This Row],[CONCERN.UNIQUEPATH]])+1,1),255))</f>
        <v/>
      </c>
      <c r="J47" t="s">
        <v>2068</v>
      </c>
      <c r="L47" t="s">
        <v>1928</v>
      </c>
    </row>
    <row r="48" spans="1:13">
      <c r="A48" t="s">
        <v>1977</v>
      </c>
      <c r="B48" t="s">
        <v>2440</v>
      </c>
      <c r="E48" t="str">
        <f xml:space="preserve"> CONCATENATE( MID(Table151823[[#This Row],[PHASE]],2,3), MID(Table151823[[#This Row],[DELIVERABLE]],2,4), TRIM(SUBSTITUTE(MID(Table151823[[#This Row],[CONCERN.ID]],2,20),"X","") )  )</f>
        <v>10.426.</v>
      </c>
      <c r="F48" t="str">
        <f>TRIM(MID(Table151823[[#This Row],[CONCERN.UNIQUEPATH]], IF( ISNUMBER( SEARCH("/",Table151823[[#This Row],[CONCERN.UNIQUEPATH]])),SEARCH("/",Table151823[[#This Row],[CONCERN.UNIQUEPATH]])+1,1),255))</f>
        <v/>
      </c>
      <c r="J48" t="s">
        <v>2068</v>
      </c>
      <c r="L48" t="s">
        <v>1928</v>
      </c>
    </row>
    <row r="49" spans="1:12">
      <c r="A49" t="s">
        <v>1977</v>
      </c>
      <c r="B49" t="s">
        <v>2440</v>
      </c>
      <c r="E49" t="str">
        <f xml:space="preserve"> CONCATENATE( MID(Table151823[[#This Row],[PHASE]],2,3), MID(Table151823[[#This Row],[DELIVERABLE]],2,4), TRIM(SUBSTITUTE(MID(Table151823[[#This Row],[CONCERN.ID]],2,20),"X","") )  )</f>
        <v>10.426.</v>
      </c>
      <c r="F49" t="str">
        <f>TRIM(MID(Table151823[[#This Row],[CONCERN.UNIQUEPATH]], IF( ISNUMBER( SEARCH("/",Table151823[[#This Row],[CONCERN.UNIQUEPATH]])),SEARCH("/",Table151823[[#This Row],[CONCERN.UNIQUEPATH]])+1,1),255))</f>
        <v/>
      </c>
      <c r="J49" t="s">
        <v>2068</v>
      </c>
      <c r="L49" t="s">
        <v>1928</v>
      </c>
    </row>
    <row r="50" spans="1:12">
      <c r="A50" t="s">
        <v>1977</v>
      </c>
      <c r="B50" t="s">
        <v>2440</v>
      </c>
      <c r="E50" t="str">
        <f xml:space="preserve"> CONCATENATE( MID(Table151823[[#This Row],[PHASE]],2,3), MID(Table151823[[#This Row],[DELIVERABLE]],2,4), TRIM(SUBSTITUTE(MID(Table151823[[#This Row],[CONCERN.ID]],2,20),"X","") )  )</f>
        <v>10.426.</v>
      </c>
      <c r="F50" t="str">
        <f>TRIM(MID(Table151823[[#This Row],[CONCERN.UNIQUEPATH]], IF( ISNUMBER( SEARCH("/",Table151823[[#This Row],[CONCERN.UNIQUEPATH]])),SEARCH("/",Table151823[[#This Row],[CONCERN.UNIQUEPATH]])+1,1),255))</f>
        <v/>
      </c>
      <c r="J50" t="s">
        <v>2068</v>
      </c>
      <c r="L50" t="s">
        <v>1928</v>
      </c>
    </row>
    <row r="51" spans="1:12">
      <c r="A51" t="s">
        <v>1977</v>
      </c>
      <c r="B51" t="s">
        <v>2440</v>
      </c>
      <c r="E51" t="str">
        <f xml:space="preserve"> CONCATENATE( MID(Table151823[[#This Row],[PHASE]],2,3), MID(Table151823[[#This Row],[DELIVERABLE]],2,4), TRIM(SUBSTITUTE(MID(Table151823[[#This Row],[CONCERN.ID]],2,20),"X","") )  )</f>
        <v>10.426.</v>
      </c>
      <c r="F51" t="str">
        <f>TRIM(MID(Table151823[[#This Row],[CONCERN.UNIQUEPATH]], IF( ISNUMBER( SEARCH("/",Table151823[[#This Row],[CONCERN.UNIQUEPATH]])),SEARCH("/",Table151823[[#This Row],[CONCERN.UNIQUEPATH]])+1,1),255))</f>
        <v/>
      </c>
      <c r="J51" t="s">
        <v>2068</v>
      </c>
      <c r="L51" t="s">
        <v>1928</v>
      </c>
    </row>
    <row r="52" spans="1:12">
      <c r="A52" t="s">
        <v>1977</v>
      </c>
      <c r="B52" t="s">
        <v>2440</v>
      </c>
      <c r="E52" t="str">
        <f xml:space="preserve"> CONCATENATE( MID(Table151823[[#This Row],[PHASE]],2,3), MID(Table151823[[#This Row],[DELIVERABLE]],2,4), TRIM(SUBSTITUTE(MID(Table151823[[#This Row],[CONCERN.ID]],2,20),"X","") )  )</f>
        <v>10.426.</v>
      </c>
      <c r="F52" t="str">
        <f>TRIM(MID(Table151823[[#This Row],[CONCERN.UNIQUEPATH]], IF( ISNUMBER( SEARCH("/",Table151823[[#This Row],[CONCERN.UNIQUEPATH]])),SEARCH("/",Table151823[[#This Row],[CONCERN.UNIQUEPATH]])+1,1),255))</f>
        <v/>
      </c>
      <c r="J52" t="s">
        <v>2068</v>
      </c>
      <c r="L52" t="s">
        <v>1928</v>
      </c>
    </row>
    <row r="53" spans="1:12">
      <c r="A53" t="s">
        <v>1977</v>
      </c>
      <c r="B53" t="s">
        <v>2440</v>
      </c>
      <c r="E53" t="str">
        <f xml:space="preserve"> CONCATENATE( MID(Table151823[[#This Row],[PHASE]],2,3), MID(Table151823[[#This Row],[DELIVERABLE]],2,4), TRIM(SUBSTITUTE(MID(Table151823[[#This Row],[CONCERN.ID]],2,20),"X","") )  )</f>
        <v>10.426.</v>
      </c>
      <c r="F53" t="str">
        <f>TRIM(MID(Table151823[[#This Row],[CONCERN.UNIQUEPATH]], IF( ISNUMBER( SEARCH("/",Table151823[[#This Row],[CONCERN.UNIQUEPATH]])),SEARCH("/",Table151823[[#This Row],[CONCERN.UNIQUEPATH]])+1,1),255))</f>
        <v/>
      </c>
      <c r="J53" t="s">
        <v>2068</v>
      </c>
      <c r="L53" t="s">
        <v>1928</v>
      </c>
    </row>
    <row r="54" spans="1:12">
      <c r="A54" t="s">
        <v>1977</v>
      </c>
      <c r="B54" t="s">
        <v>2440</v>
      </c>
      <c r="E54" t="str">
        <f xml:space="preserve"> CONCATENATE( MID(Table151823[[#This Row],[PHASE]],2,3), MID(Table151823[[#This Row],[DELIVERABLE]],2,4), TRIM(SUBSTITUTE(MID(Table151823[[#This Row],[CONCERN.ID]],2,20),"X","") )  )</f>
        <v>10.426.</v>
      </c>
      <c r="F54" t="str">
        <f>TRIM(MID(Table151823[[#This Row],[CONCERN.UNIQUEPATH]], IF( ISNUMBER( SEARCH("/",Table151823[[#This Row],[CONCERN.UNIQUEPATH]])),SEARCH("/",Table151823[[#This Row],[CONCERN.UNIQUEPATH]])+1,1),255))</f>
        <v/>
      </c>
      <c r="J54" t="s">
        <v>2068</v>
      </c>
      <c r="L54" t="s">
        <v>1928</v>
      </c>
    </row>
    <row r="55" spans="1:12">
      <c r="A55" t="s">
        <v>1977</v>
      </c>
      <c r="B55" t="s">
        <v>2440</v>
      </c>
      <c r="E55" t="str">
        <f xml:space="preserve"> CONCATENATE( MID(Table151823[[#This Row],[PHASE]],2,3), MID(Table151823[[#This Row],[DELIVERABLE]],2,4), TRIM(SUBSTITUTE(MID(Table151823[[#This Row],[CONCERN.ID]],2,20),"X","") )  )</f>
        <v>10.426.</v>
      </c>
      <c r="F55" t="str">
        <f>TRIM(MID(Table151823[[#This Row],[CONCERN.UNIQUEPATH]], IF( ISNUMBER( SEARCH("/",Table151823[[#This Row],[CONCERN.UNIQUEPATH]])),SEARCH("/",Table151823[[#This Row],[CONCERN.UNIQUEPATH]])+1,1),255))</f>
        <v/>
      </c>
      <c r="J55" t="s">
        <v>2068</v>
      </c>
      <c r="L55" t="s">
        <v>1928</v>
      </c>
    </row>
    <row r="56" spans="1:12">
      <c r="A56" t="s">
        <v>1977</v>
      </c>
      <c r="B56" t="s">
        <v>2440</v>
      </c>
      <c r="E56" t="str">
        <f xml:space="preserve"> CONCATENATE( MID(Table151823[[#This Row],[PHASE]],2,3), MID(Table151823[[#This Row],[DELIVERABLE]],2,4), TRIM(SUBSTITUTE(MID(Table151823[[#This Row],[CONCERN.ID]],2,20),"X","") )  )</f>
        <v>10.426.</v>
      </c>
      <c r="F56" t="str">
        <f>TRIM(MID(Table151823[[#This Row],[CONCERN.UNIQUEPATH]], IF( ISNUMBER( SEARCH("/",Table151823[[#This Row],[CONCERN.UNIQUEPATH]])),SEARCH("/",Table151823[[#This Row],[CONCERN.UNIQUEPATH]])+1,1),255))</f>
        <v/>
      </c>
      <c r="J56" t="s">
        <v>2068</v>
      </c>
      <c r="K56" s="5"/>
      <c r="L56" t="s">
        <v>1928</v>
      </c>
    </row>
    <row r="57" spans="1:12">
      <c r="A57" t="s">
        <v>1977</v>
      </c>
      <c r="B57" t="s">
        <v>2440</v>
      </c>
      <c r="E57" t="str">
        <f xml:space="preserve"> CONCATENATE( MID(Table151823[[#This Row],[PHASE]],2,3), MID(Table151823[[#This Row],[DELIVERABLE]],2,4), TRIM(SUBSTITUTE(MID(Table151823[[#This Row],[CONCERN.ID]],2,20),"X","") )  )</f>
        <v>10.426.</v>
      </c>
      <c r="F57" t="str">
        <f>TRIM(MID(Table151823[[#This Row],[CONCERN.UNIQUEPATH]], IF( ISNUMBER( SEARCH("/",Table151823[[#This Row],[CONCERN.UNIQUEPATH]])),SEARCH("/",Table151823[[#This Row],[CONCERN.UNIQUEPATH]])+1,1),255))</f>
        <v/>
      </c>
      <c r="J57" t="s">
        <v>2068</v>
      </c>
      <c r="L57" t="s">
        <v>1928</v>
      </c>
    </row>
    <row r="58" spans="1:12">
      <c r="A58" t="s">
        <v>1977</v>
      </c>
      <c r="B58" t="s">
        <v>2440</v>
      </c>
      <c r="E58" t="str">
        <f xml:space="preserve"> CONCATENATE( MID(Table151823[[#This Row],[PHASE]],2,3), MID(Table151823[[#This Row],[DELIVERABLE]],2,4), TRIM(SUBSTITUTE(MID(Table151823[[#This Row],[CONCERN.ID]],2,20),"X","") )  )</f>
        <v>10.426.</v>
      </c>
      <c r="F58" t="str">
        <f>TRIM(MID(Table151823[[#This Row],[CONCERN.UNIQUEPATH]], IF( ISNUMBER( SEARCH("/",Table151823[[#This Row],[CONCERN.UNIQUEPATH]])),SEARCH("/",Table151823[[#This Row],[CONCERN.UNIQUEPATH]])+1,1),255))</f>
        <v/>
      </c>
      <c r="J58" t="s">
        <v>2068</v>
      </c>
      <c r="L58" t="s">
        <v>1928</v>
      </c>
    </row>
    <row r="59" spans="1:12">
      <c r="A59" t="s">
        <v>1977</v>
      </c>
      <c r="B59" t="s">
        <v>2440</v>
      </c>
      <c r="E59" t="str">
        <f xml:space="preserve"> CONCATENATE( MID(Table151823[[#This Row],[PHASE]],2,3), MID(Table151823[[#This Row],[DELIVERABLE]],2,4), TRIM(SUBSTITUTE(MID(Table151823[[#This Row],[CONCERN.ID]],2,20),"X","") )  )</f>
        <v>10.426.</v>
      </c>
      <c r="F59" t="str">
        <f>TRIM(MID(Table151823[[#This Row],[CONCERN.UNIQUEPATH]], IF( ISNUMBER( SEARCH("/",Table151823[[#This Row],[CONCERN.UNIQUEPATH]])),SEARCH("/",Table151823[[#This Row],[CONCERN.UNIQUEPATH]])+1,1),255))</f>
        <v/>
      </c>
      <c r="J59" t="s">
        <v>2068</v>
      </c>
      <c r="K59" t="s">
        <v>2092</v>
      </c>
      <c r="L59" t="s">
        <v>1928</v>
      </c>
    </row>
    <row r="60" spans="1:12">
      <c r="A60" t="s">
        <v>1977</v>
      </c>
      <c r="B60" t="s">
        <v>2440</v>
      </c>
      <c r="E60" t="str">
        <f xml:space="preserve"> CONCATENATE( MID(Table151823[[#This Row],[PHASE]],2,3), MID(Table151823[[#This Row],[DELIVERABLE]],2,4), TRIM(SUBSTITUTE(MID(Table151823[[#This Row],[CONCERN.ID]],2,20),"X","") )  )</f>
        <v>10.426.</v>
      </c>
      <c r="F60" t="str">
        <f>TRIM(MID(Table151823[[#This Row],[CONCERN.UNIQUEPATH]], IF( ISNUMBER( SEARCH("/",Table151823[[#This Row],[CONCERN.UNIQUEPATH]])),SEARCH("/",Table151823[[#This Row],[CONCERN.UNIQUEPATH]])+1,1),255))</f>
        <v/>
      </c>
      <c r="J60" t="s">
        <v>2068</v>
      </c>
      <c r="K60" s="5" t="s">
        <v>2092</v>
      </c>
      <c r="L60" t="s">
        <v>1928</v>
      </c>
    </row>
    <row r="61" spans="1:12">
      <c r="A61" t="s">
        <v>1977</v>
      </c>
      <c r="B61" t="s">
        <v>2440</v>
      </c>
      <c r="E61" t="str">
        <f xml:space="preserve"> CONCATENATE( MID(Table151823[[#This Row],[PHASE]],2,3), MID(Table151823[[#This Row],[DELIVERABLE]],2,4), TRIM(SUBSTITUTE(MID(Table151823[[#This Row],[CONCERN.ID]],2,20),"X","") )  )</f>
        <v>10.426.</v>
      </c>
      <c r="F61" t="str">
        <f>TRIM(MID(Table151823[[#This Row],[CONCERN.UNIQUEPATH]], IF( ISNUMBER( SEARCH("/",Table151823[[#This Row],[CONCERN.UNIQUEPATH]])),SEARCH("/",Table151823[[#This Row],[CONCERN.UNIQUEPATH]])+1,1),255))</f>
        <v/>
      </c>
      <c r="J61" t="s">
        <v>2068</v>
      </c>
      <c r="K61" s="21"/>
      <c r="L61" t="s">
        <v>1928</v>
      </c>
    </row>
    <row r="62" spans="1:12">
      <c r="A62" t="s">
        <v>1977</v>
      </c>
      <c r="B62" t="s">
        <v>2440</v>
      </c>
      <c r="E62" t="str">
        <f xml:space="preserve"> CONCATENATE( MID(Table151823[[#This Row],[PHASE]],2,3), MID(Table151823[[#This Row],[DELIVERABLE]],2,4), TRIM(SUBSTITUTE(MID(Table151823[[#This Row],[CONCERN.ID]],2,20),"X","") )  )</f>
        <v>10.426.</v>
      </c>
      <c r="F62" t="str">
        <f>TRIM(MID(Table151823[[#This Row],[CONCERN.UNIQUEPATH]], IF( ISNUMBER( SEARCH("/",Table151823[[#This Row],[CONCERN.UNIQUEPATH]])),SEARCH("/",Table151823[[#This Row],[CONCERN.UNIQUEPATH]])+1,1),255))</f>
        <v/>
      </c>
      <c r="J62" t="s">
        <v>2068</v>
      </c>
      <c r="L62" t="s">
        <v>1928</v>
      </c>
    </row>
    <row r="63" spans="1:12">
      <c r="A63" t="s">
        <v>1977</v>
      </c>
      <c r="B63" t="s">
        <v>2440</v>
      </c>
      <c r="E63" t="str">
        <f xml:space="preserve"> CONCATENATE( MID(Table151823[[#This Row],[PHASE]],2,3), MID(Table151823[[#This Row],[DELIVERABLE]],2,4), TRIM(SUBSTITUTE(MID(Table151823[[#This Row],[CONCERN.ID]],2,20),"X","") )  )</f>
        <v>10.426.</v>
      </c>
      <c r="F63" t="str">
        <f>TRIM(MID(Table151823[[#This Row],[CONCERN.UNIQUEPATH]], IF( ISNUMBER( SEARCH("/",Table151823[[#This Row],[CONCERN.UNIQUEPATH]])),SEARCH("/",Table151823[[#This Row],[CONCERN.UNIQUEPATH]])+1,1),255))</f>
        <v/>
      </c>
      <c r="J63" t="s">
        <v>2068</v>
      </c>
      <c r="L63" t="s">
        <v>1928</v>
      </c>
    </row>
    <row r="64" spans="1:12">
      <c r="A64" t="s">
        <v>1977</v>
      </c>
      <c r="B64" t="s">
        <v>2440</v>
      </c>
      <c r="E64" t="str">
        <f xml:space="preserve"> CONCATENATE( MID(Table151823[[#This Row],[PHASE]],2,3), MID(Table151823[[#This Row],[DELIVERABLE]],2,4), TRIM(SUBSTITUTE(MID(Table151823[[#This Row],[CONCERN.ID]],2,20),"X","") )  )</f>
        <v>10.426.</v>
      </c>
      <c r="F64" t="str">
        <f>TRIM(MID(Table151823[[#This Row],[CONCERN.UNIQUEPATH]], IF( ISNUMBER( SEARCH("/",Table151823[[#This Row],[CONCERN.UNIQUEPATH]])),SEARCH("/",Table151823[[#This Row],[CONCERN.UNIQUEPATH]])+1,1),255))</f>
        <v/>
      </c>
      <c r="J64" t="s">
        <v>2068</v>
      </c>
      <c r="L64" t="s">
        <v>1928</v>
      </c>
    </row>
    <row r="65" spans="1:12">
      <c r="A65" t="s">
        <v>1977</v>
      </c>
      <c r="B65" t="s">
        <v>2440</v>
      </c>
      <c r="E65" t="str">
        <f xml:space="preserve"> CONCATENATE( MID(Table151823[[#This Row],[PHASE]],2,3), MID(Table151823[[#This Row],[DELIVERABLE]],2,4), TRIM(SUBSTITUTE(MID(Table151823[[#This Row],[CONCERN.ID]],2,20),"X","") )  )</f>
        <v>10.426.</v>
      </c>
      <c r="F65" t="str">
        <f>TRIM(MID(Table151823[[#This Row],[CONCERN.UNIQUEPATH]], IF( ISNUMBER( SEARCH("/",Table151823[[#This Row],[CONCERN.UNIQUEPATH]])),SEARCH("/",Table151823[[#This Row],[CONCERN.UNIQUEPATH]])+1,1),255))</f>
        <v/>
      </c>
      <c r="J65" t="s">
        <v>2068</v>
      </c>
      <c r="L65" t="s">
        <v>1928</v>
      </c>
    </row>
    <row r="66" spans="1:12">
      <c r="A66" t="s">
        <v>1977</v>
      </c>
      <c r="B66" t="s">
        <v>2440</v>
      </c>
      <c r="E66" t="str">
        <f xml:space="preserve"> CONCATENATE( MID(Table151823[[#This Row],[PHASE]],2,3), MID(Table151823[[#This Row],[DELIVERABLE]],2,4), TRIM(SUBSTITUTE(MID(Table151823[[#This Row],[CONCERN.ID]],2,20),"X","") )  )</f>
        <v>10.426.</v>
      </c>
      <c r="F66" t="str">
        <f>TRIM(MID(Table151823[[#This Row],[CONCERN.UNIQUEPATH]], IF( ISNUMBER( SEARCH("/",Table151823[[#This Row],[CONCERN.UNIQUEPATH]])),SEARCH("/",Table151823[[#This Row],[CONCERN.UNIQUEPATH]])+1,1),255))</f>
        <v/>
      </c>
      <c r="J66" t="s">
        <v>2068</v>
      </c>
      <c r="K66" t="s">
        <v>2104</v>
      </c>
      <c r="L66" t="s">
        <v>1928</v>
      </c>
    </row>
    <row r="67" spans="1:12">
      <c r="A67" t="s">
        <v>1977</v>
      </c>
      <c r="B67" t="s">
        <v>2440</v>
      </c>
      <c r="E67" t="str">
        <f xml:space="preserve"> CONCATENATE( MID(Table151823[[#This Row],[PHASE]],2,3), MID(Table151823[[#This Row],[DELIVERABLE]],2,4), TRIM(SUBSTITUTE(MID(Table151823[[#This Row],[CONCERN.ID]],2,20),"X","") )  )</f>
        <v>10.426.</v>
      </c>
      <c r="F67" t="str">
        <f>TRIM(MID(Table151823[[#This Row],[CONCERN.UNIQUEPATH]], IF( ISNUMBER( SEARCH("/",Table151823[[#This Row],[CONCERN.UNIQUEPATH]])),SEARCH("/",Table151823[[#This Row],[CONCERN.UNIQUEPATH]])+1,1),255))</f>
        <v/>
      </c>
      <c r="J67" t="s">
        <v>2068</v>
      </c>
      <c r="L67" t="s">
        <v>1928</v>
      </c>
    </row>
    <row r="68" spans="1:12">
      <c r="A68" t="s">
        <v>1977</v>
      </c>
      <c r="B68" t="s">
        <v>3447</v>
      </c>
      <c r="E68" t="str">
        <f xml:space="preserve"> CONCATENATE( MID(Table151823[[#This Row],[PHASE]],2,3), MID(Table151823[[#This Row],[DELIVERABLE]],2,4), TRIM(SUBSTITUTE(MID(Table151823[[#This Row],[CONCERN.ID]],2,20),"X","") )  )</f>
        <v>10.428.</v>
      </c>
      <c r="F68" t="str">
        <f>TRIM(MID(Table151823[[#This Row],[CONCERN.UNIQUEPATH]], IF( ISNUMBER( SEARCH("/",Table151823[[#This Row],[CONCERN.UNIQUEPATH]])),SEARCH("/",Table151823[[#This Row],[CONCERN.UNIQUEPATH]])+1,1),255))</f>
        <v/>
      </c>
      <c r="J68" t="s">
        <v>2124</v>
      </c>
      <c r="K68" t="s">
        <v>2084</v>
      </c>
      <c r="L68" t="s">
        <v>1928</v>
      </c>
    </row>
    <row r="69" spans="1:12">
      <c r="A69" t="s">
        <v>1977</v>
      </c>
      <c r="B69" t="s">
        <v>3447</v>
      </c>
      <c r="E69" t="str">
        <f xml:space="preserve"> CONCATENATE( MID(Table151823[[#This Row],[PHASE]],2,3), MID(Table151823[[#This Row],[DELIVERABLE]],2,4), TRIM(SUBSTITUTE(MID(Table151823[[#This Row],[CONCERN.ID]],2,20),"X","") )  )</f>
        <v>10.428.</v>
      </c>
      <c r="F69" t="str">
        <f>TRIM(MID(Table151823[[#This Row],[CONCERN.UNIQUEPATH]], IF( ISNUMBER( SEARCH("/",Table151823[[#This Row],[CONCERN.UNIQUEPATH]])),SEARCH("/",Table151823[[#This Row],[CONCERN.UNIQUEPATH]])+1,1),255))</f>
        <v/>
      </c>
      <c r="J69" t="s">
        <v>2124</v>
      </c>
      <c r="K69" t="s">
        <v>2084</v>
      </c>
      <c r="L69" t="s">
        <v>1928</v>
      </c>
    </row>
    <row r="70" spans="1:12">
      <c r="A70" t="s">
        <v>1977</v>
      </c>
      <c r="B70" t="s">
        <v>3447</v>
      </c>
      <c r="E70" t="str">
        <f xml:space="preserve"> CONCATENATE( MID(Table151823[[#This Row],[PHASE]],2,3), MID(Table151823[[#This Row],[DELIVERABLE]],2,4), TRIM(SUBSTITUTE(MID(Table151823[[#This Row],[CONCERN.ID]],2,20),"X","") )  )</f>
        <v>10.428.</v>
      </c>
      <c r="F70" t="str">
        <f>TRIM(MID(Table151823[[#This Row],[CONCERN.UNIQUEPATH]], IF( ISNUMBER( SEARCH("/",Table151823[[#This Row],[CONCERN.UNIQUEPATH]])),SEARCH("/",Table151823[[#This Row],[CONCERN.UNIQUEPATH]])+1,1),255))</f>
        <v/>
      </c>
      <c r="J70" t="s">
        <v>2068</v>
      </c>
      <c r="L70" t="s">
        <v>1928</v>
      </c>
    </row>
    <row r="71" spans="1:12">
      <c r="A71" t="s">
        <v>1977</v>
      </c>
      <c r="B71" t="s">
        <v>3447</v>
      </c>
      <c r="E71" t="str">
        <f xml:space="preserve"> CONCATENATE( MID(Table151823[[#This Row],[PHASE]],2,3), MID(Table151823[[#This Row],[DELIVERABLE]],2,4), TRIM(SUBSTITUTE(MID(Table151823[[#This Row],[CONCERN.ID]],2,20),"X","") )  )</f>
        <v>10.428.</v>
      </c>
      <c r="F71" t="str">
        <f>TRIM(MID(Table151823[[#This Row],[CONCERN.UNIQUEPATH]], IF( ISNUMBER( SEARCH("/",Table151823[[#This Row],[CONCERN.UNIQUEPATH]])),SEARCH("/",Table151823[[#This Row],[CONCERN.UNIQUEPATH]])+1,1),255))</f>
        <v/>
      </c>
      <c r="J71" t="s">
        <v>2068</v>
      </c>
      <c r="K71" s="21"/>
      <c r="L71" t="s">
        <v>1928</v>
      </c>
    </row>
    <row r="72" spans="1:12">
      <c r="A72" t="s">
        <v>1977</v>
      </c>
      <c r="B72" t="s">
        <v>3447</v>
      </c>
      <c r="E72" t="str">
        <f xml:space="preserve"> CONCATENATE( MID(Table151823[[#This Row],[PHASE]],2,3), MID(Table151823[[#This Row],[DELIVERABLE]],2,4), TRIM(SUBSTITUTE(MID(Table151823[[#This Row],[CONCERN.ID]],2,20),"X","") )  )</f>
        <v>10.428.</v>
      </c>
      <c r="F72" t="str">
        <f>TRIM(MID(Table151823[[#This Row],[CONCERN.UNIQUEPATH]], IF( ISNUMBER( SEARCH("/",Table151823[[#This Row],[CONCERN.UNIQUEPATH]])),SEARCH("/",Table151823[[#This Row],[CONCERN.UNIQUEPATH]])+1,1),255))</f>
        <v/>
      </c>
      <c r="J72" t="s">
        <v>2068</v>
      </c>
      <c r="L72" t="s">
        <v>1928</v>
      </c>
    </row>
    <row r="73" spans="1:12">
      <c r="A73" t="s">
        <v>1977</v>
      </c>
      <c r="B73" t="s">
        <v>3447</v>
      </c>
      <c r="E73" t="str">
        <f xml:space="preserve"> CONCATENATE( MID(Table151823[[#This Row],[PHASE]],2,3), MID(Table151823[[#This Row],[DELIVERABLE]],2,4), TRIM(SUBSTITUTE(MID(Table151823[[#This Row],[CONCERN.ID]],2,20),"X","") )  )</f>
        <v>10.428.</v>
      </c>
      <c r="F73" t="str">
        <f>TRIM(MID(Table151823[[#This Row],[CONCERN.UNIQUEPATH]], IF( ISNUMBER( SEARCH("/",Table151823[[#This Row],[CONCERN.UNIQUEPATH]])),SEARCH("/",Table151823[[#This Row],[CONCERN.UNIQUEPATH]])+1,1),255))</f>
        <v/>
      </c>
      <c r="J73" t="s">
        <v>2068</v>
      </c>
      <c r="L73" t="s">
        <v>1928</v>
      </c>
    </row>
    <row r="74" spans="1:12">
      <c r="A74" t="s">
        <v>1977</v>
      </c>
      <c r="B74" t="s">
        <v>3447</v>
      </c>
      <c r="E74" t="str">
        <f xml:space="preserve"> CONCATENATE( MID(Table151823[[#This Row],[PHASE]],2,3), MID(Table151823[[#This Row],[DELIVERABLE]],2,4), TRIM(SUBSTITUTE(MID(Table151823[[#This Row],[CONCERN.ID]],2,20),"X","") )  )</f>
        <v>10.428.</v>
      </c>
      <c r="F74" t="str">
        <f>TRIM(MID(Table151823[[#This Row],[CONCERN.UNIQUEPATH]], IF( ISNUMBER( SEARCH("/",Table151823[[#This Row],[CONCERN.UNIQUEPATH]])),SEARCH("/",Table151823[[#This Row],[CONCERN.UNIQUEPATH]])+1,1),255))</f>
        <v/>
      </c>
      <c r="J74" t="s">
        <v>2068</v>
      </c>
      <c r="L74" t="s">
        <v>1928</v>
      </c>
    </row>
    <row r="75" spans="1:12">
      <c r="A75" t="s">
        <v>1977</v>
      </c>
      <c r="B75" t="s">
        <v>3447</v>
      </c>
      <c r="E75" t="str">
        <f xml:space="preserve"> CONCATENATE( MID(Table151823[[#This Row],[PHASE]],2,3), MID(Table151823[[#This Row],[DELIVERABLE]],2,4), TRIM(SUBSTITUTE(MID(Table151823[[#This Row],[CONCERN.ID]],2,20),"X","") )  )</f>
        <v>10.428.</v>
      </c>
      <c r="F75" t="str">
        <f>TRIM(MID(Table151823[[#This Row],[CONCERN.UNIQUEPATH]], IF( ISNUMBER( SEARCH("/",Table151823[[#This Row],[CONCERN.UNIQUEPATH]])),SEARCH("/",Table151823[[#This Row],[CONCERN.UNIQUEPATH]])+1,1),255))</f>
        <v/>
      </c>
      <c r="J75" t="s">
        <v>2068</v>
      </c>
      <c r="K75" s="5"/>
      <c r="L75" t="s">
        <v>1928</v>
      </c>
    </row>
    <row r="76" spans="1:12">
      <c r="A76" t="s">
        <v>1977</v>
      </c>
      <c r="B76" t="s">
        <v>3447</v>
      </c>
      <c r="E76" t="str">
        <f xml:space="preserve"> CONCATENATE( MID(Table151823[[#This Row],[PHASE]],2,3), MID(Table151823[[#This Row],[DELIVERABLE]],2,4), TRIM(SUBSTITUTE(MID(Table151823[[#This Row],[CONCERN.ID]],2,20),"X","") )  )</f>
        <v>10.428.</v>
      </c>
      <c r="F76" t="str">
        <f>TRIM(MID(Table151823[[#This Row],[CONCERN.UNIQUEPATH]], IF( ISNUMBER( SEARCH("/",Table151823[[#This Row],[CONCERN.UNIQUEPATH]])),SEARCH("/",Table151823[[#This Row],[CONCERN.UNIQUEPATH]])+1,1),255))</f>
        <v/>
      </c>
      <c r="J76" t="s">
        <v>2068</v>
      </c>
      <c r="L76" t="s">
        <v>1928</v>
      </c>
    </row>
    <row r="77" spans="1:12">
      <c r="A77" t="s">
        <v>1977</v>
      </c>
      <c r="B77" t="s">
        <v>3447</v>
      </c>
      <c r="E77" t="str">
        <f xml:space="preserve"> CONCATENATE( MID(Table151823[[#This Row],[PHASE]],2,3), MID(Table151823[[#This Row],[DELIVERABLE]],2,4), TRIM(SUBSTITUTE(MID(Table151823[[#This Row],[CONCERN.ID]],2,20),"X","") )  )</f>
        <v>10.428.</v>
      </c>
      <c r="F77" t="str">
        <f>TRIM(MID(Table151823[[#This Row],[CONCERN.UNIQUEPATH]], IF( ISNUMBER( SEARCH("/",Table151823[[#This Row],[CONCERN.UNIQUEPATH]])),SEARCH("/",Table151823[[#This Row],[CONCERN.UNIQUEPATH]])+1,1),255))</f>
        <v/>
      </c>
      <c r="J77" t="s">
        <v>2068</v>
      </c>
      <c r="L77" t="s">
        <v>1928</v>
      </c>
    </row>
    <row r="78" spans="1:12">
      <c r="A78" t="s">
        <v>1977</v>
      </c>
      <c r="B78" t="s">
        <v>3447</v>
      </c>
      <c r="E78" t="str">
        <f xml:space="preserve"> CONCATENATE( MID(Table151823[[#This Row],[PHASE]],2,3), MID(Table151823[[#This Row],[DELIVERABLE]],2,4), TRIM(SUBSTITUTE(MID(Table151823[[#This Row],[CONCERN.ID]],2,20),"X","") )  )</f>
        <v>10.428.</v>
      </c>
      <c r="F78" t="str">
        <f>TRIM(MID(Table151823[[#This Row],[CONCERN.UNIQUEPATH]], IF( ISNUMBER( SEARCH("/",Table151823[[#This Row],[CONCERN.UNIQUEPATH]])),SEARCH("/",Table151823[[#This Row],[CONCERN.UNIQUEPATH]])+1,1),255))</f>
        <v/>
      </c>
      <c r="J78" t="s">
        <v>2068</v>
      </c>
      <c r="L78" t="s">
        <v>1928</v>
      </c>
    </row>
    <row r="79" spans="1:12">
      <c r="A79" t="s">
        <v>1977</v>
      </c>
      <c r="B79" t="s">
        <v>2240</v>
      </c>
      <c r="E79" t="str">
        <f xml:space="preserve"> CONCATENATE( MID(Table151823[[#This Row],[PHASE]],2,3), MID(Table151823[[#This Row],[DELIVERABLE]],2,4), TRIM(SUBSTITUTE(MID(Table151823[[#This Row],[CONCERN.ID]],2,20),"X","") )  )</f>
        <v>10.444.</v>
      </c>
      <c r="F79" t="str">
        <f>TRIM(MID(Table151823[[#This Row],[CONCERN.UNIQUEPATH]], IF( ISNUMBER( SEARCH("/",Table151823[[#This Row],[CONCERN.UNIQUEPATH]])),SEARCH("/",Table151823[[#This Row],[CONCERN.UNIQUEPATH]])+1,1),255))</f>
        <v/>
      </c>
      <c r="J79" t="s">
        <v>2122</v>
      </c>
      <c r="L79" t="s">
        <v>1928</v>
      </c>
    </row>
    <row r="80" spans="1:12">
      <c r="A80" t="s">
        <v>1977</v>
      </c>
      <c r="B80" t="s">
        <v>2240</v>
      </c>
      <c r="E80" t="str">
        <f xml:space="preserve"> CONCATENATE( MID(Table151823[[#This Row],[PHASE]],2,3), MID(Table151823[[#This Row],[DELIVERABLE]],2,4), TRIM(SUBSTITUTE(MID(Table151823[[#This Row],[CONCERN.ID]],2,20),"X","") )  )</f>
        <v>10.444.</v>
      </c>
      <c r="F80" t="str">
        <f>TRIM(MID(Table151823[[#This Row],[CONCERN.UNIQUEPATH]], IF( ISNUMBER( SEARCH("/",Table151823[[#This Row],[CONCERN.UNIQUEPATH]])),SEARCH("/",Table151823[[#This Row],[CONCERN.UNIQUEPATH]])+1,1),255))</f>
        <v/>
      </c>
      <c r="J80" t="s">
        <v>2068</v>
      </c>
      <c r="L80" t="s">
        <v>1928</v>
      </c>
    </row>
    <row r="81" spans="1:12">
      <c r="A81" t="s">
        <v>1977</v>
      </c>
      <c r="B81" t="s">
        <v>2246</v>
      </c>
      <c r="E81" t="str">
        <f xml:space="preserve"> CONCATENATE( MID(Table151823[[#This Row],[PHASE]],2,3), MID(Table151823[[#This Row],[DELIVERABLE]],2,4), TRIM(SUBSTITUTE(MID(Table151823[[#This Row],[CONCERN.ID]],2,20),"X","") )  )</f>
        <v>10.461.</v>
      </c>
      <c r="F81" t="str">
        <f>TRIM(MID(Table151823[[#This Row],[CONCERN.UNIQUEPATH]], IF( ISNUMBER( SEARCH("/",Table151823[[#This Row],[CONCERN.UNIQUEPATH]])),SEARCH("/",Table151823[[#This Row],[CONCERN.UNIQUEPATH]])+1,1),255))</f>
        <v/>
      </c>
      <c r="J81" t="s">
        <v>2068</v>
      </c>
      <c r="L81" t="s">
        <v>1928</v>
      </c>
    </row>
    <row r="82" spans="1:12">
      <c r="A82" t="s">
        <v>1977</v>
      </c>
      <c r="B82" t="s">
        <v>2246</v>
      </c>
      <c r="E82" t="str">
        <f xml:space="preserve"> CONCATENATE( MID(Table151823[[#This Row],[PHASE]],2,3), MID(Table151823[[#This Row],[DELIVERABLE]],2,4), TRIM(SUBSTITUTE(MID(Table151823[[#This Row],[CONCERN.ID]],2,20),"X","") )  )</f>
        <v>10.461.</v>
      </c>
      <c r="F82" t="str">
        <f>TRIM(MID(Table151823[[#This Row],[CONCERN.UNIQUEPATH]], IF( ISNUMBER( SEARCH("/",Table151823[[#This Row],[CONCERN.UNIQUEPATH]])),SEARCH("/",Table151823[[#This Row],[CONCERN.UNIQUEPATH]])+1,1),255))</f>
        <v/>
      </c>
      <c r="J82" t="s">
        <v>2068</v>
      </c>
      <c r="K82" s="21"/>
      <c r="L82" t="s">
        <v>1928</v>
      </c>
    </row>
    <row r="83" spans="1:12">
      <c r="A83" t="s">
        <v>1977</v>
      </c>
      <c r="B83" t="s">
        <v>2246</v>
      </c>
      <c r="E83" t="str">
        <f xml:space="preserve"> CONCATENATE( MID(Table151823[[#This Row],[PHASE]],2,3), MID(Table151823[[#This Row],[DELIVERABLE]],2,4), TRIM(SUBSTITUTE(MID(Table151823[[#This Row],[CONCERN.ID]],2,20),"X","") )  )</f>
        <v>10.461.</v>
      </c>
      <c r="F83" t="str">
        <f>TRIM(MID(Table151823[[#This Row],[CONCERN.UNIQUEPATH]], IF( ISNUMBER( SEARCH("/",Table151823[[#This Row],[CONCERN.UNIQUEPATH]])),SEARCH("/",Table151823[[#This Row],[CONCERN.UNIQUEPATH]])+1,1),255))</f>
        <v/>
      </c>
      <c r="J83" t="s">
        <v>2068</v>
      </c>
      <c r="L83" t="s">
        <v>1928</v>
      </c>
    </row>
    <row r="84" spans="1:12">
      <c r="A84" t="s">
        <v>1977</v>
      </c>
      <c r="B84" t="s">
        <v>2246</v>
      </c>
      <c r="E84" t="str">
        <f xml:space="preserve"> CONCATENATE( MID(Table151823[[#This Row],[PHASE]],2,3), MID(Table151823[[#This Row],[DELIVERABLE]],2,4), TRIM(SUBSTITUTE(MID(Table151823[[#This Row],[CONCERN.ID]],2,20),"X","") )  )</f>
        <v>10.461.</v>
      </c>
      <c r="F84" t="str">
        <f>TRIM(MID(Table151823[[#This Row],[CONCERN.UNIQUEPATH]], IF( ISNUMBER( SEARCH("/",Table151823[[#This Row],[CONCERN.UNIQUEPATH]])),SEARCH("/",Table151823[[#This Row],[CONCERN.UNIQUEPATH]])+1,1),255))</f>
        <v/>
      </c>
      <c r="J84" t="s">
        <v>2068</v>
      </c>
      <c r="L84" t="s">
        <v>1928</v>
      </c>
    </row>
    <row r="85" spans="1:12">
      <c r="A85" t="s">
        <v>1977</v>
      </c>
      <c r="B85" t="s">
        <v>2246</v>
      </c>
      <c r="E85" t="str">
        <f xml:space="preserve"> CONCATENATE( MID(Table151823[[#This Row],[PHASE]],2,3), MID(Table151823[[#This Row],[DELIVERABLE]],2,4), TRIM(SUBSTITUTE(MID(Table151823[[#This Row],[CONCERN.ID]],2,20),"X","") )  )</f>
        <v>10.461.</v>
      </c>
      <c r="F85" t="str">
        <f>TRIM(MID(Table151823[[#This Row],[CONCERN.UNIQUEPATH]], IF( ISNUMBER( SEARCH("/",Table151823[[#This Row],[CONCERN.UNIQUEPATH]])),SEARCH("/",Table151823[[#This Row],[CONCERN.UNIQUEPATH]])+1,1),255))</f>
        <v/>
      </c>
      <c r="J85" t="s">
        <v>2068</v>
      </c>
      <c r="L85" t="s">
        <v>1928</v>
      </c>
    </row>
    <row r="86" spans="1:12">
      <c r="A86" t="s">
        <v>1977</v>
      </c>
      <c r="B86" t="s">
        <v>2246</v>
      </c>
      <c r="E86" t="str">
        <f xml:space="preserve"> CONCATENATE( MID(Table151823[[#This Row],[PHASE]],2,3), MID(Table151823[[#This Row],[DELIVERABLE]],2,4), TRIM(SUBSTITUTE(MID(Table151823[[#This Row],[CONCERN.ID]],2,20),"X","") )  )</f>
        <v>10.461.</v>
      </c>
      <c r="F86" t="str">
        <f>TRIM(MID(Table151823[[#This Row],[CONCERN.UNIQUEPATH]], IF( ISNUMBER( SEARCH("/",Table151823[[#This Row],[CONCERN.UNIQUEPATH]])),SEARCH("/",Table151823[[#This Row],[CONCERN.UNIQUEPATH]])+1,1),255))</f>
        <v/>
      </c>
      <c r="J86" t="s">
        <v>2068</v>
      </c>
      <c r="K86" s="11"/>
      <c r="L86" t="s">
        <v>1928</v>
      </c>
    </row>
    <row r="87" spans="1:12">
      <c r="A87" t="s">
        <v>1977</v>
      </c>
      <c r="B87" t="s">
        <v>2246</v>
      </c>
      <c r="E87" t="str">
        <f xml:space="preserve"> CONCATENATE( MID(Table151823[[#This Row],[PHASE]],2,3), MID(Table151823[[#This Row],[DELIVERABLE]],2,4), TRIM(SUBSTITUTE(MID(Table151823[[#This Row],[CONCERN.ID]],2,20),"X","") )  )</f>
        <v>10.461.</v>
      </c>
      <c r="F87" t="str">
        <f>TRIM(MID(Table151823[[#This Row],[CONCERN.UNIQUEPATH]], IF( ISNUMBER( SEARCH("/",Table151823[[#This Row],[CONCERN.UNIQUEPATH]])),SEARCH("/",Table151823[[#This Row],[CONCERN.UNIQUEPATH]])+1,1),255))</f>
        <v/>
      </c>
      <c r="J87" t="s">
        <v>2068</v>
      </c>
      <c r="L87" t="s">
        <v>1928</v>
      </c>
    </row>
    <row r="88" spans="1:12">
      <c r="A88" t="s">
        <v>1977</v>
      </c>
      <c r="B88" t="s">
        <v>2246</v>
      </c>
      <c r="E88" t="str">
        <f xml:space="preserve"> CONCATENATE( MID(Table151823[[#This Row],[PHASE]],2,3), MID(Table151823[[#This Row],[DELIVERABLE]],2,4), TRIM(SUBSTITUTE(MID(Table151823[[#This Row],[CONCERN.ID]],2,20),"X","") )  )</f>
        <v>10.461.</v>
      </c>
      <c r="F88" t="str">
        <f>TRIM(MID(Table151823[[#This Row],[CONCERN.UNIQUEPATH]], IF( ISNUMBER( SEARCH("/",Table151823[[#This Row],[CONCERN.UNIQUEPATH]])),SEARCH("/",Table151823[[#This Row],[CONCERN.UNIQUEPATH]])+1,1),255))</f>
        <v/>
      </c>
      <c r="J88" t="s">
        <v>2068</v>
      </c>
      <c r="L88" t="s">
        <v>1928</v>
      </c>
    </row>
    <row r="89" spans="1:12">
      <c r="A89" t="s">
        <v>1977</v>
      </c>
      <c r="B89" t="s">
        <v>2246</v>
      </c>
      <c r="E89" t="str">
        <f xml:space="preserve"> CONCATENATE( MID(Table151823[[#This Row],[PHASE]],2,3), MID(Table151823[[#This Row],[DELIVERABLE]],2,4), TRIM(SUBSTITUTE(MID(Table151823[[#This Row],[CONCERN.ID]],2,20),"X","") )  )</f>
        <v>10.461.</v>
      </c>
      <c r="F89" t="str">
        <f>TRIM(MID(Table151823[[#This Row],[CONCERN.UNIQUEPATH]], IF( ISNUMBER( SEARCH("/",Table151823[[#This Row],[CONCERN.UNIQUEPATH]])),SEARCH("/",Table151823[[#This Row],[CONCERN.UNIQUEPATH]])+1,1),255))</f>
        <v/>
      </c>
      <c r="J89" t="s">
        <v>2068</v>
      </c>
      <c r="L89" t="s">
        <v>1928</v>
      </c>
    </row>
    <row r="90" spans="1:12">
      <c r="A90" t="s">
        <v>1977</v>
      </c>
      <c r="B90" t="s">
        <v>2246</v>
      </c>
      <c r="E90" t="str">
        <f xml:space="preserve"> CONCATENATE( MID(Table151823[[#This Row],[PHASE]],2,3), MID(Table151823[[#This Row],[DELIVERABLE]],2,4), TRIM(SUBSTITUTE(MID(Table151823[[#This Row],[CONCERN.ID]],2,20),"X","") )  )</f>
        <v>10.461.</v>
      </c>
      <c r="F90" t="str">
        <f>TRIM(MID(Table151823[[#This Row],[CONCERN.UNIQUEPATH]], IF( ISNUMBER( SEARCH("/",Table151823[[#This Row],[CONCERN.UNIQUEPATH]])),SEARCH("/",Table151823[[#This Row],[CONCERN.UNIQUEPATH]])+1,1),255))</f>
        <v/>
      </c>
      <c r="J90" t="s">
        <v>2068</v>
      </c>
      <c r="L90" t="s">
        <v>1928</v>
      </c>
    </row>
    <row r="91" spans="1:12">
      <c r="A91" t="s">
        <v>1977</v>
      </c>
      <c r="B91" t="s">
        <v>2246</v>
      </c>
      <c r="E91" t="str">
        <f xml:space="preserve"> CONCATENATE( MID(Table151823[[#This Row],[PHASE]],2,3), MID(Table151823[[#This Row],[DELIVERABLE]],2,4), TRIM(SUBSTITUTE(MID(Table151823[[#This Row],[CONCERN.ID]],2,20),"X","") )  )</f>
        <v>10.461.</v>
      </c>
      <c r="F91" t="str">
        <f>TRIM(MID(Table151823[[#This Row],[CONCERN.UNIQUEPATH]], IF( ISNUMBER( SEARCH("/",Table151823[[#This Row],[CONCERN.UNIQUEPATH]])),SEARCH("/",Table151823[[#This Row],[CONCERN.UNIQUEPATH]])+1,1),255))</f>
        <v/>
      </c>
      <c r="J91" t="s">
        <v>2068</v>
      </c>
      <c r="L91" t="s">
        <v>1928</v>
      </c>
    </row>
    <row r="92" spans="1:12">
      <c r="A92" t="s">
        <v>1977</v>
      </c>
      <c r="B92" t="s">
        <v>2246</v>
      </c>
      <c r="E92" t="str">
        <f xml:space="preserve"> CONCATENATE( MID(Table151823[[#This Row],[PHASE]],2,3), MID(Table151823[[#This Row],[DELIVERABLE]],2,4), TRIM(SUBSTITUTE(MID(Table151823[[#This Row],[CONCERN.ID]],2,20),"X","") )  )</f>
        <v>10.461.</v>
      </c>
      <c r="F92" t="str">
        <f>TRIM(MID(Table151823[[#This Row],[CONCERN.UNIQUEPATH]], IF( ISNUMBER( SEARCH("/",Table151823[[#This Row],[CONCERN.UNIQUEPATH]])),SEARCH("/",Table151823[[#This Row],[CONCERN.UNIQUEPATH]])+1,1),255))</f>
        <v/>
      </c>
      <c r="J92" t="s">
        <v>2068</v>
      </c>
      <c r="L92" t="s">
        <v>1928</v>
      </c>
    </row>
    <row r="93" spans="1:12">
      <c r="A93" t="s">
        <v>1977</v>
      </c>
      <c r="B93" t="s">
        <v>2246</v>
      </c>
      <c r="E93" t="str">
        <f xml:space="preserve"> CONCATENATE( MID(Table151823[[#This Row],[PHASE]],2,3), MID(Table151823[[#This Row],[DELIVERABLE]],2,4), TRIM(SUBSTITUTE(MID(Table151823[[#This Row],[CONCERN.ID]],2,20),"X","") )  )</f>
        <v>10.461.</v>
      </c>
      <c r="F93" t="str">
        <f>TRIM(MID(Table151823[[#This Row],[CONCERN.UNIQUEPATH]], IF( ISNUMBER( SEARCH("/",Table151823[[#This Row],[CONCERN.UNIQUEPATH]])),SEARCH("/",Table151823[[#This Row],[CONCERN.UNIQUEPATH]])+1,1),255))</f>
        <v/>
      </c>
      <c r="J93" t="s">
        <v>2068</v>
      </c>
      <c r="L93" t="s">
        <v>1928</v>
      </c>
    </row>
    <row r="94" spans="1:12">
      <c r="A94" t="s">
        <v>1977</v>
      </c>
      <c r="B94" t="s">
        <v>2246</v>
      </c>
      <c r="E94" t="str">
        <f xml:space="preserve"> CONCATENATE( MID(Table151823[[#This Row],[PHASE]],2,3), MID(Table151823[[#This Row],[DELIVERABLE]],2,4), TRIM(SUBSTITUTE(MID(Table151823[[#This Row],[CONCERN.ID]],2,20),"X","") )  )</f>
        <v>10.461.</v>
      </c>
      <c r="F94" t="str">
        <f>TRIM(MID(Table151823[[#This Row],[CONCERN.UNIQUEPATH]], IF( ISNUMBER( SEARCH("/",Table151823[[#This Row],[CONCERN.UNIQUEPATH]])),SEARCH("/",Table151823[[#This Row],[CONCERN.UNIQUEPATH]])+1,1),255))</f>
        <v/>
      </c>
      <c r="J94" t="s">
        <v>2068</v>
      </c>
      <c r="L94" t="s">
        <v>1928</v>
      </c>
    </row>
    <row r="95" spans="1:12">
      <c r="A95" t="s">
        <v>1977</v>
      </c>
      <c r="B95" t="s">
        <v>2246</v>
      </c>
      <c r="E95" t="str">
        <f xml:space="preserve"> CONCATENATE( MID(Table151823[[#This Row],[PHASE]],2,3), MID(Table151823[[#This Row],[DELIVERABLE]],2,4), TRIM(SUBSTITUTE(MID(Table151823[[#This Row],[CONCERN.ID]],2,20),"X","") )  )</f>
        <v>10.461.</v>
      </c>
      <c r="F95" t="str">
        <f>TRIM(MID(Table151823[[#This Row],[CONCERN.UNIQUEPATH]], IF( ISNUMBER( SEARCH("/",Table151823[[#This Row],[CONCERN.UNIQUEPATH]])),SEARCH("/",Table151823[[#This Row],[CONCERN.UNIQUEPATH]])+1,1),255))</f>
        <v/>
      </c>
      <c r="J95" t="s">
        <v>2068</v>
      </c>
      <c r="L95" t="s">
        <v>1928</v>
      </c>
    </row>
    <row r="96" spans="1:12">
      <c r="A96" t="s">
        <v>1977</v>
      </c>
      <c r="B96" t="s">
        <v>2246</v>
      </c>
      <c r="E96" t="str">
        <f xml:space="preserve"> CONCATENATE( MID(Table151823[[#This Row],[PHASE]],2,3), MID(Table151823[[#This Row],[DELIVERABLE]],2,4), TRIM(SUBSTITUTE(MID(Table151823[[#This Row],[CONCERN.ID]],2,20),"X","") )  )</f>
        <v>10.461.</v>
      </c>
      <c r="F96" t="str">
        <f>TRIM(MID(Table151823[[#This Row],[CONCERN.UNIQUEPATH]], IF( ISNUMBER( SEARCH("/",Table151823[[#This Row],[CONCERN.UNIQUEPATH]])),SEARCH("/",Table151823[[#This Row],[CONCERN.UNIQUEPATH]])+1,1),255))</f>
        <v/>
      </c>
      <c r="J96" t="s">
        <v>2068</v>
      </c>
      <c r="L96" t="s">
        <v>1928</v>
      </c>
    </row>
    <row r="97" spans="1:12">
      <c r="A97" t="s">
        <v>1977</v>
      </c>
      <c r="B97" t="s">
        <v>2246</v>
      </c>
      <c r="E97" t="str">
        <f xml:space="preserve"> CONCATENATE( MID(Table151823[[#This Row],[PHASE]],2,3), MID(Table151823[[#This Row],[DELIVERABLE]],2,4), TRIM(SUBSTITUTE(MID(Table151823[[#This Row],[CONCERN.ID]],2,20),"X","") )  )</f>
        <v>10.461.</v>
      </c>
      <c r="F97" t="str">
        <f>TRIM(MID(Table151823[[#This Row],[CONCERN.UNIQUEPATH]], IF( ISNUMBER( SEARCH("/",Table151823[[#This Row],[CONCERN.UNIQUEPATH]])),SEARCH("/",Table151823[[#This Row],[CONCERN.UNIQUEPATH]])+1,1),255))</f>
        <v/>
      </c>
      <c r="J97" t="s">
        <v>2068</v>
      </c>
      <c r="L97" t="s">
        <v>1928</v>
      </c>
    </row>
    <row r="98" spans="1:12">
      <c r="A98" t="s">
        <v>1977</v>
      </c>
      <c r="B98" t="s">
        <v>2246</v>
      </c>
      <c r="E98" t="str">
        <f xml:space="preserve"> CONCATENATE( MID(Table151823[[#This Row],[PHASE]],2,3), MID(Table151823[[#This Row],[DELIVERABLE]],2,4), TRIM(SUBSTITUTE(MID(Table151823[[#This Row],[CONCERN.ID]],2,20),"X","") )  )</f>
        <v>10.461.</v>
      </c>
      <c r="F98" t="str">
        <f>TRIM(MID(Table151823[[#This Row],[CONCERN.UNIQUEPATH]], IF( ISNUMBER( SEARCH("/",Table151823[[#This Row],[CONCERN.UNIQUEPATH]])),SEARCH("/",Table151823[[#This Row],[CONCERN.UNIQUEPATH]])+1,1),255))</f>
        <v/>
      </c>
      <c r="J98" t="s">
        <v>2068</v>
      </c>
      <c r="L98" t="s">
        <v>1928</v>
      </c>
    </row>
    <row r="99" spans="1:12">
      <c r="A99" t="s">
        <v>1977</v>
      </c>
      <c r="B99" t="s">
        <v>2246</v>
      </c>
      <c r="E99" t="str">
        <f xml:space="preserve"> CONCATENATE( MID(Table151823[[#This Row],[PHASE]],2,3), MID(Table151823[[#This Row],[DELIVERABLE]],2,4), TRIM(SUBSTITUTE(MID(Table151823[[#This Row],[CONCERN.ID]],2,20),"X","") )  )</f>
        <v>10.461.</v>
      </c>
      <c r="F99" t="str">
        <f>TRIM(MID(Table151823[[#This Row],[CONCERN.UNIQUEPATH]], IF( ISNUMBER( SEARCH("/",Table151823[[#This Row],[CONCERN.UNIQUEPATH]])),SEARCH("/",Table151823[[#This Row],[CONCERN.UNIQUEPATH]])+1,1),255))</f>
        <v/>
      </c>
      <c r="J99" t="s">
        <v>2068</v>
      </c>
      <c r="L99" t="s">
        <v>1928</v>
      </c>
    </row>
    <row r="100" spans="1:12">
      <c r="A100" t="s">
        <v>1977</v>
      </c>
      <c r="B100" t="s">
        <v>2246</v>
      </c>
      <c r="E100" t="str">
        <f xml:space="preserve"> CONCATENATE( MID(Table151823[[#This Row],[PHASE]],2,3), MID(Table151823[[#This Row],[DELIVERABLE]],2,4), TRIM(SUBSTITUTE(MID(Table151823[[#This Row],[CONCERN.ID]],2,20),"X","") )  )</f>
        <v>10.461.</v>
      </c>
      <c r="F100" t="str">
        <f>TRIM(MID(Table151823[[#This Row],[CONCERN.UNIQUEPATH]], IF( ISNUMBER( SEARCH("/",Table151823[[#This Row],[CONCERN.UNIQUEPATH]])),SEARCH("/",Table151823[[#This Row],[CONCERN.UNIQUEPATH]])+1,1),255))</f>
        <v/>
      </c>
      <c r="J100" t="s">
        <v>2068</v>
      </c>
      <c r="L100" t="s">
        <v>1928</v>
      </c>
    </row>
    <row r="101" spans="1:12">
      <c r="A101" t="s">
        <v>1977</v>
      </c>
      <c r="B101" t="s">
        <v>2246</v>
      </c>
      <c r="E101" t="str">
        <f xml:space="preserve"> CONCATENATE( MID(Table151823[[#This Row],[PHASE]],2,3), MID(Table151823[[#This Row],[DELIVERABLE]],2,4), TRIM(SUBSTITUTE(MID(Table151823[[#This Row],[CONCERN.ID]],2,20),"X","") )  )</f>
        <v>10.461.</v>
      </c>
      <c r="F101" t="str">
        <f>TRIM(MID(Table151823[[#This Row],[CONCERN.UNIQUEPATH]], IF( ISNUMBER( SEARCH("/",Table151823[[#This Row],[CONCERN.UNIQUEPATH]])),SEARCH("/",Table151823[[#This Row],[CONCERN.UNIQUEPATH]])+1,1),255))</f>
        <v/>
      </c>
      <c r="J101" t="s">
        <v>2068</v>
      </c>
      <c r="L101" t="s">
        <v>1928</v>
      </c>
    </row>
    <row r="102" spans="1:12">
      <c r="A102" t="s">
        <v>1977</v>
      </c>
      <c r="B102" t="s">
        <v>2246</v>
      </c>
      <c r="E102" t="str">
        <f xml:space="preserve"> CONCATENATE( MID(Table151823[[#This Row],[PHASE]],2,3), MID(Table151823[[#This Row],[DELIVERABLE]],2,4), TRIM(SUBSTITUTE(MID(Table151823[[#This Row],[CONCERN.ID]],2,20),"X","") )  )</f>
        <v>10.461.</v>
      </c>
      <c r="F102" t="str">
        <f>TRIM(MID(Table151823[[#This Row],[CONCERN.UNIQUEPATH]], IF( ISNUMBER( SEARCH("/",Table151823[[#This Row],[CONCERN.UNIQUEPATH]])),SEARCH("/",Table151823[[#This Row],[CONCERN.UNIQUEPATH]])+1,1),255))</f>
        <v/>
      </c>
      <c r="J102" t="s">
        <v>2068</v>
      </c>
      <c r="L102" t="s">
        <v>1928</v>
      </c>
    </row>
    <row r="103" spans="1:12">
      <c r="A103" t="s">
        <v>1977</v>
      </c>
      <c r="B103" t="s">
        <v>2246</v>
      </c>
      <c r="E103" t="str">
        <f xml:space="preserve"> CONCATENATE( MID(Table151823[[#This Row],[PHASE]],2,3), MID(Table151823[[#This Row],[DELIVERABLE]],2,4), TRIM(SUBSTITUTE(MID(Table151823[[#This Row],[CONCERN.ID]],2,20),"X","") )  )</f>
        <v>10.461.</v>
      </c>
      <c r="F103" t="str">
        <f>TRIM(MID(Table151823[[#This Row],[CONCERN.UNIQUEPATH]], IF( ISNUMBER( SEARCH("/",Table151823[[#This Row],[CONCERN.UNIQUEPATH]])),SEARCH("/",Table151823[[#This Row],[CONCERN.UNIQUEPATH]])+1,1),255))</f>
        <v/>
      </c>
      <c r="J103" t="s">
        <v>2068</v>
      </c>
      <c r="L103" t="s">
        <v>1928</v>
      </c>
    </row>
    <row r="104" spans="1:12">
      <c r="A104" t="s">
        <v>1977</v>
      </c>
      <c r="B104" t="s">
        <v>2246</v>
      </c>
      <c r="E104" t="str">
        <f xml:space="preserve"> CONCATENATE( MID(Table151823[[#This Row],[PHASE]],2,3), MID(Table151823[[#This Row],[DELIVERABLE]],2,4), TRIM(SUBSTITUTE(MID(Table151823[[#This Row],[CONCERN.ID]],2,20),"X","") )  )</f>
        <v>10.461.</v>
      </c>
      <c r="F104" t="str">
        <f>TRIM(MID(Table151823[[#This Row],[CONCERN.UNIQUEPATH]], IF( ISNUMBER( SEARCH("/",Table151823[[#This Row],[CONCERN.UNIQUEPATH]])),SEARCH("/",Table151823[[#This Row],[CONCERN.UNIQUEPATH]])+1,1),255))</f>
        <v/>
      </c>
      <c r="J104" t="s">
        <v>2068</v>
      </c>
      <c r="K104" t="s">
        <v>2100</v>
      </c>
      <c r="L104" t="s">
        <v>1928</v>
      </c>
    </row>
    <row r="105" spans="1:12">
      <c r="A105" t="s">
        <v>1977</v>
      </c>
      <c r="B105" t="s">
        <v>2246</v>
      </c>
      <c r="E105" t="str">
        <f xml:space="preserve"> CONCATENATE( MID(Table151823[[#This Row],[PHASE]],2,3), MID(Table151823[[#This Row],[DELIVERABLE]],2,4), TRIM(SUBSTITUTE(MID(Table151823[[#This Row],[CONCERN.ID]],2,20),"X","") )  )</f>
        <v>10.461.</v>
      </c>
      <c r="F105" t="str">
        <f>TRIM(MID(Table151823[[#This Row],[CONCERN.UNIQUEPATH]], IF( ISNUMBER( SEARCH("/",Table151823[[#This Row],[CONCERN.UNIQUEPATH]])),SEARCH("/",Table151823[[#This Row],[CONCERN.UNIQUEPATH]])+1,1),255))</f>
        <v/>
      </c>
      <c r="J105" t="s">
        <v>2068</v>
      </c>
      <c r="K105" t="s">
        <v>2100</v>
      </c>
      <c r="L105" t="s">
        <v>1928</v>
      </c>
    </row>
    <row r="106" spans="1:12">
      <c r="A106" t="s">
        <v>1977</v>
      </c>
      <c r="B106" t="s">
        <v>2246</v>
      </c>
      <c r="E106" t="str">
        <f xml:space="preserve"> CONCATENATE( MID(Table151823[[#This Row],[PHASE]],2,3), MID(Table151823[[#This Row],[DELIVERABLE]],2,4), TRIM(SUBSTITUTE(MID(Table151823[[#This Row],[CONCERN.ID]],2,20),"X","") )  )</f>
        <v>10.461.</v>
      </c>
      <c r="F106" t="str">
        <f>TRIM(MID(Table151823[[#This Row],[CONCERN.UNIQUEPATH]], IF( ISNUMBER( SEARCH("/",Table151823[[#This Row],[CONCERN.UNIQUEPATH]])),SEARCH("/",Table151823[[#This Row],[CONCERN.UNIQUEPATH]])+1,1),255))</f>
        <v/>
      </c>
      <c r="J106" t="s">
        <v>2068</v>
      </c>
      <c r="K106" t="s">
        <v>2100</v>
      </c>
      <c r="L106" t="s">
        <v>1928</v>
      </c>
    </row>
    <row r="107" spans="1:12">
      <c r="A107" t="s">
        <v>1977</v>
      </c>
      <c r="B107" t="s">
        <v>2246</v>
      </c>
      <c r="E107" t="str">
        <f xml:space="preserve"> CONCATENATE( MID(Table151823[[#This Row],[PHASE]],2,3), MID(Table151823[[#This Row],[DELIVERABLE]],2,4), TRIM(SUBSTITUTE(MID(Table151823[[#This Row],[CONCERN.ID]],2,20),"X","") )  )</f>
        <v>10.461.</v>
      </c>
      <c r="F107" t="str">
        <f>TRIM(MID(Table151823[[#This Row],[CONCERN.UNIQUEPATH]], IF( ISNUMBER( SEARCH("/",Table151823[[#This Row],[CONCERN.UNIQUEPATH]])),SEARCH("/",Table151823[[#This Row],[CONCERN.UNIQUEPATH]])+1,1),255))</f>
        <v/>
      </c>
      <c r="J107" t="s">
        <v>2068</v>
      </c>
      <c r="K107" t="s">
        <v>2100</v>
      </c>
      <c r="L107" t="s">
        <v>1928</v>
      </c>
    </row>
    <row r="108" spans="1:12">
      <c r="A108" t="s">
        <v>1977</v>
      </c>
      <c r="B108" t="s">
        <v>2246</v>
      </c>
      <c r="E108" t="str">
        <f xml:space="preserve"> CONCATENATE( MID(Table151823[[#This Row],[PHASE]],2,3), MID(Table151823[[#This Row],[DELIVERABLE]],2,4), TRIM(SUBSTITUTE(MID(Table151823[[#This Row],[CONCERN.ID]],2,20),"X","") )  )</f>
        <v>10.461.</v>
      </c>
      <c r="F108" t="str">
        <f>TRIM(MID(Table151823[[#This Row],[CONCERN.UNIQUEPATH]], IF( ISNUMBER( SEARCH("/",Table151823[[#This Row],[CONCERN.UNIQUEPATH]])),SEARCH("/",Table151823[[#This Row],[CONCERN.UNIQUEPATH]])+1,1),255))</f>
        <v/>
      </c>
      <c r="J108" t="s">
        <v>2068</v>
      </c>
      <c r="K108" t="s">
        <v>2100</v>
      </c>
      <c r="L108" t="s">
        <v>1928</v>
      </c>
    </row>
    <row r="109" spans="1:12">
      <c r="A109" t="s">
        <v>1977</v>
      </c>
      <c r="B109" t="s">
        <v>2246</v>
      </c>
      <c r="E109" t="str">
        <f xml:space="preserve"> CONCATENATE( MID(Table151823[[#This Row],[PHASE]],2,3), MID(Table151823[[#This Row],[DELIVERABLE]],2,4), TRIM(SUBSTITUTE(MID(Table151823[[#This Row],[CONCERN.ID]],2,20),"X","") )  )</f>
        <v>10.461.</v>
      </c>
      <c r="F109" t="str">
        <f>TRIM(MID(Table151823[[#This Row],[CONCERN.UNIQUEPATH]], IF( ISNUMBER( SEARCH("/",Table151823[[#This Row],[CONCERN.UNIQUEPATH]])),SEARCH("/",Table151823[[#This Row],[CONCERN.UNIQUEPATH]])+1,1),255))</f>
        <v/>
      </c>
      <c r="J109" t="s">
        <v>2068</v>
      </c>
      <c r="K109" t="s">
        <v>2100</v>
      </c>
      <c r="L109" t="s">
        <v>1928</v>
      </c>
    </row>
    <row r="110" spans="1:12">
      <c r="A110" t="s">
        <v>1977</v>
      </c>
      <c r="B110" t="s">
        <v>2246</v>
      </c>
      <c r="E110" t="str">
        <f xml:space="preserve"> CONCATENATE( MID(Table151823[[#This Row],[PHASE]],2,3), MID(Table151823[[#This Row],[DELIVERABLE]],2,4), TRIM(SUBSTITUTE(MID(Table151823[[#This Row],[CONCERN.ID]],2,20),"X","") )  )</f>
        <v>10.461.</v>
      </c>
      <c r="F110" t="str">
        <f>TRIM(MID(Table151823[[#This Row],[CONCERN.UNIQUEPATH]], IF( ISNUMBER( SEARCH("/",Table151823[[#This Row],[CONCERN.UNIQUEPATH]])),SEARCH("/",Table151823[[#This Row],[CONCERN.UNIQUEPATH]])+1,1),255))</f>
        <v/>
      </c>
      <c r="J110" t="s">
        <v>2068</v>
      </c>
      <c r="K110" t="s">
        <v>2100</v>
      </c>
      <c r="L110" t="s">
        <v>1928</v>
      </c>
    </row>
    <row r="111" spans="1:12">
      <c r="A111" t="s">
        <v>1977</v>
      </c>
      <c r="B111" t="s">
        <v>2246</v>
      </c>
      <c r="E111" t="str">
        <f xml:space="preserve"> CONCATENATE( MID(Table151823[[#This Row],[PHASE]],2,3), MID(Table151823[[#This Row],[DELIVERABLE]],2,4), TRIM(SUBSTITUTE(MID(Table151823[[#This Row],[CONCERN.ID]],2,20),"X","") )  )</f>
        <v>10.461.</v>
      </c>
      <c r="F111" t="str">
        <f>TRIM(MID(Table151823[[#This Row],[CONCERN.UNIQUEPATH]], IF( ISNUMBER( SEARCH("/",Table151823[[#This Row],[CONCERN.UNIQUEPATH]])),SEARCH("/",Table151823[[#This Row],[CONCERN.UNIQUEPATH]])+1,1),255))</f>
        <v/>
      </c>
      <c r="J111" t="s">
        <v>2068</v>
      </c>
      <c r="K111" t="s">
        <v>2100</v>
      </c>
      <c r="L111" t="s">
        <v>1928</v>
      </c>
    </row>
    <row r="112" spans="1:12">
      <c r="A112" t="s">
        <v>1977</v>
      </c>
      <c r="B112" t="s">
        <v>2246</v>
      </c>
      <c r="E112" t="str">
        <f xml:space="preserve"> CONCATENATE( MID(Table151823[[#This Row],[PHASE]],2,3), MID(Table151823[[#This Row],[DELIVERABLE]],2,4), TRIM(SUBSTITUTE(MID(Table151823[[#This Row],[CONCERN.ID]],2,20),"X","") )  )</f>
        <v>10.461.</v>
      </c>
      <c r="F112" t="str">
        <f>TRIM(MID(Table151823[[#This Row],[CONCERN.UNIQUEPATH]], IF( ISNUMBER( SEARCH("/",Table151823[[#This Row],[CONCERN.UNIQUEPATH]])),SEARCH("/",Table151823[[#This Row],[CONCERN.UNIQUEPATH]])+1,1),255))</f>
        <v/>
      </c>
      <c r="J112" t="s">
        <v>2068</v>
      </c>
      <c r="K112" t="s">
        <v>2100</v>
      </c>
      <c r="L112" t="s">
        <v>1928</v>
      </c>
    </row>
    <row r="113" spans="1:12">
      <c r="A113" t="s">
        <v>1977</v>
      </c>
      <c r="B113" t="s">
        <v>2246</v>
      </c>
      <c r="E113" t="str">
        <f xml:space="preserve"> CONCATENATE( MID(Table151823[[#This Row],[PHASE]],2,3), MID(Table151823[[#This Row],[DELIVERABLE]],2,4), TRIM(SUBSTITUTE(MID(Table151823[[#This Row],[CONCERN.ID]],2,20),"X","") )  )</f>
        <v>10.461.</v>
      </c>
      <c r="F113" t="str">
        <f>TRIM(MID(Table151823[[#This Row],[CONCERN.UNIQUEPATH]], IF( ISNUMBER( SEARCH("/",Table151823[[#This Row],[CONCERN.UNIQUEPATH]])),SEARCH("/",Table151823[[#This Row],[CONCERN.UNIQUEPATH]])+1,1),255))</f>
        <v/>
      </c>
      <c r="J113" t="s">
        <v>2068</v>
      </c>
      <c r="K113" t="s">
        <v>2100</v>
      </c>
      <c r="L113" t="s">
        <v>1928</v>
      </c>
    </row>
    <row r="114" spans="1:12">
      <c r="A114" t="s">
        <v>1977</v>
      </c>
      <c r="B114" t="s">
        <v>2246</v>
      </c>
      <c r="E114" t="str">
        <f xml:space="preserve"> CONCATENATE( MID(Table151823[[#This Row],[PHASE]],2,3), MID(Table151823[[#This Row],[DELIVERABLE]],2,4), TRIM(SUBSTITUTE(MID(Table151823[[#This Row],[CONCERN.ID]],2,20),"X","") )  )</f>
        <v>10.461.</v>
      </c>
      <c r="F114" t="str">
        <f>TRIM(MID(Table151823[[#This Row],[CONCERN.UNIQUEPATH]], IF( ISNUMBER( SEARCH("/",Table151823[[#This Row],[CONCERN.UNIQUEPATH]])),SEARCH("/",Table151823[[#This Row],[CONCERN.UNIQUEPATH]])+1,1),255))</f>
        <v/>
      </c>
      <c r="J114" t="s">
        <v>2068</v>
      </c>
      <c r="K114" t="s">
        <v>2100</v>
      </c>
      <c r="L114" t="s">
        <v>1928</v>
      </c>
    </row>
    <row r="115" spans="1:12">
      <c r="A115" t="s">
        <v>1977</v>
      </c>
      <c r="B115" t="s">
        <v>2246</v>
      </c>
      <c r="E115" t="str">
        <f xml:space="preserve"> CONCATENATE( MID(Table151823[[#This Row],[PHASE]],2,3), MID(Table151823[[#This Row],[DELIVERABLE]],2,4), TRIM(SUBSTITUTE(MID(Table151823[[#This Row],[CONCERN.ID]],2,20),"X","") )  )</f>
        <v>10.461.</v>
      </c>
      <c r="F115" t="str">
        <f>TRIM(MID(Table151823[[#This Row],[CONCERN.UNIQUEPATH]], IF( ISNUMBER( SEARCH("/",Table151823[[#This Row],[CONCERN.UNIQUEPATH]])),SEARCH("/",Table151823[[#This Row],[CONCERN.UNIQUEPATH]])+1,1),255))</f>
        <v/>
      </c>
      <c r="J115" t="s">
        <v>2068</v>
      </c>
      <c r="K115" t="s">
        <v>2100</v>
      </c>
      <c r="L115" t="s">
        <v>1928</v>
      </c>
    </row>
    <row r="116" spans="1:12">
      <c r="A116" t="s">
        <v>1977</v>
      </c>
      <c r="B116" t="s">
        <v>2246</v>
      </c>
      <c r="E116" t="str">
        <f xml:space="preserve"> CONCATENATE( MID(Table151823[[#This Row],[PHASE]],2,3), MID(Table151823[[#This Row],[DELIVERABLE]],2,4), TRIM(SUBSTITUTE(MID(Table151823[[#This Row],[CONCERN.ID]],2,20),"X","") )  )</f>
        <v>10.461.</v>
      </c>
      <c r="F116" t="str">
        <f>TRIM(MID(Table151823[[#This Row],[CONCERN.UNIQUEPATH]], IF( ISNUMBER( SEARCH("/",Table151823[[#This Row],[CONCERN.UNIQUEPATH]])),SEARCH("/",Table151823[[#This Row],[CONCERN.UNIQUEPATH]])+1,1),255))</f>
        <v/>
      </c>
      <c r="J116" t="s">
        <v>2068</v>
      </c>
      <c r="K116" t="s">
        <v>2100</v>
      </c>
      <c r="L116" t="s">
        <v>1928</v>
      </c>
    </row>
    <row r="117" spans="1:12">
      <c r="A117" t="s">
        <v>1977</v>
      </c>
      <c r="B117" t="s">
        <v>2246</v>
      </c>
      <c r="E117" t="str">
        <f xml:space="preserve"> CONCATENATE( MID(Table151823[[#This Row],[PHASE]],2,3), MID(Table151823[[#This Row],[DELIVERABLE]],2,4), TRIM(SUBSTITUTE(MID(Table151823[[#This Row],[CONCERN.ID]],2,20),"X","") )  )</f>
        <v>10.461.</v>
      </c>
      <c r="F117" t="str">
        <f>TRIM(MID(Table151823[[#This Row],[CONCERN.UNIQUEPATH]], IF( ISNUMBER( SEARCH("/",Table151823[[#This Row],[CONCERN.UNIQUEPATH]])),SEARCH("/",Table151823[[#This Row],[CONCERN.UNIQUEPATH]])+1,1),255))</f>
        <v/>
      </c>
      <c r="J117" t="s">
        <v>2068</v>
      </c>
      <c r="K117" t="s">
        <v>2100</v>
      </c>
      <c r="L117" t="s">
        <v>1928</v>
      </c>
    </row>
    <row r="118" spans="1:12">
      <c r="A118" t="s">
        <v>1977</v>
      </c>
      <c r="B118" t="s">
        <v>2246</v>
      </c>
      <c r="E118" t="str">
        <f xml:space="preserve"> CONCATENATE( MID(Table151823[[#This Row],[PHASE]],2,3), MID(Table151823[[#This Row],[DELIVERABLE]],2,4), TRIM(SUBSTITUTE(MID(Table151823[[#This Row],[CONCERN.ID]],2,20),"X","") )  )</f>
        <v>10.461.</v>
      </c>
      <c r="F118" t="str">
        <f>TRIM(MID(Table151823[[#This Row],[CONCERN.UNIQUEPATH]], IF( ISNUMBER( SEARCH("/",Table151823[[#This Row],[CONCERN.UNIQUEPATH]])),SEARCH("/",Table151823[[#This Row],[CONCERN.UNIQUEPATH]])+1,1),255))</f>
        <v/>
      </c>
      <c r="J118" t="s">
        <v>2068</v>
      </c>
      <c r="L118" t="s">
        <v>1928</v>
      </c>
    </row>
    <row r="119" spans="1:12">
      <c r="A119" t="s">
        <v>1977</v>
      </c>
      <c r="B119" t="s">
        <v>2246</v>
      </c>
      <c r="E119" t="str">
        <f xml:space="preserve"> CONCATENATE( MID(Table151823[[#This Row],[PHASE]],2,3), MID(Table151823[[#This Row],[DELIVERABLE]],2,4), TRIM(SUBSTITUTE(MID(Table151823[[#This Row],[CONCERN.ID]],2,20),"X","") )  )</f>
        <v>10.461.</v>
      </c>
      <c r="F119" t="str">
        <f>TRIM(MID(Table151823[[#This Row],[CONCERN.UNIQUEPATH]], IF( ISNUMBER( SEARCH("/",Table151823[[#This Row],[CONCERN.UNIQUEPATH]])),SEARCH("/",Table151823[[#This Row],[CONCERN.UNIQUEPATH]])+1,1),255))</f>
        <v/>
      </c>
      <c r="J119" t="s">
        <v>2068</v>
      </c>
      <c r="L119" t="s">
        <v>1928</v>
      </c>
    </row>
    <row r="120" spans="1:12">
      <c r="A120" t="s">
        <v>1977</v>
      </c>
      <c r="B120" t="s">
        <v>2246</v>
      </c>
      <c r="E120" t="str">
        <f xml:space="preserve"> CONCATENATE( MID(Table151823[[#This Row],[PHASE]],2,3), MID(Table151823[[#This Row],[DELIVERABLE]],2,4), TRIM(SUBSTITUTE(MID(Table151823[[#This Row],[CONCERN.ID]],2,20),"X","") )  )</f>
        <v>10.461.</v>
      </c>
      <c r="F120" t="str">
        <f>TRIM(MID(Table151823[[#This Row],[CONCERN.UNIQUEPATH]], IF( ISNUMBER( SEARCH("/",Table151823[[#This Row],[CONCERN.UNIQUEPATH]])),SEARCH("/",Table151823[[#This Row],[CONCERN.UNIQUEPATH]])+1,1),255))</f>
        <v/>
      </c>
      <c r="J120" t="s">
        <v>2068</v>
      </c>
      <c r="K120" t="s">
        <v>2088</v>
      </c>
      <c r="L120" t="s">
        <v>1928</v>
      </c>
    </row>
    <row r="121" spans="1:12">
      <c r="A121" t="s">
        <v>1977</v>
      </c>
      <c r="B121" t="s">
        <v>2246</v>
      </c>
      <c r="E121" t="str">
        <f xml:space="preserve"> CONCATENATE( MID(Table151823[[#This Row],[PHASE]],2,3), MID(Table151823[[#This Row],[DELIVERABLE]],2,4), TRIM(SUBSTITUTE(MID(Table151823[[#This Row],[CONCERN.ID]],2,20),"X","") )  )</f>
        <v>10.461.</v>
      </c>
      <c r="F121" t="str">
        <f>TRIM(MID(Table151823[[#This Row],[CONCERN.UNIQUEPATH]], IF( ISNUMBER( SEARCH("/",Table151823[[#This Row],[CONCERN.UNIQUEPATH]])),SEARCH("/",Table151823[[#This Row],[CONCERN.UNIQUEPATH]])+1,1),255))</f>
        <v/>
      </c>
      <c r="J121" t="s">
        <v>2068</v>
      </c>
      <c r="K121" t="s">
        <v>2100</v>
      </c>
      <c r="L121" t="s">
        <v>1928</v>
      </c>
    </row>
    <row r="122" spans="1:12">
      <c r="A122" t="s">
        <v>1977</v>
      </c>
      <c r="B122" t="s">
        <v>2246</v>
      </c>
      <c r="E122" t="str">
        <f xml:space="preserve"> CONCATENATE( MID(Table151823[[#This Row],[PHASE]],2,3), MID(Table151823[[#This Row],[DELIVERABLE]],2,4), TRIM(SUBSTITUTE(MID(Table151823[[#This Row],[CONCERN.ID]],2,20),"X","") )  )</f>
        <v>10.461.</v>
      </c>
      <c r="F122" t="str">
        <f>TRIM(MID(Table151823[[#This Row],[CONCERN.UNIQUEPATH]], IF( ISNUMBER( SEARCH("/",Table151823[[#This Row],[CONCERN.UNIQUEPATH]])),SEARCH("/",Table151823[[#This Row],[CONCERN.UNIQUEPATH]])+1,1),255))</f>
        <v/>
      </c>
      <c r="J122" t="s">
        <v>2068</v>
      </c>
      <c r="K122" t="s">
        <v>2092</v>
      </c>
      <c r="L122" t="s">
        <v>1928</v>
      </c>
    </row>
    <row r="123" spans="1:12">
      <c r="A123" t="s">
        <v>1977</v>
      </c>
      <c r="B123" t="s">
        <v>2246</v>
      </c>
      <c r="E123" t="str">
        <f xml:space="preserve"> CONCATENATE( MID(Table151823[[#This Row],[PHASE]],2,3), MID(Table151823[[#This Row],[DELIVERABLE]],2,4), TRIM(SUBSTITUTE(MID(Table151823[[#This Row],[CONCERN.ID]],2,20),"X","") )  )</f>
        <v>10.461.</v>
      </c>
      <c r="F123" t="str">
        <f>TRIM(MID(Table151823[[#This Row],[CONCERN.UNIQUEPATH]], IF( ISNUMBER( SEARCH("/",Table151823[[#This Row],[CONCERN.UNIQUEPATH]])),SEARCH("/",Table151823[[#This Row],[CONCERN.UNIQUEPATH]])+1,1),255))</f>
        <v/>
      </c>
      <c r="J123" t="s">
        <v>2068</v>
      </c>
      <c r="K123" t="s">
        <v>2100</v>
      </c>
      <c r="L123" t="s">
        <v>1928</v>
      </c>
    </row>
    <row r="124" spans="1:12">
      <c r="A124" t="s">
        <v>1977</v>
      </c>
      <c r="B124" t="s">
        <v>2246</v>
      </c>
      <c r="E124" t="str">
        <f xml:space="preserve"> CONCATENATE( MID(Table151823[[#This Row],[PHASE]],2,3), MID(Table151823[[#This Row],[DELIVERABLE]],2,4), TRIM(SUBSTITUTE(MID(Table151823[[#This Row],[CONCERN.ID]],2,20),"X","") )  )</f>
        <v>10.461.</v>
      </c>
      <c r="F124" t="str">
        <f>TRIM(MID(Table151823[[#This Row],[CONCERN.UNIQUEPATH]], IF( ISNUMBER( SEARCH("/",Table151823[[#This Row],[CONCERN.UNIQUEPATH]])),SEARCH("/",Table151823[[#This Row],[CONCERN.UNIQUEPATH]])+1,1),255))</f>
        <v/>
      </c>
      <c r="J124" t="s">
        <v>2068</v>
      </c>
      <c r="K124" t="s">
        <v>2096</v>
      </c>
      <c r="L124" t="s">
        <v>1928</v>
      </c>
    </row>
    <row r="125" spans="1:12">
      <c r="A125" t="s">
        <v>1977</v>
      </c>
      <c r="B125" t="s">
        <v>2246</v>
      </c>
      <c r="E125" t="str">
        <f xml:space="preserve"> CONCATENATE( MID(Table151823[[#This Row],[PHASE]],2,3), MID(Table151823[[#This Row],[DELIVERABLE]],2,4), TRIM(SUBSTITUTE(MID(Table151823[[#This Row],[CONCERN.ID]],2,20),"X","") )  )</f>
        <v>10.461.</v>
      </c>
      <c r="F125" t="str">
        <f>TRIM(MID(Table151823[[#This Row],[CONCERN.UNIQUEPATH]], IF( ISNUMBER( SEARCH("/",Table151823[[#This Row],[CONCERN.UNIQUEPATH]])),SEARCH("/",Table151823[[#This Row],[CONCERN.UNIQUEPATH]])+1,1),255))</f>
        <v/>
      </c>
      <c r="J125" t="s">
        <v>2068</v>
      </c>
      <c r="K125" t="s">
        <v>2092</v>
      </c>
      <c r="L125" t="s">
        <v>1928</v>
      </c>
    </row>
    <row r="126" spans="1:12">
      <c r="A126" t="s">
        <v>1977</v>
      </c>
      <c r="B126" t="s">
        <v>2246</v>
      </c>
      <c r="E126" t="str">
        <f xml:space="preserve"> CONCATENATE( MID(Table151823[[#This Row],[PHASE]],2,3), MID(Table151823[[#This Row],[DELIVERABLE]],2,4), TRIM(SUBSTITUTE(MID(Table151823[[#This Row],[CONCERN.ID]],2,20),"X","") )  )</f>
        <v>10.461.</v>
      </c>
      <c r="F126" t="str">
        <f>TRIM(MID(Table151823[[#This Row],[CONCERN.UNIQUEPATH]], IF( ISNUMBER( SEARCH("/",Table151823[[#This Row],[CONCERN.UNIQUEPATH]])),SEARCH("/",Table151823[[#This Row],[CONCERN.UNIQUEPATH]])+1,1),255))</f>
        <v/>
      </c>
      <c r="J126" t="s">
        <v>2068</v>
      </c>
      <c r="K126" t="s">
        <v>2100</v>
      </c>
      <c r="L126" t="s">
        <v>1928</v>
      </c>
    </row>
    <row r="127" spans="1:12">
      <c r="A127" t="s">
        <v>1977</v>
      </c>
      <c r="B127" t="s">
        <v>2246</v>
      </c>
      <c r="E127" t="str">
        <f xml:space="preserve"> CONCATENATE( MID(Table151823[[#This Row],[PHASE]],2,3), MID(Table151823[[#This Row],[DELIVERABLE]],2,4), TRIM(SUBSTITUTE(MID(Table151823[[#This Row],[CONCERN.ID]],2,20),"X","") )  )</f>
        <v>10.461.</v>
      </c>
      <c r="F127" t="str">
        <f>TRIM(MID(Table151823[[#This Row],[CONCERN.UNIQUEPATH]], IF( ISNUMBER( SEARCH("/",Table151823[[#This Row],[CONCERN.UNIQUEPATH]])),SEARCH("/",Table151823[[#This Row],[CONCERN.UNIQUEPATH]])+1,1),255))</f>
        <v/>
      </c>
      <c r="J127" t="s">
        <v>2068</v>
      </c>
      <c r="K127" t="s">
        <v>2100</v>
      </c>
      <c r="L127" t="s">
        <v>1928</v>
      </c>
    </row>
    <row r="128" spans="1:12">
      <c r="A128" t="s">
        <v>1977</v>
      </c>
      <c r="B128" t="s">
        <v>2246</v>
      </c>
      <c r="E128" t="str">
        <f xml:space="preserve"> CONCATENATE( MID(Table151823[[#This Row],[PHASE]],2,3), MID(Table151823[[#This Row],[DELIVERABLE]],2,4), TRIM(SUBSTITUTE(MID(Table151823[[#This Row],[CONCERN.ID]],2,20),"X","") )  )</f>
        <v>10.461.</v>
      </c>
      <c r="F128" t="str">
        <f>TRIM(MID(Table151823[[#This Row],[CONCERN.UNIQUEPATH]], IF( ISNUMBER( SEARCH("/",Table151823[[#This Row],[CONCERN.UNIQUEPATH]])),SEARCH("/",Table151823[[#This Row],[CONCERN.UNIQUEPATH]])+1,1),255))</f>
        <v/>
      </c>
      <c r="J128" t="s">
        <v>2068</v>
      </c>
      <c r="K128" t="s">
        <v>2100</v>
      </c>
      <c r="L128" t="s">
        <v>1928</v>
      </c>
    </row>
    <row r="129" spans="1:12">
      <c r="A129" t="s">
        <v>1977</v>
      </c>
      <c r="B129" t="s">
        <v>2246</v>
      </c>
      <c r="E129" t="str">
        <f xml:space="preserve"> CONCATENATE( MID(Table151823[[#This Row],[PHASE]],2,3), MID(Table151823[[#This Row],[DELIVERABLE]],2,4), TRIM(SUBSTITUTE(MID(Table151823[[#This Row],[CONCERN.ID]],2,20),"X","") )  )</f>
        <v>10.461.</v>
      </c>
      <c r="F129" t="str">
        <f>TRIM(MID(Table151823[[#This Row],[CONCERN.UNIQUEPATH]], IF( ISNUMBER( SEARCH("/",Table151823[[#This Row],[CONCERN.UNIQUEPATH]])),SEARCH("/",Table151823[[#This Row],[CONCERN.UNIQUEPATH]])+1,1),255))</f>
        <v/>
      </c>
      <c r="J129" t="s">
        <v>2068</v>
      </c>
      <c r="K129" t="s">
        <v>2100</v>
      </c>
      <c r="L129" t="s">
        <v>1928</v>
      </c>
    </row>
    <row r="130" spans="1:12">
      <c r="A130" t="s">
        <v>1977</v>
      </c>
      <c r="B130" t="s">
        <v>2246</v>
      </c>
      <c r="E130" t="str">
        <f xml:space="preserve"> CONCATENATE( MID(Table151823[[#This Row],[PHASE]],2,3), MID(Table151823[[#This Row],[DELIVERABLE]],2,4), TRIM(SUBSTITUTE(MID(Table151823[[#This Row],[CONCERN.ID]],2,20),"X","") )  )</f>
        <v>10.461.</v>
      </c>
      <c r="F130" t="str">
        <f>TRIM(MID(Table151823[[#This Row],[CONCERN.UNIQUEPATH]], IF( ISNUMBER( SEARCH("/",Table151823[[#This Row],[CONCERN.UNIQUEPATH]])),SEARCH("/",Table151823[[#This Row],[CONCERN.UNIQUEPATH]])+1,1),255))</f>
        <v/>
      </c>
      <c r="J130" t="s">
        <v>2068</v>
      </c>
      <c r="K130" t="s">
        <v>2100</v>
      </c>
      <c r="L130" t="s">
        <v>1928</v>
      </c>
    </row>
    <row r="131" spans="1:12">
      <c r="A131" t="s">
        <v>1977</v>
      </c>
      <c r="B131" t="s">
        <v>2246</v>
      </c>
      <c r="E131" t="str">
        <f xml:space="preserve"> CONCATENATE( MID(Table151823[[#This Row],[PHASE]],2,3), MID(Table151823[[#This Row],[DELIVERABLE]],2,4), TRIM(SUBSTITUTE(MID(Table151823[[#This Row],[CONCERN.ID]],2,20),"X","") )  )</f>
        <v>10.461.</v>
      </c>
      <c r="F131" t="str">
        <f>TRIM(MID(Table151823[[#This Row],[CONCERN.UNIQUEPATH]], IF( ISNUMBER( SEARCH("/",Table151823[[#This Row],[CONCERN.UNIQUEPATH]])),SEARCH("/",Table151823[[#This Row],[CONCERN.UNIQUEPATH]])+1,1),255))</f>
        <v/>
      </c>
      <c r="J131" t="s">
        <v>2068</v>
      </c>
      <c r="K131" t="s">
        <v>2100</v>
      </c>
      <c r="L131" t="s">
        <v>1928</v>
      </c>
    </row>
    <row r="132" spans="1:12">
      <c r="A132" t="s">
        <v>1977</v>
      </c>
      <c r="B132" t="s">
        <v>2246</v>
      </c>
      <c r="E132" t="str">
        <f xml:space="preserve"> CONCATENATE( MID(Table151823[[#This Row],[PHASE]],2,3), MID(Table151823[[#This Row],[DELIVERABLE]],2,4), TRIM(SUBSTITUTE(MID(Table151823[[#This Row],[CONCERN.ID]],2,20),"X","") )  )</f>
        <v>10.461.</v>
      </c>
      <c r="F132" t="str">
        <f>TRIM(MID(Table151823[[#This Row],[CONCERN.UNIQUEPATH]], IF( ISNUMBER( SEARCH("/",Table151823[[#This Row],[CONCERN.UNIQUEPATH]])),SEARCH("/",Table151823[[#This Row],[CONCERN.UNIQUEPATH]])+1,1),255))</f>
        <v/>
      </c>
      <c r="J132" t="s">
        <v>2068</v>
      </c>
      <c r="K132" t="s">
        <v>2100</v>
      </c>
      <c r="L132" t="s">
        <v>1928</v>
      </c>
    </row>
    <row r="133" spans="1:12">
      <c r="A133" t="s">
        <v>1977</v>
      </c>
      <c r="B133" t="s">
        <v>2246</v>
      </c>
      <c r="E133" t="str">
        <f xml:space="preserve"> CONCATENATE( MID(Table151823[[#This Row],[PHASE]],2,3), MID(Table151823[[#This Row],[DELIVERABLE]],2,4), TRIM(SUBSTITUTE(MID(Table151823[[#This Row],[CONCERN.ID]],2,20),"X","") )  )</f>
        <v>10.461.</v>
      </c>
      <c r="F133" t="str">
        <f>TRIM(MID(Table151823[[#This Row],[CONCERN.UNIQUEPATH]], IF( ISNUMBER( SEARCH("/",Table151823[[#This Row],[CONCERN.UNIQUEPATH]])),SEARCH("/",Table151823[[#This Row],[CONCERN.UNIQUEPATH]])+1,1),255))</f>
        <v/>
      </c>
      <c r="J133" t="s">
        <v>2068</v>
      </c>
      <c r="K133" t="s">
        <v>2100</v>
      </c>
      <c r="L133" t="s">
        <v>1928</v>
      </c>
    </row>
    <row r="134" spans="1:12">
      <c r="A134" t="s">
        <v>1977</v>
      </c>
      <c r="B134" t="s">
        <v>2246</v>
      </c>
      <c r="E134" t="str">
        <f xml:space="preserve"> CONCATENATE( MID(Table151823[[#This Row],[PHASE]],2,3), MID(Table151823[[#This Row],[DELIVERABLE]],2,4), TRIM(SUBSTITUTE(MID(Table151823[[#This Row],[CONCERN.ID]],2,20),"X","") )  )</f>
        <v>10.461.</v>
      </c>
      <c r="F134" t="str">
        <f>TRIM(MID(Table151823[[#This Row],[CONCERN.UNIQUEPATH]], IF( ISNUMBER( SEARCH("/",Table151823[[#This Row],[CONCERN.UNIQUEPATH]])),SEARCH("/",Table151823[[#This Row],[CONCERN.UNIQUEPATH]])+1,1),255))</f>
        <v/>
      </c>
      <c r="J134" t="s">
        <v>2068</v>
      </c>
      <c r="K134" t="s">
        <v>2100</v>
      </c>
      <c r="L134" t="s">
        <v>1928</v>
      </c>
    </row>
    <row r="135" spans="1:12">
      <c r="A135" t="s">
        <v>1977</v>
      </c>
      <c r="B135" t="s">
        <v>2246</v>
      </c>
      <c r="E135" t="str">
        <f xml:space="preserve"> CONCATENATE( MID(Table151823[[#This Row],[PHASE]],2,3), MID(Table151823[[#This Row],[DELIVERABLE]],2,4), TRIM(SUBSTITUTE(MID(Table151823[[#This Row],[CONCERN.ID]],2,20),"X","") )  )</f>
        <v>10.461.</v>
      </c>
      <c r="F135" t="str">
        <f>TRIM(MID(Table151823[[#This Row],[CONCERN.UNIQUEPATH]], IF( ISNUMBER( SEARCH("/",Table151823[[#This Row],[CONCERN.UNIQUEPATH]])),SEARCH("/",Table151823[[#This Row],[CONCERN.UNIQUEPATH]])+1,1),255))</f>
        <v/>
      </c>
      <c r="J135" t="s">
        <v>2068</v>
      </c>
      <c r="K135" t="s">
        <v>2100</v>
      </c>
      <c r="L135" t="s">
        <v>1928</v>
      </c>
    </row>
    <row r="136" spans="1:12">
      <c r="A136" t="s">
        <v>1977</v>
      </c>
      <c r="B136" t="s">
        <v>2246</v>
      </c>
      <c r="E136" t="str">
        <f xml:space="preserve"> CONCATENATE( MID(Table151823[[#This Row],[PHASE]],2,3), MID(Table151823[[#This Row],[DELIVERABLE]],2,4), TRIM(SUBSTITUTE(MID(Table151823[[#This Row],[CONCERN.ID]],2,20),"X","") )  )</f>
        <v>10.461.</v>
      </c>
      <c r="F136" t="str">
        <f>TRIM(MID(Table151823[[#This Row],[CONCERN.UNIQUEPATH]], IF( ISNUMBER( SEARCH("/",Table151823[[#This Row],[CONCERN.UNIQUEPATH]])),SEARCH("/",Table151823[[#This Row],[CONCERN.UNIQUEPATH]])+1,1),255))</f>
        <v/>
      </c>
      <c r="J136" t="s">
        <v>2068</v>
      </c>
      <c r="K136" t="s">
        <v>2100</v>
      </c>
      <c r="L136" t="s">
        <v>1928</v>
      </c>
    </row>
    <row r="137" spans="1:12">
      <c r="A137" t="s">
        <v>1977</v>
      </c>
      <c r="B137" t="s">
        <v>2246</v>
      </c>
      <c r="E137" t="str">
        <f xml:space="preserve"> CONCATENATE( MID(Table151823[[#This Row],[PHASE]],2,3), MID(Table151823[[#This Row],[DELIVERABLE]],2,4), TRIM(SUBSTITUTE(MID(Table151823[[#This Row],[CONCERN.ID]],2,20),"X","") )  )</f>
        <v>10.461.</v>
      </c>
      <c r="F137" t="str">
        <f>TRIM(MID(Table151823[[#This Row],[CONCERN.UNIQUEPATH]], IF( ISNUMBER( SEARCH("/",Table151823[[#This Row],[CONCERN.UNIQUEPATH]])),SEARCH("/",Table151823[[#This Row],[CONCERN.UNIQUEPATH]])+1,1),255))</f>
        <v/>
      </c>
      <c r="J137" t="s">
        <v>2068</v>
      </c>
      <c r="K137" t="s">
        <v>2100</v>
      </c>
      <c r="L137" t="s">
        <v>1928</v>
      </c>
    </row>
    <row r="138" spans="1:12">
      <c r="A138" t="s">
        <v>1977</v>
      </c>
      <c r="B138" t="s">
        <v>2246</v>
      </c>
      <c r="E138" t="str">
        <f xml:space="preserve"> CONCATENATE( MID(Table151823[[#This Row],[PHASE]],2,3), MID(Table151823[[#This Row],[DELIVERABLE]],2,4), TRIM(SUBSTITUTE(MID(Table151823[[#This Row],[CONCERN.ID]],2,20),"X","") )  )</f>
        <v>10.461.</v>
      </c>
      <c r="F138" t="str">
        <f>TRIM(MID(Table151823[[#This Row],[CONCERN.UNIQUEPATH]], IF( ISNUMBER( SEARCH("/",Table151823[[#This Row],[CONCERN.UNIQUEPATH]])),SEARCH("/",Table151823[[#This Row],[CONCERN.UNIQUEPATH]])+1,1),255))</f>
        <v/>
      </c>
      <c r="J138" t="s">
        <v>2068</v>
      </c>
      <c r="K138" t="s">
        <v>2100</v>
      </c>
      <c r="L138" t="s">
        <v>1928</v>
      </c>
    </row>
    <row r="139" spans="1:12">
      <c r="A139" t="s">
        <v>1977</v>
      </c>
      <c r="B139" t="s">
        <v>2246</v>
      </c>
      <c r="E139" t="str">
        <f xml:space="preserve"> CONCATENATE( MID(Table151823[[#This Row],[PHASE]],2,3), MID(Table151823[[#This Row],[DELIVERABLE]],2,4), TRIM(SUBSTITUTE(MID(Table151823[[#This Row],[CONCERN.ID]],2,20),"X","") )  )</f>
        <v>10.461.</v>
      </c>
      <c r="F139" t="str">
        <f>TRIM(MID(Table151823[[#This Row],[CONCERN.UNIQUEPATH]], IF( ISNUMBER( SEARCH("/",Table151823[[#This Row],[CONCERN.UNIQUEPATH]])),SEARCH("/",Table151823[[#This Row],[CONCERN.UNIQUEPATH]])+1,1),255))</f>
        <v/>
      </c>
      <c r="J139" t="s">
        <v>2068</v>
      </c>
      <c r="L139" t="s">
        <v>1928</v>
      </c>
    </row>
    <row r="140" spans="1:12">
      <c r="A140" t="s">
        <v>1977</v>
      </c>
      <c r="B140" t="s">
        <v>2246</v>
      </c>
      <c r="E140" t="str">
        <f xml:space="preserve"> CONCATENATE( MID(Table151823[[#This Row],[PHASE]],2,3), MID(Table151823[[#This Row],[DELIVERABLE]],2,4), TRIM(SUBSTITUTE(MID(Table151823[[#This Row],[CONCERN.ID]],2,20),"X","") )  )</f>
        <v>10.461.</v>
      </c>
      <c r="F140" t="str">
        <f>TRIM(MID(Table151823[[#This Row],[CONCERN.UNIQUEPATH]], IF( ISNUMBER( SEARCH("/",Table151823[[#This Row],[CONCERN.UNIQUEPATH]])),SEARCH("/",Table151823[[#This Row],[CONCERN.UNIQUEPATH]])+1,1),255))</f>
        <v/>
      </c>
      <c r="J140" t="s">
        <v>2068</v>
      </c>
      <c r="L140" t="s">
        <v>1928</v>
      </c>
    </row>
    <row r="141" spans="1:12">
      <c r="A141" t="s">
        <v>1977</v>
      </c>
      <c r="B141" t="s">
        <v>2246</v>
      </c>
      <c r="E141" t="str">
        <f xml:space="preserve"> CONCATENATE( MID(Table151823[[#This Row],[PHASE]],2,3), MID(Table151823[[#This Row],[DELIVERABLE]],2,4), TRIM(SUBSTITUTE(MID(Table151823[[#This Row],[CONCERN.ID]],2,20),"X","") )  )</f>
        <v>10.461.</v>
      </c>
      <c r="F141" t="str">
        <f>TRIM(MID(Table151823[[#This Row],[CONCERN.UNIQUEPATH]], IF( ISNUMBER( SEARCH("/",Table151823[[#This Row],[CONCERN.UNIQUEPATH]])),SEARCH("/",Table151823[[#This Row],[CONCERN.UNIQUEPATH]])+1,1),255))</f>
        <v/>
      </c>
      <c r="J141" t="s">
        <v>2068</v>
      </c>
      <c r="L141" t="s">
        <v>1928</v>
      </c>
    </row>
    <row r="142" spans="1:12">
      <c r="A142" t="s">
        <v>1977</v>
      </c>
      <c r="B142" t="s">
        <v>2246</v>
      </c>
      <c r="E142" t="str">
        <f xml:space="preserve"> CONCATENATE( MID(Table151823[[#This Row],[PHASE]],2,3), MID(Table151823[[#This Row],[DELIVERABLE]],2,4), TRIM(SUBSTITUTE(MID(Table151823[[#This Row],[CONCERN.ID]],2,20),"X","") )  )</f>
        <v>10.461.</v>
      </c>
      <c r="F142" t="str">
        <f>TRIM(MID(Table151823[[#This Row],[CONCERN.UNIQUEPATH]], IF( ISNUMBER( SEARCH("/",Table151823[[#This Row],[CONCERN.UNIQUEPATH]])),SEARCH("/",Table151823[[#This Row],[CONCERN.UNIQUEPATH]])+1,1),255))</f>
        <v/>
      </c>
      <c r="J142" t="s">
        <v>2068</v>
      </c>
      <c r="L142" t="s">
        <v>1928</v>
      </c>
    </row>
    <row r="143" spans="1:12">
      <c r="A143" t="s">
        <v>1977</v>
      </c>
      <c r="B143" t="s">
        <v>2246</v>
      </c>
      <c r="E143" t="str">
        <f xml:space="preserve"> CONCATENATE( MID(Table151823[[#This Row],[PHASE]],2,3), MID(Table151823[[#This Row],[DELIVERABLE]],2,4), TRIM(SUBSTITUTE(MID(Table151823[[#This Row],[CONCERN.ID]],2,20),"X","") )  )</f>
        <v>10.461.</v>
      </c>
      <c r="F143" t="str">
        <f>TRIM(MID(Table151823[[#This Row],[CONCERN.UNIQUEPATH]], IF( ISNUMBER( SEARCH("/",Table151823[[#This Row],[CONCERN.UNIQUEPATH]])),SEARCH("/",Table151823[[#This Row],[CONCERN.UNIQUEPATH]])+1,1),255))</f>
        <v/>
      </c>
      <c r="J143" t="s">
        <v>2068</v>
      </c>
      <c r="K143" t="s">
        <v>2052</v>
      </c>
      <c r="L143" t="s">
        <v>1928</v>
      </c>
    </row>
    <row r="144" spans="1:12">
      <c r="A144" t="s">
        <v>1977</v>
      </c>
      <c r="B144" t="s">
        <v>2246</v>
      </c>
      <c r="E144" t="str">
        <f xml:space="preserve"> CONCATENATE( MID(Table151823[[#This Row],[PHASE]],2,3), MID(Table151823[[#This Row],[DELIVERABLE]],2,4), TRIM(SUBSTITUTE(MID(Table151823[[#This Row],[CONCERN.ID]],2,20),"X","") )  )</f>
        <v>10.461.</v>
      </c>
      <c r="F144" t="str">
        <f>TRIM(MID(Table151823[[#This Row],[CONCERN.UNIQUEPATH]], IF( ISNUMBER( SEARCH("/",Table151823[[#This Row],[CONCERN.UNIQUEPATH]])),SEARCH("/",Table151823[[#This Row],[CONCERN.UNIQUEPATH]])+1,1),255))</f>
        <v/>
      </c>
      <c r="J144" t="s">
        <v>2068</v>
      </c>
      <c r="K144" t="s">
        <v>2086</v>
      </c>
      <c r="L144" t="s">
        <v>1928</v>
      </c>
    </row>
    <row r="145" spans="1:12">
      <c r="A145" t="s">
        <v>1977</v>
      </c>
      <c r="B145" t="s">
        <v>2246</v>
      </c>
      <c r="E145" t="str">
        <f xml:space="preserve"> CONCATENATE( MID(Table151823[[#This Row],[PHASE]],2,3), MID(Table151823[[#This Row],[DELIVERABLE]],2,4), TRIM(SUBSTITUTE(MID(Table151823[[#This Row],[CONCERN.ID]],2,20),"X","") )  )</f>
        <v>10.461.</v>
      </c>
      <c r="F145" t="str">
        <f>TRIM(MID(Table151823[[#This Row],[CONCERN.UNIQUEPATH]], IF( ISNUMBER( SEARCH("/",Table151823[[#This Row],[CONCERN.UNIQUEPATH]])),SEARCH("/",Table151823[[#This Row],[CONCERN.UNIQUEPATH]])+1,1),255))</f>
        <v/>
      </c>
      <c r="J145" t="s">
        <v>2068</v>
      </c>
      <c r="K145" t="s">
        <v>2086</v>
      </c>
      <c r="L145" t="s">
        <v>1928</v>
      </c>
    </row>
    <row r="146" spans="1:12">
      <c r="A146" t="s">
        <v>1977</v>
      </c>
      <c r="B146" t="s">
        <v>2246</v>
      </c>
      <c r="E146" t="str">
        <f xml:space="preserve"> CONCATENATE( MID(Table151823[[#This Row],[PHASE]],2,3), MID(Table151823[[#This Row],[DELIVERABLE]],2,4), TRIM(SUBSTITUTE(MID(Table151823[[#This Row],[CONCERN.ID]],2,20),"X","") )  )</f>
        <v>10.461.</v>
      </c>
      <c r="F146" t="str">
        <f>TRIM(MID(Table151823[[#This Row],[CONCERN.UNIQUEPATH]], IF( ISNUMBER( SEARCH("/",Table151823[[#This Row],[CONCERN.UNIQUEPATH]])),SEARCH("/",Table151823[[#This Row],[CONCERN.UNIQUEPATH]])+1,1),255))</f>
        <v/>
      </c>
      <c r="J146" t="s">
        <v>2068</v>
      </c>
      <c r="K146" t="s">
        <v>2086</v>
      </c>
      <c r="L146" t="s">
        <v>1928</v>
      </c>
    </row>
    <row r="147" spans="1:12">
      <c r="A147" t="s">
        <v>1977</v>
      </c>
      <c r="B147" t="s">
        <v>2246</v>
      </c>
      <c r="E147" t="str">
        <f xml:space="preserve"> CONCATENATE( MID(Table151823[[#This Row],[PHASE]],2,3), MID(Table151823[[#This Row],[DELIVERABLE]],2,4), TRIM(SUBSTITUTE(MID(Table151823[[#This Row],[CONCERN.ID]],2,20),"X","") )  )</f>
        <v>10.461.</v>
      </c>
      <c r="F147" t="str">
        <f>TRIM(MID(Table151823[[#This Row],[CONCERN.UNIQUEPATH]], IF( ISNUMBER( SEARCH("/",Table151823[[#This Row],[CONCERN.UNIQUEPATH]])),SEARCH("/",Table151823[[#This Row],[CONCERN.UNIQUEPATH]])+1,1),255))</f>
        <v/>
      </c>
      <c r="J147" t="s">
        <v>2068</v>
      </c>
      <c r="K147" t="s">
        <v>2100</v>
      </c>
      <c r="L147" t="s">
        <v>1928</v>
      </c>
    </row>
    <row r="148" spans="1:12">
      <c r="A148" t="s">
        <v>1977</v>
      </c>
      <c r="B148" t="s">
        <v>2246</v>
      </c>
      <c r="E148" t="str">
        <f xml:space="preserve"> CONCATENATE( MID(Table151823[[#This Row],[PHASE]],2,3), MID(Table151823[[#This Row],[DELIVERABLE]],2,4), TRIM(SUBSTITUTE(MID(Table151823[[#This Row],[CONCERN.ID]],2,20),"X","") )  )</f>
        <v>10.461.</v>
      </c>
      <c r="F148" t="str">
        <f>TRIM(MID(Table151823[[#This Row],[CONCERN.UNIQUEPATH]], IF( ISNUMBER( SEARCH("/",Table151823[[#This Row],[CONCERN.UNIQUEPATH]])),SEARCH("/",Table151823[[#This Row],[CONCERN.UNIQUEPATH]])+1,1),255))</f>
        <v/>
      </c>
      <c r="J148" t="s">
        <v>2068</v>
      </c>
      <c r="K148" t="s">
        <v>2120</v>
      </c>
      <c r="L148" t="s">
        <v>1928</v>
      </c>
    </row>
    <row r="149" spans="1:12">
      <c r="A149" t="s">
        <v>1977</v>
      </c>
      <c r="B149" t="s">
        <v>2246</v>
      </c>
      <c r="E149" t="str">
        <f xml:space="preserve"> CONCATENATE( MID(Table151823[[#This Row],[PHASE]],2,3), MID(Table151823[[#This Row],[DELIVERABLE]],2,4), TRIM(SUBSTITUTE(MID(Table151823[[#This Row],[CONCERN.ID]],2,20),"X","") )  )</f>
        <v>10.461.</v>
      </c>
      <c r="F149" t="str">
        <f>TRIM(MID(Table151823[[#This Row],[CONCERN.UNIQUEPATH]], IF( ISNUMBER( SEARCH("/",Table151823[[#This Row],[CONCERN.UNIQUEPATH]])),SEARCH("/",Table151823[[#This Row],[CONCERN.UNIQUEPATH]])+1,1),255))</f>
        <v/>
      </c>
      <c r="J149" t="s">
        <v>2068</v>
      </c>
      <c r="K149" t="s">
        <v>2120</v>
      </c>
      <c r="L149" t="s">
        <v>1928</v>
      </c>
    </row>
    <row r="150" spans="1:12">
      <c r="A150" t="s">
        <v>1977</v>
      </c>
      <c r="B150" t="s">
        <v>2246</v>
      </c>
      <c r="E150" t="str">
        <f xml:space="preserve"> CONCATENATE( MID(Table151823[[#This Row],[PHASE]],2,3), MID(Table151823[[#This Row],[DELIVERABLE]],2,4), TRIM(SUBSTITUTE(MID(Table151823[[#This Row],[CONCERN.ID]],2,20),"X","") )  )</f>
        <v>10.461.</v>
      </c>
      <c r="F150" t="str">
        <f>TRIM(MID(Table151823[[#This Row],[CONCERN.UNIQUEPATH]], IF( ISNUMBER( SEARCH("/",Table151823[[#This Row],[CONCERN.UNIQUEPATH]])),SEARCH("/",Table151823[[#This Row],[CONCERN.UNIQUEPATH]])+1,1),255))</f>
        <v/>
      </c>
      <c r="J150" t="s">
        <v>2068</v>
      </c>
      <c r="K150" t="s">
        <v>2120</v>
      </c>
      <c r="L150" t="s">
        <v>1928</v>
      </c>
    </row>
    <row r="151" spans="1:12">
      <c r="A151" t="s">
        <v>1977</v>
      </c>
      <c r="B151" t="s">
        <v>2246</v>
      </c>
      <c r="E151" t="str">
        <f xml:space="preserve"> CONCATENATE( MID(Table151823[[#This Row],[PHASE]],2,3), MID(Table151823[[#This Row],[DELIVERABLE]],2,4), TRIM(SUBSTITUTE(MID(Table151823[[#This Row],[CONCERN.ID]],2,20),"X","") )  )</f>
        <v>10.461.</v>
      </c>
      <c r="F151" t="str">
        <f>TRIM(MID(Table151823[[#This Row],[CONCERN.UNIQUEPATH]], IF( ISNUMBER( SEARCH("/",Table151823[[#This Row],[CONCERN.UNIQUEPATH]])),SEARCH("/",Table151823[[#This Row],[CONCERN.UNIQUEPATH]])+1,1),255))</f>
        <v/>
      </c>
      <c r="J151" t="s">
        <v>2068</v>
      </c>
      <c r="K151" t="s">
        <v>2094</v>
      </c>
      <c r="L151" t="s">
        <v>1928</v>
      </c>
    </row>
    <row r="152" spans="1:12">
      <c r="A152" t="s">
        <v>1977</v>
      </c>
      <c r="B152" t="s">
        <v>2246</v>
      </c>
      <c r="E152" t="str">
        <f xml:space="preserve"> CONCATENATE( MID(Table151823[[#This Row],[PHASE]],2,3), MID(Table151823[[#This Row],[DELIVERABLE]],2,4), TRIM(SUBSTITUTE(MID(Table151823[[#This Row],[CONCERN.ID]],2,20),"X","") )  )</f>
        <v>10.461.</v>
      </c>
      <c r="F152" t="str">
        <f>TRIM(MID(Table151823[[#This Row],[CONCERN.UNIQUEPATH]], IF( ISNUMBER( SEARCH("/",Table151823[[#This Row],[CONCERN.UNIQUEPATH]])),SEARCH("/",Table151823[[#This Row],[CONCERN.UNIQUEPATH]])+1,1),255))</f>
        <v/>
      </c>
      <c r="J152" t="s">
        <v>2068</v>
      </c>
      <c r="K152" t="s">
        <v>2094</v>
      </c>
      <c r="L152" t="s">
        <v>1928</v>
      </c>
    </row>
    <row r="153" spans="1:12">
      <c r="A153" t="s">
        <v>1977</v>
      </c>
      <c r="B153" t="s">
        <v>2246</v>
      </c>
      <c r="E153" t="str">
        <f xml:space="preserve"> CONCATENATE( MID(Table151823[[#This Row],[PHASE]],2,3), MID(Table151823[[#This Row],[DELIVERABLE]],2,4), TRIM(SUBSTITUTE(MID(Table151823[[#This Row],[CONCERN.ID]],2,20),"X","") )  )</f>
        <v>10.461.</v>
      </c>
      <c r="F153" t="str">
        <f>TRIM(MID(Table151823[[#This Row],[CONCERN.UNIQUEPATH]], IF( ISNUMBER( SEARCH("/",Table151823[[#This Row],[CONCERN.UNIQUEPATH]])),SEARCH("/",Table151823[[#This Row],[CONCERN.UNIQUEPATH]])+1,1),255))</f>
        <v/>
      </c>
      <c r="J153" t="s">
        <v>2068</v>
      </c>
      <c r="K153" t="s">
        <v>2094</v>
      </c>
      <c r="L153" t="s">
        <v>1928</v>
      </c>
    </row>
    <row r="154" spans="1:12">
      <c r="A154" t="s">
        <v>1977</v>
      </c>
      <c r="B154" t="s">
        <v>2246</v>
      </c>
      <c r="E154" t="str">
        <f xml:space="preserve"> CONCATENATE( MID(Table151823[[#This Row],[PHASE]],2,3), MID(Table151823[[#This Row],[DELIVERABLE]],2,4), TRIM(SUBSTITUTE(MID(Table151823[[#This Row],[CONCERN.ID]],2,20),"X","") )  )</f>
        <v>10.461.</v>
      </c>
      <c r="F154" t="str">
        <f>TRIM(MID(Table151823[[#This Row],[CONCERN.UNIQUEPATH]], IF( ISNUMBER( SEARCH("/",Table151823[[#This Row],[CONCERN.UNIQUEPATH]])),SEARCH("/",Table151823[[#This Row],[CONCERN.UNIQUEPATH]])+1,1),255))</f>
        <v/>
      </c>
      <c r="J154" t="s">
        <v>2068</v>
      </c>
      <c r="K154" t="s">
        <v>2098</v>
      </c>
      <c r="L154" t="s">
        <v>1928</v>
      </c>
    </row>
    <row r="155" spans="1:12">
      <c r="A155" t="s">
        <v>1977</v>
      </c>
      <c r="B155" t="s">
        <v>2246</v>
      </c>
      <c r="E155" t="str">
        <f xml:space="preserve"> CONCATENATE( MID(Table151823[[#This Row],[PHASE]],2,3), MID(Table151823[[#This Row],[DELIVERABLE]],2,4), TRIM(SUBSTITUTE(MID(Table151823[[#This Row],[CONCERN.ID]],2,20),"X","") )  )</f>
        <v>10.461.</v>
      </c>
      <c r="F155" t="str">
        <f>TRIM(MID(Table151823[[#This Row],[CONCERN.UNIQUEPATH]], IF( ISNUMBER( SEARCH("/",Table151823[[#This Row],[CONCERN.UNIQUEPATH]])),SEARCH("/",Table151823[[#This Row],[CONCERN.UNIQUEPATH]])+1,1),255))</f>
        <v/>
      </c>
      <c r="J155" t="s">
        <v>2068</v>
      </c>
      <c r="K155" t="s">
        <v>2098</v>
      </c>
      <c r="L155" t="s">
        <v>1928</v>
      </c>
    </row>
    <row r="156" spans="1:12">
      <c r="A156" t="s">
        <v>1977</v>
      </c>
      <c r="B156" t="s">
        <v>2246</v>
      </c>
      <c r="E156" t="str">
        <f xml:space="preserve"> CONCATENATE( MID(Table151823[[#This Row],[PHASE]],2,3), MID(Table151823[[#This Row],[DELIVERABLE]],2,4), TRIM(SUBSTITUTE(MID(Table151823[[#This Row],[CONCERN.ID]],2,20),"X","") )  )</f>
        <v>10.461.</v>
      </c>
      <c r="F156" t="str">
        <f>TRIM(MID(Table151823[[#This Row],[CONCERN.UNIQUEPATH]], IF( ISNUMBER( SEARCH("/",Table151823[[#This Row],[CONCERN.UNIQUEPATH]])),SEARCH("/",Table151823[[#This Row],[CONCERN.UNIQUEPATH]])+1,1),255))</f>
        <v/>
      </c>
      <c r="J156" t="s">
        <v>2068</v>
      </c>
      <c r="K156" t="s">
        <v>2032</v>
      </c>
      <c r="L156" t="s">
        <v>1928</v>
      </c>
    </row>
    <row r="157" spans="1:12">
      <c r="A157" t="s">
        <v>1977</v>
      </c>
      <c r="B157" t="s">
        <v>2246</v>
      </c>
      <c r="E157" t="str">
        <f xml:space="preserve"> CONCATENATE( MID(Table151823[[#This Row],[PHASE]],2,3), MID(Table151823[[#This Row],[DELIVERABLE]],2,4), TRIM(SUBSTITUTE(MID(Table151823[[#This Row],[CONCERN.ID]],2,20),"X","") )  )</f>
        <v>10.461.</v>
      </c>
      <c r="F157" t="str">
        <f>TRIM(MID(Table151823[[#This Row],[CONCERN.UNIQUEPATH]], IF( ISNUMBER( SEARCH("/",Table151823[[#This Row],[CONCERN.UNIQUEPATH]])),SEARCH("/",Table151823[[#This Row],[CONCERN.UNIQUEPATH]])+1,1),255))</f>
        <v/>
      </c>
      <c r="J157" t="s">
        <v>2068</v>
      </c>
      <c r="K157" t="s">
        <v>2100</v>
      </c>
      <c r="L157" t="s">
        <v>1928</v>
      </c>
    </row>
    <row r="158" spans="1:12">
      <c r="A158" t="s">
        <v>1977</v>
      </c>
      <c r="B158" t="s">
        <v>2246</v>
      </c>
      <c r="E158" t="str">
        <f xml:space="preserve"> CONCATENATE( MID(Table151823[[#This Row],[PHASE]],2,3), MID(Table151823[[#This Row],[DELIVERABLE]],2,4), TRIM(SUBSTITUTE(MID(Table151823[[#This Row],[CONCERN.ID]],2,20),"X","") )  )</f>
        <v>10.461.</v>
      </c>
      <c r="F158" t="str">
        <f>TRIM(MID(Table151823[[#This Row],[CONCERN.UNIQUEPATH]], IF( ISNUMBER( SEARCH("/",Table151823[[#This Row],[CONCERN.UNIQUEPATH]])),SEARCH("/",Table151823[[#This Row],[CONCERN.UNIQUEPATH]])+1,1),255))</f>
        <v/>
      </c>
      <c r="J158" t="s">
        <v>2068</v>
      </c>
      <c r="K158" t="s">
        <v>2100</v>
      </c>
      <c r="L158" t="s">
        <v>1928</v>
      </c>
    </row>
    <row r="159" spans="1:12">
      <c r="A159" t="s">
        <v>1977</v>
      </c>
      <c r="B159" t="s">
        <v>2246</v>
      </c>
      <c r="E159" t="str">
        <f xml:space="preserve"> CONCATENATE( MID(Table151823[[#This Row],[PHASE]],2,3), MID(Table151823[[#This Row],[DELIVERABLE]],2,4), TRIM(SUBSTITUTE(MID(Table151823[[#This Row],[CONCERN.ID]],2,20),"X","") )  )</f>
        <v>10.461.</v>
      </c>
      <c r="F159" t="str">
        <f>TRIM(MID(Table151823[[#This Row],[CONCERN.UNIQUEPATH]], IF( ISNUMBER( SEARCH("/",Table151823[[#This Row],[CONCERN.UNIQUEPATH]])),SEARCH("/",Table151823[[#This Row],[CONCERN.UNIQUEPATH]])+1,1),255))</f>
        <v/>
      </c>
      <c r="J159" t="s">
        <v>2068</v>
      </c>
      <c r="K159" t="s">
        <v>1946</v>
      </c>
      <c r="L159" t="s">
        <v>1928</v>
      </c>
    </row>
    <row r="160" spans="1:12">
      <c r="A160" t="s">
        <v>1977</v>
      </c>
      <c r="B160" t="s">
        <v>2246</v>
      </c>
      <c r="E160" t="str">
        <f xml:space="preserve"> CONCATENATE( MID(Table151823[[#This Row],[PHASE]],2,3), MID(Table151823[[#This Row],[DELIVERABLE]],2,4), TRIM(SUBSTITUTE(MID(Table151823[[#This Row],[CONCERN.ID]],2,20),"X","") )  )</f>
        <v>10.461.</v>
      </c>
      <c r="F160" t="str">
        <f>TRIM(MID(Table151823[[#This Row],[CONCERN.UNIQUEPATH]], IF( ISNUMBER( SEARCH("/",Table151823[[#This Row],[CONCERN.UNIQUEPATH]])),SEARCH("/",Table151823[[#This Row],[CONCERN.UNIQUEPATH]])+1,1),255))</f>
        <v/>
      </c>
      <c r="J160" t="s">
        <v>2068</v>
      </c>
      <c r="K160" t="s">
        <v>2100</v>
      </c>
      <c r="L160" t="s">
        <v>1928</v>
      </c>
    </row>
    <row r="161" spans="1:12">
      <c r="A161" t="s">
        <v>1977</v>
      </c>
      <c r="B161" t="s">
        <v>2246</v>
      </c>
      <c r="E161" t="str">
        <f xml:space="preserve"> CONCATENATE( MID(Table151823[[#This Row],[PHASE]],2,3), MID(Table151823[[#This Row],[DELIVERABLE]],2,4), TRIM(SUBSTITUTE(MID(Table151823[[#This Row],[CONCERN.ID]],2,20),"X","") )  )</f>
        <v>10.461.</v>
      </c>
      <c r="F161" t="str">
        <f>TRIM(MID(Table151823[[#This Row],[CONCERN.UNIQUEPATH]], IF( ISNUMBER( SEARCH("/",Table151823[[#This Row],[CONCERN.UNIQUEPATH]])),SEARCH("/",Table151823[[#This Row],[CONCERN.UNIQUEPATH]])+1,1),255))</f>
        <v/>
      </c>
      <c r="J161" t="s">
        <v>2068</v>
      </c>
      <c r="K161" t="s">
        <v>2098</v>
      </c>
      <c r="L161" t="s">
        <v>1928</v>
      </c>
    </row>
    <row r="162" spans="1:12">
      <c r="A162" t="s">
        <v>1977</v>
      </c>
      <c r="B162" t="s">
        <v>2246</v>
      </c>
      <c r="E162" t="str">
        <f xml:space="preserve"> CONCATENATE( MID(Table151823[[#This Row],[PHASE]],2,3), MID(Table151823[[#This Row],[DELIVERABLE]],2,4), TRIM(SUBSTITUTE(MID(Table151823[[#This Row],[CONCERN.ID]],2,20),"X","") )  )</f>
        <v>10.461.</v>
      </c>
      <c r="F162" t="str">
        <f>TRIM(MID(Table151823[[#This Row],[CONCERN.UNIQUEPATH]], IF( ISNUMBER( SEARCH("/",Table151823[[#This Row],[CONCERN.UNIQUEPATH]])),SEARCH("/",Table151823[[#This Row],[CONCERN.UNIQUEPATH]])+1,1),255))</f>
        <v/>
      </c>
      <c r="J162" t="s">
        <v>2068</v>
      </c>
      <c r="K162" t="s">
        <v>2098</v>
      </c>
      <c r="L162" t="s">
        <v>1928</v>
      </c>
    </row>
    <row r="163" spans="1:12">
      <c r="A163" t="s">
        <v>1977</v>
      </c>
      <c r="B163" t="s">
        <v>2246</v>
      </c>
      <c r="E163" t="str">
        <f xml:space="preserve"> CONCATENATE( MID(Table151823[[#This Row],[PHASE]],2,3), MID(Table151823[[#This Row],[DELIVERABLE]],2,4), TRIM(SUBSTITUTE(MID(Table151823[[#This Row],[CONCERN.ID]],2,20),"X","") )  )</f>
        <v>10.461.</v>
      </c>
      <c r="F163" t="str">
        <f>TRIM(MID(Table151823[[#This Row],[CONCERN.UNIQUEPATH]], IF( ISNUMBER( SEARCH("/",Table151823[[#This Row],[CONCERN.UNIQUEPATH]])),SEARCH("/",Table151823[[#This Row],[CONCERN.UNIQUEPATH]])+1,1),255))</f>
        <v/>
      </c>
      <c r="J163" t="s">
        <v>2068</v>
      </c>
      <c r="K163" t="s">
        <v>2098</v>
      </c>
      <c r="L163" t="s">
        <v>1928</v>
      </c>
    </row>
    <row r="164" spans="1:12">
      <c r="A164" t="s">
        <v>1977</v>
      </c>
      <c r="B164" t="s">
        <v>2246</v>
      </c>
      <c r="E164" t="str">
        <f xml:space="preserve"> CONCATENATE( MID(Table151823[[#This Row],[PHASE]],2,3), MID(Table151823[[#This Row],[DELIVERABLE]],2,4), TRIM(SUBSTITUTE(MID(Table151823[[#This Row],[CONCERN.ID]],2,20),"X","") )  )</f>
        <v>10.461.</v>
      </c>
      <c r="F164" t="str">
        <f>TRIM(MID(Table151823[[#This Row],[CONCERN.UNIQUEPATH]], IF( ISNUMBER( SEARCH("/",Table151823[[#This Row],[CONCERN.UNIQUEPATH]])),SEARCH("/",Table151823[[#This Row],[CONCERN.UNIQUEPATH]])+1,1),255))</f>
        <v/>
      </c>
      <c r="J164" t="s">
        <v>2068</v>
      </c>
      <c r="K164" t="s">
        <v>2098</v>
      </c>
      <c r="L164" t="s">
        <v>1928</v>
      </c>
    </row>
    <row r="165" spans="1:12">
      <c r="A165" t="s">
        <v>1977</v>
      </c>
      <c r="B165" t="s">
        <v>2246</v>
      </c>
      <c r="E165" t="str">
        <f xml:space="preserve"> CONCATENATE( MID(Table151823[[#This Row],[PHASE]],2,3), MID(Table151823[[#This Row],[DELIVERABLE]],2,4), TRIM(SUBSTITUTE(MID(Table151823[[#This Row],[CONCERN.ID]],2,20),"X","") )  )</f>
        <v>10.461.</v>
      </c>
      <c r="F165" t="str">
        <f>TRIM(MID(Table151823[[#This Row],[CONCERN.UNIQUEPATH]], IF( ISNUMBER( SEARCH("/",Table151823[[#This Row],[CONCERN.UNIQUEPATH]])),SEARCH("/",Table151823[[#This Row],[CONCERN.UNIQUEPATH]])+1,1),255))</f>
        <v/>
      </c>
      <c r="J165" t="s">
        <v>2068</v>
      </c>
      <c r="K165" t="s">
        <v>2098</v>
      </c>
      <c r="L165" t="s">
        <v>1928</v>
      </c>
    </row>
    <row r="166" spans="1:12">
      <c r="A166" t="s">
        <v>1977</v>
      </c>
      <c r="B166" t="s">
        <v>2246</v>
      </c>
      <c r="E166" t="str">
        <f xml:space="preserve"> CONCATENATE( MID(Table151823[[#This Row],[PHASE]],2,3), MID(Table151823[[#This Row],[DELIVERABLE]],2,4), TRIM(SUBSTITUTE(MID(Table151823[[#This Row],[CONCERN.ID]],2,20),"X","") )  )</f>
        <v>10.461.</v>
      </c>
      <c r="F166" t="str">
        <f>TRIM(MID(Table151823[[#This Row],[CONCERN.UNIQUEPATH]], IF( ISNUMBER( SEARCH("/",Table151823[[#This Row],[CONCERN.UNIQUEPATH]])),SEARCH("/",Table151823[[#This Row],[CONCERN.UNIQUEPATH]])+1,1),255))</f>
        <v/>
      </c>
      <c r="J166" t="s">
        <v>2068</v>
      </c>
      <c r="K166" t="s">
        <v>2094</v>
      </c>
      <c r="L166" t="s">
        <v>1928</v>
      </c>
    </row>
    <row r="167" spans="1:12">
      <c r="A167" t="s">
        <v>1977</v>
      </c>
      <c r="B167" t="s">
        <v>2246</v>
      </c>
      <c r="E167" t="str">
        <f xml:space="preserve"> CONCATENATE( MID(Table151823[[#This Row],[PHASE]],2,3), MID(Table151823[[#This Row],[DELIVERABLE]],2,4), TRIM(SUBSTITUTE(MID(Table151823[[#This Row],[CONCERN.ID]],2,20),"X","") )  )</f>
        <v>10.461.</v>
      </c>
      <c r="F167" t="str">
        <f>TRIM(MID(Table151823[[#This Row],[CONCERN.UNIQUEPATH]], IF( ISNUMBER( SEARCH("/",Table151823[[#This Row],[CONCERN.UNIQUEPATH]])),SEARCH("/",Table151823[[#This Row],[CONCERN.UNIQUEPATH]])+1,1),255))</f>
        <v/>
      </c>
      <c r="J167" t="s">
        <v>2068</v>
      </c>
      <c r="K167" t="s">
        <v>2098</v>
      </c>
      <c r="L167" t="s">
        <v>1928</v>
      </c>
    </row>
    <row r="168" spans="1:12">
      <c r="A168" t="s">
        <v>1977</v>
      </c>
      <c r="B168" t="s">
        <v>2246</v>
      </c>
      <c r="E168" t="str">
        <f xml:space="preserve"> CONCATENATE( MID(Table151823[[#This Row],[PHASE]],2,3), MID(Table151823[[#This Row],[DELIVERABLE]],2,4), TRIM(SUBSTITUTE(MID(Table151823[[#This Row],[CONCERN.ID]],2,20),"X","") )  )</f>
        <v>10.461.</v>
      </c>
      <c r="F168" t="str">
        <f>TRIM(MID(Table151823[[#This Row],[CONCERN.UNIQUEPATH]], IF( ISNUMBER( SEARCH("/",Table151823[[#This Row],[CONCERN.UNIQUEPATH]])),SEARCH("/",Table151823[[#This Row],[CONCERN.UNIQUEPATH]])+1,1),255))</f>
        <v/>
      </c>
      <c r="J168" t="s">
        <v>2068</v>
      </c>
      <c r="K168" t="s">
        <v>2098</v>
      </c>
      <c r="L168" t="s">
        <v>1928</v>
      </c>
    </row>
    <row r="169" spans="1:12">
      <c r="A169" t="s">
        <v>1977</v>
      </c>
      <c r="B169" t="s">
        <v>2246</v>
      </c>
      <c r="E169" t="str">
        <f xml:space="preserve"> CONCATENATE( MID(Table151823[[#This Row],[PHASE]],2,3), MID(Table151823[[#This Row],[DELIVERABLE]],2,4), TRIM(SUBSTITUTE(MID(Table151823[[#This Row],[CONCERN.ID]],2,20),"X","") )  )</f>
        <v>10.461.</v>
      </c>
      <c r="F169" t="str">
        <f>TRIM(MID(Table151823[[#This Row],[CONCERN.UNIQUEPATH]], IF( ISNUMBER( SEARCH("/",Table151823[[#This Row],[CONCERN.UNIQUEPATH]])),SEARCH("/",Table151823[[#This Row],[CONCERN.UNIQUEPATH]])+1,1),255))</f>
        <v/>
      </c>
      <c r="J169" t="s">
        <v>2068</v>
      </c>
      <c r="K169" t="s">
        <v>2098</v>
      </c>
      <c r="L169" t="s">
        <v>1928</v>
      </c>
    </row>
    <row r="170" spans="1:12">
      <c r="A170" t="s">
        <v>1977</v>
      </c>
      <c r="B170" t="s">
        <v>2246</v>
      </c>
      <c r="E170" t="str">
        <f xml:space="preserve"> CONCATENATE( MID(Table151823[[#This Row],[PHASE]],2,3), MID(Table151823[[#This Row],[DELIVERABLE]],2,4), TRIM(SUBSTITUTE(MID(Table151823[[#This Row],[CONCERN.ID]],2,20),"X","") )  )</f>
        <v>10.461.</v>
      </c>
      <c r="F170" t="str">
        <f>TRIM(MID(Table151823[[#This Row],[CONCERN.UNIQUEPATH]], IF( ISNUMBER( SEARCH("/",Table151823[[#This Row],[CONCERN.UNIQUEPATH]])),SEARCH("/",Table151823[[#This Row],[CONCERN.UNIQUEPATH]])+1,1),255))</f>
        <v/>
      </c>
      <c r="J170" t="s">
        <v>2068</v>
      </c>
      <c r="K170" t="s">
        <v>2126</v>
      </c>
      <c r="L170" t="s">
        <v>1928</v>
      </c>
    </row>
    <row r="171" spans="1:12">
      <c r="A171" t="s">
        <v>1977</v>
      </c>
      <c r="B171" t="s">
        <v>2246</v>
      </c>
      <c r="E171" t="str">
        <f xml:space="preserve"> CONCATENATE( MID(Table151823[[#This Row],[PHASE]],2,3), MID(Table151823[[#This Row],[DELIVERABLE]],2,4), TRIM(SUBSTITUTE(MID(Table151823[[#This Row],[CONCERN.ID]],2,20),"X","") )  )</f>
        <v>10.461.</v>
      </c>
      <c r="F171" t="str">
        <f>TRIM(MID(Table151823[[#This Row],[CONCERN.UNIQUEPATH]], IF( ISNUMBER( SEARCH("/",Table151823[[#This Row],[CONCERN.UNIQUEPATH]])),SEARCH("/",Table151823[[#This Row],[CONCERN.UNIQUEPATH]])+1,1),255))</f>
        <v/>
      </c>
      <c r="J171" t="s">
        <v>2068</v>
      </c>
      <c r="K171" t="s">
        <v>2098</v>
      </c>
      <c r="L171" t="s">
        <v>1928</v>
      </c>
    </row>
    <row r="172" spans="1:12">
      <c r="A172" t="s">
        <v>1977</v>
      </c>
      <c r="B172" t="s">
        <v>2246</v>
      </c>
      <c r="E172" t="str">
        <f xml:space="preserve"> CONCATENATE( MID(Table151823[[#This Row],[PHASE]],2,3), MID(Table151823[[#This Row],[DELIVERABLE]],2,4), TRIM(SUBSTITUTE(MID(Table151823[[#This Row],[CONCERN.ID]],2,20),"X","") )  )</f>
        <v>10.461.</v>
      </c>
      <c r="F172" t="str">
        <f>TRIM(MID(Table151823[[#This Row],[CONCERN.UNIQUEPATH]], IF( ISNUMBER( SEARCH("/",Table151823[[#This Row],[CONCERN.UNIQUEPATH]])),SEARCH("/",Table151823[[#This Row],[CONCERN.UNIQUEPATH]])+1,1),255))</f>
        <v/>
      </c>
      <c r="J172" t="s">
        <v>2068</v>
      </c>
      <c r="K172" t="s">
        <v>1946</v>
      </c>
      <c r="L172" t="s">
        <v>1928</v>
      </c>
    </row>
    <row r="173" spans="1:12">
      <c r="A173" t="s">
        <v>1977</v>
      </c>
      <c r="B173" t="s">
        <v>2246</v>
      </c>
      <c r="E173" t="str">
        <f xml:space="preserve"> CONCATENATE( MID(Table151823[[#This Row],[PHASE]],2,3), MID(Table151823[[#This Row],[DELIVERABLE]],2,4), TRIM(SUBSTITUTE(MID(Table151823[[#This Row],[CONCERN.ID]],2,20),"X","") )  )</f>
        <v>10.461.</v>
      </c>
      <c r="F173" t="str">
        <f>TRIM(MID(Table151823[[#This Row],[CONCERN.UNIQUEPATH]], IF( ISNUMBER( SEARCH("/",Table151823[[#This Row],[CONCERN.UNIQUEPATH]])),SEARCH("/",Table151823[[#This Row],[CONCERN.UNIQUEPATH]])+1,1),255))</f>
        <v/>
      </c>
      <c r="J173" t="s">
        <v>2068</v>
      </c>
      <c r="K173" s="5" t="s">
        <v>2084</v>
      </c>
      <c r="L173" t="s">
        <v>1928</v>
      </c>
    </row>
    <row r="174" spans="1:12">
      <c r="A174" t="s">
        <v>1977</v>
      </c>
      <c r="B174" t="s">
        <v>2246</v>
      </c>
      <c r="E174" t="str">
        <f xml:space="preserve"> CONCATENATE( MID(Table151823[[#This Row],[PHASE]],2,3), MID(Table151823[[#This Row],[DELIVERABLE]],2,4), TRIM(SUBSTITUTE(MID(Table151823[[#This Row],[CONCERN.ID]],2,20),"X","") )  )</f>
        <v>10.461.</v>
      </c>
      <c r="F174" t="str">
        <f>TRIM(MID(Table151823[[#This Row],[CONCERN.UNIQUEPATH]], IF( ISNUMBER( SEARCH("/",Table151823[[#This Row],[CONCERN.UNIQUEPATH]])),SEARCH("/",Table151823[[#This Row],[CONCERN.UNIQUEPATH]])+1,1),255))</f>
        <v/>
      </c>
      <c r="J174" t="s">
        <v>2068</v>
      </c>
      <c r="L174" t="s">
        <v>1928</v>
      </c>
    </row>
    <row r="175" spans="1:12">
      <c r="A175" t="s">
        <v>1977</v>
      </c>
      <c r="B175" t="s">
        <v>2246</v>
      </c>
      <c r="E175" t="str">
        <f xml:space="preserve"> CONCATENATE( MID(Table151823[[#This Row],[PHASE]],2,3), MID(Table151823[[#This Row],[DELIVERABLE]],2,4), TRIM(SUBSTITUTE(MID(Table151823[[#This Row],[CONCERN.ID]],2,20),"X","") )  )</f>
        <v>10.461.</v>
      </c>
      <c r="F175" t="str">
        <f>TRIM(MID(Table151823[[#This Row],[CONCERN.UNIQUEPATH]], IF( ISNUMBER( SEARCH("/",Table151823[[#This Row],[CONCERN.UNIQUEPATH]])),SEARCH("/",Table151823[[#This Row],[CONCERN.UNIQUEPATH]])+1,1),255))</f>
        <v/>
      </c>
      <c r="J175" t="s">
        <v>2068</v>
      </c>
      <c r="K175" s="5" t="s">
        <v>2100</v>
      </c>
      <c r="L175" t="s">
        <v>1928</v>
      </c>
    </row>
    <row r="176" spans="1:12">
      <c r="A176" t="s">
        <v>1977</v>
      </c>
      <c r="B176" t="s">
        <v>2246</v>
      </c>
      <c r="E176" t="str">
        <f xml:space="preserve"> CONCATENATE( MID(Table151823[[#This Row],[PHASE]],2,3), MID(Table151823[[#This Row],[DELIVERABLE]],2,4), TRIM(SUBSTITUTE(MID(Table151823[[#This Row],[CONCERN.ID]],2,20),"X","") )  )</f>
        <v>10.461.</v>
      </c>
      <c r="F176" t="str">
        <f>TRIM(MID(Table151823[[#This Row],[CONCERN.UNIQUEPATH]], IF( ISNUMBER( SEARCH("/",Table151823[[#This Row],[CONCERN.UNIQUEPATH]])),SEARCH("/",Table151823[[#This Row],[CONCERN.UNIQUEPATH]])+1,1),255))</f>
        <v/>
      </c>
      <c r="J176" t="s">
        <v>2068</v>
      </c>
      <c r="K176" s="5" t="s">
        <v>2100</v>
      </c>
      <c r="L176" t="s">
        <v>1928</v>
      </c>
    </row>
    <row r="177" spans="1:13">
      <c r="A177" t="s">
        <v>1977</v>
      </c>
      <c r="B177" t="s">
        <v>2246</v>
      </c>
      <c r="E177" t="str">
        <f xml:space="preserve"> CONCATENATE( MID(Table151823[[#This Row],[PHASE]],2,3), MID(Table151823[[#This Row],[DELIVERABLE]],2,4), TRIM(SUBSTITUTE(MID(Table151823[[#This Row],[CONCERN.ID]],2,20),"X","") )  )</f>
        <v>10.461.</v>
      </c>
      <c r="F177" t="str">
        <f>TRIM(MID(Table151823[[#This Row],[CONCERN.UNIQUEPATH]], IF( ISNUMBER( SEARCH("/",Table151823[[#This Row],[CONCERN.UNIQUEPATH]])),SEARCH("/",Table151823[[#This Row],[CONCERN.UNIQUEPATH]])+1,1),255))</f>
        <v/>
      </c>
      <c r="J177" t="s">
        <v>2068</v>
      </c>
      <c r="L177" t="s">
        <v>1928</v>
      </c>
    </row>
    <row r="178" spans="1:13">
      <c r="A178" t="s">
        <v>1977</v>
      </c>
      <c r="B178" t="s">
        <v>2246</v>
      </c>
      <c r="E178" t="str">
        <f xml:space="preserve"> CONCATENATE( MID(Table151823[[#This Row],[PHASE]],2,3), MID(Table151823[[#This Row],[DELIVERABLE]],2,4), TRIM(SUBSTITUTE(MID(Table151823[[#This Row],[CONCERN.ID]],2,20),"X","") )  )</f>
        <v>10.461.</v>
      </c>
      <c r="F178" t="str">
        <f>TRIM(MID(Table151823[[#This Row],[CONCERN.UNIQUEPATH]], IF( ISNUMBER( SEARCH("/",Table151823[[#This Row],[CONCERN.UNIQUEPATH]])),SEARCH("/",Table151823[[#This Row],[CONCERN.UNIQUEPATH]])+1,1),255))</f>
        <v/>
      </c>
      <c r="J178" t="s">
        <v>2068</v>
      </c>
      <c r="K178" s="5" t="s">
        <v>2100</v>
      </c>
      <c r="L178" t="s">
        <v>1928</v>
      </c>
      <c r="M178" t="s">
        <v>5118</v>
      </c>
    </row>
    <row r="179" spans="1:13">
      <c r="A179" t="s">
        <v>1977</v>
      </c>
      <c r="B179" t="s">
        <v>2246</v>
      </c>
      <c r="E179" t="str">
        <f xml:space="preserve"> CONCATENATE( MID(Table151823[[#This Row],[PHASE]],2,3), MID(Table151823[[#This Row],[DELIVERABLE]],2,4), TRIM(SUBSTITUTE(MID(Table151823[[#This Row],[CONCERN.ID]],2,20),"X","") )  )</f>
        <v>10.461.</v>
      </c>
      <c r="F179" t="str">
        <f>TRIM(MID(Table151823[[#This Row],[CONCERN.UNIQUEPATH]], IF( ISNUMBER( SEARCH("/",Table151823[[#This Row],[CONCERN.UNIQUEPATH]])),SEARCH("/",Table151823[[#This Row],[CONCERN.UNIQUEPATH]])+1,1),255))</f>
        <v/>
      </c>
      <c r="J179" t="s">
        <v>2068</v>
      </c>
      <c r="K179" s="5" t="s">
        <v>2092</v>
      </c>
      <c r="L179" t="s">
        <v>1928</v>
      </c>
      <c r="M179" t="s">
        <v>5119</v>
      </c>
    </row>
    <row r="180" spans="1:13">
      <c r="A180" t="s">
        <v>1977</v>
      </c>
      <c r="B180" t="s">
        <v>2246</v>
      </c>
      <c r="E180" t="str">
        <f xml:space="preserve"> CONCATENATE( MID(Table151823[[#This Row],[PHASE]],2,3), MID(Table151823[[#This Row],[DELIVERABLE]],2,4), TRIM(SUBSTITUTE(MID(Table151823[[#This Row],[CONCERN.ID]],2,20),"X","") )  )</f>
        <v>10.461.</v>
      </c>
      <c r="F180" t="str">
        <f>TRIM(MID(Table151823[[#This Row],[CONCERN.UNIQUEPATH]], IF( ISNUMBER( SEARCH("/",Table151823[[#This Row],[CONCERN.UNIQUEPATH]])),SEARCH("/",Table151823[[#This Row],[CONCERN.UNIQUEPATH]])+1,1),255))</f>
        <v/>
      </c>
      <c r="J180" t="s">
        <v>2068</v>
      </c>
      <c r="K180" s="5" t="s">
        <v>2092</v>
      </c>
      <c r="L180" t="s">
        <v>1928</v>
      </c>
      <c r="M180" t="s">
        <v>5120</v>
      </c>
    </row>
    <row r="181" spans="1:13">
      <c r="A181" t="s">
        <v>1977</v>
      </c>
      <c r="B181" t="s">
        <v>2246</v>
      </c>
      <c r="E181" t="str">
        <f xml:space="preserve"> CONCATENATE( MID(Table151823[[#This Row],[PHASE]],2,3), MID(Table151823[[#This Row],[DELIVERABLE]],2,4), TRIM(SUBSTITUTE(MID(Table151823[[#This Row],[CONCERN.ID]],2,20),"X","") )  )</f>
        <v>10.461.</v>
      </c>
      <c r="F181" t="str">
        <f>TRIM(MID(Table151823[[#This Row],[CONCERN.UNIQUEPATH]], IF( ISNUMBER( SEARCH("/",Table151823[[#This Row],[CONCERN.UNIQUEPATH]])),SEARCH("/",Table151823[[#This Row],[CONCERN.UNIQUEPATH]])+1,1),255))</f>
        <v/>
      </c>
      <c r="J181" t="s">
        <v>2068</v>
      </c>
      <c r="K181" s="5" t="s">
        <v>2092</v>
      </c>
      <c r="L181" t="s">
        <v>1928</v>
      </c>
      <c r="M181" t="s">
        <v>5121</v>
      </c>
    </row>
    <row r="182" spans="1:13">
      <c r="A182" t="s">
        <v>1977</v>
      </c>
      <c r="B182" t="s">
        <v>2246</v>
      </c>
      <c r="E182" t="str">
        <f xml:space="preserve"> CONCATENATE( MID(Table151823[[#This Row],[PHASE]],2,3), MID(Table151823[[#This Row],[DELIVERABLE]],2,4), TRIM(SUBSTITUTE(MID(Table151823[[#This Row],[CONCERN.ID]],2,20),"X","") )  )</f>
        <v>10.461.</v>
      </c>
      <c r="F182" t="str">
        <f>TRIM(MID(Table151823[[#This Row],[CONCERN.UNIQUEPATH]], IF( ISNUMBER( SEARCH("/",Table151823[[#This Row],[CONCERN.UNIQUEPATH]])),SEARCH("/",Table151823[[#This Row],[CONCERN.UNIQUEPATH]])+1,1),255))</f>
        <v/>
      </c>
      <c r="J182" t="s">
        <v>2068</v>
      </c>
      <c r="K182" s="5" t="s">
        <v>2092</v>
      </c>
      <c r="L182" t="s">
        <v>1928</v>
      </c>
      <c r="M182" t="s">
        <v>5122</v>
      </c>
    </row>
    <row r="183" spans="1:13">
      <c r="A183" t="s">
        <v>1977</v>
      </c>
      <c r="B183" t="s">
        <v>2246</v>
      </c>
      <c r="E183" t="str">
        <f xml:space="preserve"> CONCATENATE( MID(Table151823[[#This Row],[PHASE]],2,3), MID(Table151823[[#This Row],[DELIVERABLE]],2,4), TRIM(SUBSTITUTE(MID(Table151823[[#This Row],[CONCERN.ID]],2,20),"X","") )  )</f>
        <v>10.461.</v>
      </c>
      <c r="F183" t="str">
        <f>TRIM(MID(Table151823[[#This Row],[CONCERN.UNIQUEPATH]], IF( ISNUMBER( SEARCH("/",Table151823[[#This Row],[CONCERN.UNIQUEPATH]])),SEARCH("/",Table151823[[#This Row],[CONCERN.UNIQUEPATH]])+1,1),255))</f>
        <v/>
      </c>
      <c r="J183" t="s">
        <v>2068</v>
      </c>
      <c r="K183" t="s">
        <v>2098</v>
      </c>
      <c r="L183" t="s">
        <v>1928</v>
      </c>
      <c r="M183" t="s">
        <v>5123</v>
      </c>
    </row>
    <row r="184" spans="1:13">
      <c r="A184" t="s">
        <v>1977</v>
      </c>
      <c r="B184" t="s">
        <v>2246</v>
      </c>
      <c r="E184" t="str">
        <f xml:space="preserve"> CONCATENATE( MID(Table151823[[#This Row],[PHASE]],2,3), MID(Table151823[[#This Row],[DELIVERABLE]],2,4), TRIM(SUBSTITUTE(MID(Table151823[[#This Row],[CONCERN.ID]],2,20),"X","") )  )</f>
        <v>10.461.</v>
      </c>
      <c r="F184" t="str">
        <f>TRIM(MID(Table151823[[#This Row],[CONCERN.UNIQUEPATH]], IF( ISNUMBER( SEARCH("/",Table151823[[#This Row],[CONCERN.UNIQUEPATH]])),SEARCH("/",Table151823[[#This Row],[CONCERN.UNIQUEPATH]])+1,1),255))</f>
        <v/>
      </c>
      <c r="J184" t="s">
        <v>2068</v>
      </c>
      <c r="K184" t="s">
        <v>2098</v>
      </c>
      <c r="L184" t="s">
        <v>1928</v>
      </c>
      <c r="M184" t="s">
        <v>5124</v>
      </c>
    </row>
    <row r="185" spans="1:13">
      <c r="A185" t="s">
        <v>1977</v>
      </c>
      <c r="B185" t="s">
        <v>2246</v>
      </c>
      <c r="E185" t="str">
        <f xml:space="preserve"> CONCATENATE( MID(Table151823[[#This Row],[PHASE]],2,3), MID(Table151823[[#This Row],[DELIVERABLE]],2,4), TRIM(SUBSTITUTE(MID(Table151823[[#This Row],[CONCERN.ID]],2,20),"X","") )  )</f>
        <v>10.461.</v>
      </c>
      <c r="F185" t="str">
        <f>TRIM(MID(Table151823[[#This Row],[CONCERN.UNIQUEPATH]], IF( ISNUMBER( SEARCH("/",Table151823[[#This Row],[CONCERN.UNIQUEPATH]])),SEARCH("/",Table151823[[#This Row],[CONCERN.UNIQUEPATH]])+1,1),255))</f>
        <v/>
      </c>
      <c r="J185" t="s">
        <v>2068</v>
      </c>
      <c r="K185" s="5" t="s">
        <v>2100</v>
      </c>
      <c r="L185" t="s">
        <v>1928</v>
      </c>
      <c r="M185" t="s">
        <v>5125</v>
      </c>
    </row>
    <row r="186" spans="1:13">
      <c r="A186" t="s">
        <v>1977</v>
      </c>
      <c r="B186" t="s">
        <v>2246</v>
      </c>
      <c r="E186" t="str">
        <f xml:space="preserve"> CONCATENATE( MID(Table151823[[#This Row],[PHASE]],2,3), MID(Table151823[[#This Row],[DELIVERABLE]],2,4), TRIM(SUBSTITUTE(MID(Table151823[[#This Row],[CONCERN.ID]],2,20),"X","") )  )</f>
        <v>10.461.</v>
      </c>
      <c r="F186" t="str">
        <f>TRIM(MID(Table151823[[#This Row],[CONCERN.UNIQUEPATH]], IF( ISNUMBER( SEARCH("/",Table151823[[#This Row],[CONCERN.UNIQUEPATH]])),SEARCH("/",Table151823[[#This Row],[CONCERN.UNIQUEPATH]])+1,1),255))</f>
        <v/>
      </c>
      <c r="J186" t="s">
        <v>2068</v>
      </c>
      <c r="K186" s="5" t="s">
        <v>2100</v>
      </c>
      <c r="L186" t="s">
        <v>1928</v>
      </c>
      <c r="M186" t="s">
        <v>5126</v>
      </c>
    </row>
    <row r="187" spans="1:13">
      <c r="A187" t="s">
        <v>1977</v>
      </c>
      <c r="B187" t="s">
        <v>2246</v>
      </c>
      <c r="E187" t="str">
        <f xml:space="preserve"> CONCATENATE( MID(Table151823[[#This Row],[PHASE]],2,3), MID(Table151823[[#This Row],[DELIVERABLE]],2,4), TRIM(SUBSTITUTE(MID(Table151823[[#This Row],[CONCERN.ID]],2,20),"X","") )  )</f>
        <v>10.461.</v>
      </c>
      <c r="F187" t="str">
        <f>TRIM(MID(Table151823[[#This Row],[CONCERN.UNIQUEPATH]], IF( ISNUMBER( SEARCH("/",Table151823[[#This Row],[CONCERN.UNIQUEPATH]])),SEARCH("/",Table151823[[#This Row],[CONCERN.UNIQUEPATH]])+1,1),255))</f>
        <v/>
      </c>
      <c r="J187" t="s">
        <v>2068</v>
      </c>
      <c r="K187" s="5" t="s">
        <v>2098</v>
      </c>
      <c r="L187" t="s">
        <v>1928</v>
      </c>
      <c r="M187" t="s">
        <v>5127</v>
      </c>
    </row>
    <row r="188" spans="1:13">
      <c r="A188" t="s">
        <v>1977</v>
      </c>
      <c r="B188" t="s">
        <v>2246</v>
      </c>
      <c r="E188" t="str">
        <f xml:space="preserve"> CONCATENATE( MID(Table151823[[#This Row],[PHASE]],2,3), MID(Table151823[[#This Row],[DELIVERABLE]],2,4), TRIM(SUBSTITUTE(MID(Table151823[[#This Row],[CONCERN.ID]],2,20),"X","") )  )</f>
        <v>10.461.</v>
      </c>
      <c r="F188" t="str">
        <f>TRIM(MID(Table151823[[#This Row],[CONCERN.UNIQUEPATH]], IF( ISNUMBER( SEARCH("/",Table151823[[#This Row],[CONCERN.UNIQUEPATH]])),SEARCH("/",Table151823[[#This Row],[CONCERN.UNIQUEPATH]])+1,1),255))</f>
        <v/>
      </c>
      <c r="J188" t="s">
        <v>2068</v>
      </c>
      <c r="K188" s="5" t="s">
        <v>2100</v>
      </c>
      <c r="L188" t="s">
        <v>1928</v>
      </c>
      <c r="M188" t="s">
        <v>5128</v>
      </c>
    </row>
    <row r="189" spans="1:13">
      <c r="A189" t="s">
        <v>1977</v>
      </c>
      <c r="B189" t="s">
        <v>2246</v>
      </c>
      <c r="E189" t="str">
        <f xml:space="preserve"> CONCATENATE( MID(Table151823[[#This Row],[PHASE]],2,3), MID(Table151823[[#This Row],[DELIVERABLE]],2,4), TRIM(SUBSTITUTE(MID(Table151823[[#This Row],[CONCERN.ID]],2,20),"X","") )  )</f>
        <v>10.461.</v>
      </c>
      <c r="F189" t="str">
        <f>TRIM(MID(Table151823[[#This Row],[CONCERN.UNIQUEPATH]], IF( ISNUMBER( SEARCH("/",Table151823[[#This Row],[CONCERN.UNIQUEPATH]])),SEARCH("/",Table151823[[#This Row],[CONCERN.UNIQUEPATH]])+1,1),255))</f>
        <v/>
      </c>
      <c r="J189" t="s">
        <v>2068</v>
      </c>
      <c r="K189" s="5" t="s">
        <v>2100</v>
      </c>
      <c r="L189" t="s">
        <v>1928</v>
      </c>
      <c r="M189" t="s">
        <v>5129</v>
      </c>
    </row>
    <row r="190" spans="1:13">
      <c r="A190" t="s">
        <v>1977</v>
      </c>
      <c r="B190" t="s">
        <v>2246</v>
      </c>
      <c r="E190" t="str">
        <f xml:space="preserve"> CONCATENATE( MID(Table151823[[#This Row],[PHASE]],2,3), MID(Table151823[[#This Row],[DELIVERABLE]],2,4), TRIM(SUBSTITUTE(MID(Table151823[[#This Row],[CONCERN.ID]],2,20),"X","") )  )</f>
        <v>10.461.</v>
      </c>
      <c r="F190" t="str">
        <f>TRIM(MID(Table151823[[#This Row],[CONCERN.UNIQUEPATH]], IF( ISNUMBER( SEARCH("/",Table151823[[#This Row],[CONCERN.UNIQUEPATH]])),SEARCH("/",Table151823[[#This Row],[CONCERN.UNIQUEPATH]])+1,1),255))</f>
        <v/>
      </c>
      <c r="J190" t="s">
        <v>2068</v>
      </c>
      <c r="L190" t="s">
        <v>1928</v>
      </c>
      <c r="M190" t="s">
        <v>5130</v>
      </c>
    </row>
    <row r="191" spans="1:13">
      <c r="A191" t="s">
        <v>1977</v>
      </c>
      <c r="B191" t="s">
        <v>2246</v>
      </c>
      <c r="E191" t="str">
        <f xml:space="preserve"> CONCATENATE( MID(Table151823[[#This Row],[PHASE]],2,3), MID(Table151823[[#This Row],[DELIVERABLE]],2,4), TRIM(SUBSTITUTE(MID(Table151823[[#This Row],[CONCERN.ID]],2,20),"X","") )  )</f>
        <v>10.461.</v>
      </c>
      <c r="F191" t="str">
        <f>TRIM(MID(Table151823[[#This Row],[CONCERN.UNIQUEPATH]], IF( ISNUMBER( SEARCH("/",Table151823[[#This Row],[CONCERN.UNIQUEPATH]])),SEARCH("/",Table151823[[#This Row],[CONCERN.UNIQUEPATH]])+1,1),255))</f>
        <v/>
      </c>
      <c r="J191" t="s">
        <v>2068</v>
      </c>
      <c r="K191" t="s">
        <v>2006</v>
      </c>
      <c r="L191" t="s">
        <v>1928</v>
      </c>
      <c r="M191" t="s">
        <v>5131</v>
      </c>
    </row>
    <row r="192" spans="1:13">
      <c r="A192" t="s">
        <v>1977</v>
      </c>
      <c r="B192" t="s">
        <v>2246</v>
      </c>
      <c r="E192" t="str">
        <f xml:space="preserve"> CONCATENATE( MID(Table151823[[#This Row],[PHASE]],2,3), MID(Table151823[[#This Row],[DELIVERABLE]],2,4), TRIM(SUBSTITUTE(MID(Table151823[[#This Row],[CONCERN.ID]],2,20),"X","") )  )</f>
        <v>10.461.</v>
      </c>
      <c r="F192" t="str">
        <f>TRIM(MID(Table151823[[#This Row],[CONCERN.UNIQUEPATH]], IF( ISNUMBER( SEARCH("/",Table151823[[#This Row],[CONCERN.UNIQUEPATH]])),SEARCH("/",Table151823[[#This Row],[CONCERN.UNIQUEPATH]])+1,1),255))</f>
        <v/>
      </c>
      <c r="J192" t="s">
        <v>2068</v>
      </c>
      <c r="K192" t="s">
        <v>2006</v>
      </c>
      <c r="L192" t="s">
        <v>1928</v>
      </c>
      <c r="M192" t="s">
        <v>5132</v>
      </c>
    </row>
    <row r="193" spans="1:13">
      <c r="A193" t="s">
        <v>1977</v>
      </c>
      <c r="B193" t="s">
        <v>2246</v>
      </c>
      <c r="E193" t="str">
        <f xml:space="preserve"> CONCATENATE( MID(Table151823[[#This Row],[PHASE]],2,3), MID(Table151823[[#This Row],[DELIVERABLE]],2,4), TRIM(SUBSTITUTE(MID(Table151823[[#This Row],[CONCERN.ID]],2,20),"X","") )  )</f>
        <v>10.461.</v>
      </c>
      <c r="F193" t="str">
        <f>TRIM(MID(Table151823[[#This Row],[CONCERN.UNIQUEPATH]], IF( ISNUMBER( SEARCH("/",Table151823[[#This Row],[CONCERN.UNIQUEPATH]])),SEARCH("/",Table151823[[#This Row],[CONCERN.UNIQUEPATH]])+1,1),255))</f>
        <v/>
      </c>
      <c r="J193" t="s">
        <v>2068</v>
      </c>
      <c r="K193" t="s">
        <v>2092</v>
      </c>
      <c r="L193" t="s">
        <v>1928</v>
      </c>
      <c r="M193" t="s">
        <v>5133</v>
      </c>
    </row>
    <row r="194" spans="1:13">
      <c r="A194" t="s">
        <v>1977</v>
      </c>
      <c r="B194" t="s">
        <v>2246</v>
      </c>
      <c r="E194" t="str">
        <f xml:space="preserve"> CONCATENATE( MID(Table151823[[#This Row],[PHASE]],2,3), MID(Table151823[[#This Row],[DELIVERABLE]],2,4), TRIM(SUBSTITUTE(MID(Table151823[[#This Row],[CONCERN.ID]],2,20),"X","") )  )</f>
        <v>10.461.</v>
      </c>
      <c r="F194" t="str">
        <f>TRIM(MID(Table151823[[#This Row],[CONCERN.UNIQUEPATH]], IF( ISNUMBER( SEARCH("/",Table151823[[#This Row],[CONCERN.UNIQUEPATH]])),SEARCH("/",Table151823[[#This Row],[CONCERN.UNIQUEPATH]])+1,1),255))</f>
        <v/>
      </c>
      <c r="J194" t="s">
        <v>2068</v>
      </c>
      <c r="K194" t="s">
        <v>2092</v>
      </c>
      <c r="L194" t="s">
        <v>1928</v>
      </c>
      <c r="M194" t="s">
        <v>5134</v>
      </c>
    </row>
    <row r="195" spans="1:13">
      <c r="A195" t="s">
        <v>1977</v>
      </c>
      <c r="B195" t="s">
        <v>2246</v>
      </c>
      <c r="E195" t="str">
        <f xml:space="preserve"> CONCATENATE( MID(Table151823[[#This Row],[PHASE]],2,3), MID(Table151823[[#This Row],[DELIVERABLE]],2,4), TRIM(SUBSTITUTE(MID(Table151823[[#This Row],[CONCERN.ID]],2,20),"X","") )  )</f>
        <v>10.461.</v>
      </c>
      <c r="F195" t="str">
        <f>TRIM(MID(Table151823[[#This Row],[CONCERN.UNIQUEPATH]], IF( ISNUMBER( SEARCH("/",Table151823[[#This Row],[CONCERN.UNIQUEPATH]])),SEARCH("/",Table151823[[#This Row],[CONCERN.UNIQUEPATH]])+1,1),255))</f>
        <v/>
      </c>
      <c r="J195" t="s">
        <v>2068</v>
      </c>
      <c r="L195" t="s">
        <v>1928</v>
      </c>
    </row>
    <row r="196" spans="1:13">
      <c r="A196" t="s">
        <v>1977</v>
      </c>
      <c r="B196" t="s">
        <v>2246</v>
      </c>
      <c r="E196" t="str">
        <f xml:space="preserve"> CONCATENATE( MID(Table151823[[#This Row],[PHASE]],2,3), MID(Table151823[[#This Row],[DELIVERABLE]],2,4), TRIM(SUBSTITUTE(MID(Table151823[[#This Row],[CONCERN.ID]],2,20),"X","") )  )</f>
        <v>10.461.</v>
      </c>
      <c r="F196" t="str">
        <f>TRIM(MID(Table151823[[#This Row],[CONCERN.UNIQUEPATH]], IF( ISNUMBER( SEARCH("/",Table151823[[#This Row],[CONCERN.UNIQUEPATH]])),SEARCH("/",Table151823[[#This Row],[CONCERN.UNIQUEPATH]])+1,1),255))</f>
        <v/>
      </c>
      <c r="J196" t="s">
        <v>2068</v>
      </c>
      <c r="L196" t="s">
        <v>1928</v>
      </c>
      <c r="M196" t="s">
        <v>5135</v>
      </c>
    </row>
    <row r="197" spans="1:13">
      <c r="A197" t="s">
        <v>1977</v>
      </c>
      <c r="B197" t="s">
        <v>2246</v>
      </c>
      <c r="E197" t="str">
        <f xml:space="preserve"> CONCATENATE( MID(Table151823[[#This Row],[PHASE]],2,3), MID(Table151823[[#This Row],[DELIVERABLE]],2,4), TRIM(SUBSTITUTE(MID(Table151823[[#This Row],[CONCERN.ID]],2,20),"X","") )  )</f>
        <v>10.461.</v>
      </c>
      <c r="F197" t="str">
        <f>TRIM(MID(Table151823[[#This Row],[CONCERN.UNIQUEPATH]], IF( ISNUMBER( SEARCH("/",Table151823[[#This Row],[CONCERN.UNIQUEPATH]])),SEARCH("/",Table151823[[#This Row],[CONCERN.UNIQUEPATH]])+1,1),255))</f>
        <v/>
      </c>
      <c r="J197" t="s">
        <v>2068</v>
      </c>
      <c r="K197" t="s">
        <v>2104</v>
      </c>
      <c r="L197" t="s">
        <v>1928</v>
      </c>
      <c r="M197" t="s">
        <v>5136</v>
      </c>
    </row>
    <row r="198" spans="1:13">
      <c r="A198" t="s">
        <v>1977</v>
      </c>
      <c r="B198" t="s">
        <v>2246</v>
      </c>
      <c r="E198" t="str">
        <f xml:space="preserve"> CONCATENATE( MID(Table151823[[#This Row],[PHASE]],2,3), MID(Table151823[[#This Row],[DELIVERABLE]],2,4), TRIM(SUBSTITUTE(MID(Table151823[[#This Row],[CONCERN.ID]],2,20),"X","") )  )</f>
        <v>10.461.</v>
      </c>
      <c r="F198" t="str">
        <f>TRIM(MID(Table151823[[#This Row],[CONCERN.UNIQUEPATH]], IF( ISNUMBER( SEARCH("/",Table151823[[#This Row],[CONCERN.UNIQUEPATH]])),SEARCH("/",Table151823[[#This Row],[CONCERN.UNIQUEPATH]])+1,1),255))</f>
        <v/>
      </c>
      <c r="J198" t="s">
        <v>2068</v>
      </c>
      <c r="K198" t="s">
        <v>2104</v>
      </c>
      <c r="L198" t="s">
        <v>1928</v>
      </c>
      <c r="M198" t="s">
        <v>5137</v>
      </c>
    </row>
    <row r="199" spans="1:13">
      <c r="A199" t="s">
        <v>1977</v>
      </c>
      <c r="B199" t="s">
        <v>2246</v>
      </c>
      <c r="E199" t="str">
        <f xml:space="preserve"> CONCATENATE( MID(Table151823[[#This Row],[PHASE]],2,3), MID(Table151823[[#This Row],[DELIVERABLE]],2,4), TRIM(SUBSTITUTE(MID(Table151823[[#This Row],[CONCERN.ID]],2,20),"X","") )  )</f>
        <v>10.461.</v>
      </c>
      <c r="F199" t="str">
        <f>TRIM(MID(Table151823[[#This Row],[CONCERN.UNIQUEPATH]], IF( ISNUMBER( SEARCH("/",Table151823[[#This Row],[CONCERN.UNIQUEPATH]])),SEARCH("/",Table151823[[#This Row],[CONCERN.UNIQUEPATH]])+1,1),255))</f>
        <v/>
      </c>
      <c r="J199" t="s">
        <v>2068</v>
      </c>
      <c r="K199" t="s">
        <v>2090</v>
      </c>
      <c r="L199" t="s">
        <v>1928</v>
      </c>
      <c r="M199" t="s">
        <v>5138</v>
      </c>
    </row>
    <row r="200" spans="1:13">
      <c r="A200" t="s">
        <v>1977</v>
      </c>
      <c r="B200" t="s">
        <v>2246</v>
      </c>
      <c r="E200" t="str">
        <f xml:space="preserve"> CONCATENATE( MID(Table151823[[#This Row],[PHASE]],2,3), MID(Table151823[[#This Row],[DELIVERABLE]],2,4), TRIM(SUBSTITUTE(MID(Table151823[[#This Row],[CONCERN.ID]],2,20),"X","") )  )</f>
        <v>10.461.</v>
      </c>
      <c r="F200" t="str">
        <f>TRIM(MID(Table151823[[#This Row],[CONCERN.UNIQUEPATH]], IF( ISNUMBER( SEARCH("/",Table151823[[#This Row],[CONCERN.UNIQUEPATH]])),SEARCH("/",Table151823[[#This Row],[CONCERN.UNIQUEPATH]])+1,1),255))</f>
        <v/>
      </c>
      <c r="J200" t="s">
        <v>2068</v>
      </c>
      <c r="L200" t="s">
        <v>1928</v>
      </c>
      <c r="M200" t="s">
        <v>5139</v>
      </c>
    </row>
    <row r="201" spans="1:13">
      <c r="A201" t="s">
        <v>1977</v>
      </c>
      <c r="B201" t="s">
        <v>2246</v>
      </c>
      <c r="E201" t="str">
        <f xml:space="preserve"> CONCATENATE( MID(Table151823[[#This Row],[PHASE]],2,3), MID(Table151823[[#This Row],[DELIVERABLE]],2,4), TRIM(SUBSTITUTE(MID(Table151823[[#This Row],[CONCERN.ID]],2,20),"X","") )  )</f>
        <v>10.461.</v>
      </c>
      <c r="F201" t="str">
        <f>TRIM(MID(Table151823[[#This Row],[CONCERN.UNIQUEPATH]], IF( ISNUMBER( SEARCH("/",Table151823[[#This Row],[CONCERN.UNIQUEPATH]])),SEARCH("/",Table151823[[#This Row],[CONCERN.UNIQUEPATH]])+1,1),255))</f>
        <v/>
      </c>
      <c r="J201" t="s">
        <v>2068</v>
      </c>
      <c r="K201" s="5" t="s">
        <v>2100</v>
      </c>
      <c r="L201" t="s">
        <v>1928</v>
      </c>
      <c r="M201" t="s">
        <v>5140</v>
      </c>
    </row>
    <row r="202" spans="1:13">
      <c r="A202" t="s">
        <v>1977</v>
      </c>
      <c r="B202" t="s">
        <v>2246</v>
      </c>
      <c r="E202" t="str">
        <f xml:space="preserve"> CONCATENATE( MID(Table151823[[#This Row],[PHASE]],2,3), MID(Table151823[[#This Row],[DELIVERABLE]],2,4), TRIM(SUBSTITUTE(MID(Table151823[[#This Row],[CONCERN.ID]],2,20),"X","") )  )</f>
        <v>10.461.</v>
      </c>
      <c r="F202" t="str">
        <f>TRIM(MID(Table151823[[#This Row],[CONCERN.UNIQUEPATH]], IF( ISNUMBER( SEARCH("/",Table151823[[#This Row],[CONCERN.UNIQUEPATH]])),SEARCH("/",Table151823[[#This Row],[CONCERN.UNIQUEPATH]])+1,1),255))</f>
        <v/>
      </c>
      <c r="J202" t="s">
        <v>2068</v>
      </c>
      <c r="K202" s="5" t="s">
        <v>2100</v>
      </c>
      <c r="L202" t="s">
        <v>1928</v>
      </c>
      <c r="M202" t="s">
        <v>5141</v>
      </c>
    </row>
    <row r="203" spans="1:13">
      <c r="A203" t="s">
        <v>1977</v>
      </c>
      <c r="B203" t="s">
        <v>2246</v>
      </c>
      <c r="E203" t="str">
        <f xml:space="preserve"> CONCATENATE( MID(Table151823[[#This Row],[PHASE]],2,3), MID(Table151823[[#This Row],[DELIVERABLE]],2,4), TRIM(SUBSTITUTE(MID(Table151823[[#This Row],[CONCERN.ID]],2,20),"X","") )  )</f>
        <v>10.461.</v>
      </c>
      <c r="F203" t="str">
        <f>TRIM(MID(Table151823[[#This Row],[CONCERN.UNIQUEPATH]], IF( ISNUMBER( SEARCH("/",Table151823[[#This Row],[CONCERN.UNIQUEPATH]])),SEARCH("/",Table151823[[#This Row],[CONCERN.UNIQUEPATH]])+1,1),255))</f>
        <v/>
      </c>
      <c r="J203" t="s">
        <v>2068</v>
      </c>
      <c r="K203" t="s">
        <v>2098</v>
      </c>
      <c r="L203" t="s">
        <v>1928</v>
      </c>
      <c r="M203" t="s">
        <v>5142</v>
      </c>
    </row>
    <row r="204" spans="1:13">
      <c r="A204" t="s">
        <v>1977</v>
      </c>
      <c r="B204" t="s">
        <v>2246</v>
      </c>
      <c r="E204" t="str">
        <f xml:space="preserve"> CONCATENATE( MID(Table151823[[#This Row],[PHASE]],2,3), MID(Table151823[[#This Row],[DELIVERABLE]],2,4), TRIM(SUBSTITUTE(MID(Table151823[[#This Row],[CONCERN.ID]],2,20),"X","") )  )</f>
        <v>10.461.</v>
      </c>
      <c r="F204" t="str">
        <f>TRIM(MID(Table151823[[#This Row],[CONCERN.UNIQUEPATH]], IF( ISNUMBER( SEARCH("/",Table151823[[#This Row],[CONCERN.UNIQUEPATH]])),SEARCH("/",Table151823[[#This Row],[CONCERN.UNIQUEPATH]])+1,1),255))</f>
        <v/>
      </c>
      <c r="J204" t="s">
        <v>2068</v>
      </c>
      <c r="K204" s="5" t="s">
        <v>2092</v>
      </c>
      <c r="L204" t="s">
        <v>1928</v>
      </c>
      <c r="M204" t="s">
        <v>5143</v>
      </c>
    </row>
    <row r="205" spans="1:13">
      <c r="A205" t="s">
        <v>1977</v>
      </c>
      <c r="B205" t="s">
        <v>2246</v>
      </c>
      <c r="E205" t="str">
        <f xml:space="preserve"> CONCATENATE( MID(Table151823[[#This Row],[PHASE]],2,3), MID(Table151823[[#This Row],[DELIVERABLE]],2,4), TRIM(SUBSTITUTE(MID(Table151823[[#This Row],[CONCERN.ID]],2,20),"X","") )  )</f>
        <v>10.461.</v>
      </c>
      <c r="F205" t="str">
        <f>TRIM(MID(Table151823[[#This Row],[CONCERN.UNIQUEPATH]], IF( ISNUMBER( SEARCH("/",Table151823[[#This Row],[CONCERN.UNIQUEPATH]])),SEARCH("/",Table151823[[#This Row],[CONCERN.UNIQUEPATH]])+1,1),255))</f>
        <v/>
      </c>
      <c r="J205" t="s">
        <v>2068</v>
      </c>
      <c r="K205" s="5" t="s">
        <v>2100</v>
      </c>
      <c r="L205" t="s">
        <v>1928</v>
      </c>
      <c r="M205" t="s">
        <v>5144</v>
      </c>
    </row>
    <row r="206" spans="1:13">
      <c r="A206" t="s">
        <v>1977</v>
      </c>
      <c r="B206" t="s">
        <v>2246</v>
      </c>
      <c r="E206" t="str">
        <f xml:space="preserve"> CONCATENATE( MID(Table151823[[#This Row],[PHASE]],2,3), MID(Table151823[[#This Row],[DELIVERABLE]],2,4), TRIM(SUBSTITUTE(MID(Table151823[[#This Row],[CONCERN.ID]],2,20),"X","") )  )</f>
        <v>10.461.</v>
      </c>
      <c r="F206" t="str">
        <f>TRIM(MID(Table151823[[#This Row],[CONCERN.UNIQUEPATH]], IF( ISNUMBER( SEARCH("/",Table151823[[#This Row],[CONCERN.UNIQUEPATH]])),SEARCH("/",Table151823[[#This Row],[CONCERN.UNIQUEPATH]])+1,1),255))</f>
        <v/>
      </c>
      <c r="J206" t="s">
        <v>2068</v>
      </c>
      <c r="K206" s="5" t="s">
        <v>2092</v>
      </c>
      <c r="L206" t="s">
        <v>1928</v>
      </c>
      <c r="M206" t="s">
        <v>5145</v>
      </c>
    </row>
    <row r="207" spans="1:13">
      <c r="A207" t="s">
        <v>1977</v>
      </c>
      <c r="B207" t="s">
        <v>2246</v>
      </c>
      <c r="E207" t="str">
        <f xml:space="preserve"> CONCATENATE( MID(Table151823[[#This Row],[PHASE]],2,3), MID(Table151823[[#This Row],[DELIVERABLE]],2,4), TRIM(SUBSTITUTE(MID(Table151823[[#This Row],[CONCERN.ID]],2,20),"X","") )  )</f>
        <v>10.461.</v>
      </c>
      <c r="F207" t="str">
        <f>TRIM(MID(Table151823[[#This Row],[CONCERN.UNIQUEPATH]], IF( ISNUMBER( SEARCH("/",Table151823[[#This Row],[CONCERN.UNIQUEPATH]])),SEARCH("/",Table151823[[#This Row],[CONCERN.UNIQUEPATH]])+1,1),255))</f>
        <v/>
      </c>
      <c r="J207" t="s">
        <v>2068</v>
      </c>
      <c r="K207" s="5" t="s">
        <v>2092</v>
      </c>
      <c r="L207" t="s">
        <v>1928</v>
      </c>
      <c r="M207" t="s">
        <v>5146</v>
      </c>
    </row>
    <row r="208" spans="1:13">
      <c r="A208" t="s">
        <v>1977</v>
      </c>
      <c r="B208" t="s">
        <v>2246</v>
      </c>
      <c r="E208" t="str">
        <f xml:space="preserve"> CONCATENATE( MID(Table151823[[#This Row],[PHASE]],2,3), MID(Table151823[[#This Row],[DELIVERABLE]],2,4), TRIM(SUBSTITUTE(MID(Table151823[[#This Row],[CONCERN.ID]],2,20),"X","") )  )</f>
        <v>10.461.</v>
      </c>
      <c r="F208" t="str">
        <f>TRIM(MID(Table151823[[#This Row],[CONCERN.UNIQUEPATH]], IF( ISNUMBER( SEARCH("/",Table151823[[#This Row],[CONCERN.UNIQUEPATH]])),SEARCH("/",Table151823[[#This Row],[CONCERN.UNIQUEPATH]])+1,1),255))</f>
        <v/>
      </c>
      <c r="J208" t="s">
        <v>2068</v>
      </c>
      <c r="K208" s="5" t="s">
        <v>2100</v>
      </c>
      <c r="L208" t="s">
        <v>1928</v>
      </c>
      <c r="M208" t="s">
        <v>5147</v>
      </c>
    </row>
    <row r="209" spans="1:13">
      <c r="A209" t="s">
        <v>1977</v>
      </c>
      <c r="B209" t="s">
        <v>2246</v>
      </c>
      <c r="E209" t="str">
        <f xml:space="preserve"> CONCATENATE( MID(Table151823[[#This Row],[PHASE]],2,3), MID(Table151823[[#This Row],[DELIVERABLE]],2,4), TRIM(SUBSTITUTE(MID(Table151823[[#This Row],[CONCERN.ID]],2,20),"X","") )  )</f>
        <v>10.461.</v>
      </c>
      <c r="F209" t="str">
        <f>TRIM(MID(Table151823[[#This Row],[CONCERN.UNIQUEPATH]], IF( ISNUMBER( SEARCH("/",Table151823[[#This Row],[CONCERN.UNIQUEPATH]])),SEARCH("/",Table151823[[#This Row],[CONCERN.UNIQUEPATH]])+1,1),255))</f>
        <v/>
      </c>
      <c r="J209" t="s">
        <v>2068</v>
      </c>
      <c r="K209" s="5" t="s">
        <v>2100</v>
      </c>
      <c r="L209" t="s">
        <v>1928</v>
      </c>
      <c r="M209" t="s">
        <v>5148</v>
      </c>
    </row>
    <row r="210" spans="1:13">
      <c r="A210" t="s">
        <v>1977</v>
      </c>
      <c r="B210" t="s">
        <v>2246</v>
      </c>
      <c r="E210" t="str">
        <f xml:space="preserve"> CONCATENATE( MID(Table151823[[#This Row],[PHASE]],2,3), MID(Table151823[[#This Row],[DELIVERABLE]],2,4), TRIM(SUBSTITUTE(MID(Table151823[[#This Row],[CONCERN.ID]],2,20),"X","") )  )</f>
        <v>10.461.</v>
      </c>
      <c r="F210" t="str">
        <f>TRIM(MID(Table151823[[#This Row],[CONCERN.UNIQUEPATH]], IF( ISNUMBER( SEARCH("/",Table151823[[#This Row],[CONCERN.UNIQUEPATH]])),SEARCH("/",Table151823[[#This Row],[CONCERN.UNIQUEPATH]])+1,1),255))</f>
        <v/>
      </c>
      <c r="J210" t="s">
        <v>2068</v>
      </c>
      <c r="K210" s="5" t="s">
        <v>2100</v>
      </c>
      <c r="L210" t="s">
        <v>1928</v>
      </c>
      <c r="M210" t="s">
        <v>5149</v>
      </c>
    </row>
    <row r="211" spans="1:13">
      <c r="A211" t="s">
        <v>1977</v>
      </c>
      <c r="B211" t="s">
        <v>2246</v>
      </c>
      <c r="E211" t="str">
        <f xml:space="preserve"> CONCATENATE( MID(Table151823[[#This Row],[PHASE]],2,3), MID(Table151823[[#This Row],[DELIVERABLE]],2,4), TRIM(SUBSTITUTE(MID(Table151823[[#This Row],[CONCERN.ID]],2,20),"X","") )  )</f>
        <v>10.461.</v>
      </c>
      <c r="F211" t="str">
        <f>TRIM(MID(Table151823[[#This Row],[CONCERN.UNIQUEPATH]], IF( ISNUMBER( SEARCH("/",Table151823[[#This Row],[CONCERN.UNIQUEPATH]])),SEARCH("/",Table151823[[#This Row],[CONCERN.UNIQUEPATH]])+1,1),255))</f>
        <v/>
      </c>
      <c r="J211" t="s">
        <v>2068</v>
      </c>
      <c r="K211" s="5" t="s">
        <v>2106</v>
      </c>
      <c r="L211" t="s">
        <v>1928</v>
      </c>
      <c r="M211" t="s">
        <v>5150</v>
      </c>
    </row>
    <row r="212" spans="1:13">
      <c r="A212" t="s">
        <v>1977</v>
      </c>
      <c r="B212" t="s">
        <v>2246</v>
      </c>
      <c r="E212" t="str">
        <f xml:space="preserve"> CONCATENATE( MID(Table151823[[#This Row],[PHASE]],2,3), MID(Table151823[[#This Row],[DELIVERABLE]],2,4), TRIM(SUBSTITUTE(MID(Table151823[[#This Row],[CONCERN.ID]],2,20),"X","") )  )</f>
        <v>10.461.</v>
      </c>
      <c r="F212" t="str">
        <f>TRIM(MID(Table151823[[#This Row],[CONCERN.UNIQUEPATH]], IF( ISNUMBER( SEARCH("/",Table151823[[#This Row],[CONCERN.UNIQUEPATH]])),SEARCH("/",Table151823[[#This Row],[CONCERN.UNIQUEPATH]])+1,1),255))</f>
        <v/>
      </c>
      <c r="J212" t="s">
        <v>2068</v>
      </c>
      <c r="K212" t="s">
        <v>2094</v>
      </c>
      <c r="L212" t="s">
        <v>1928</v>
      </c>
      <c r="M212" t="s">
        <v>5151</v>
      </c>
    </row>
    <row r="213" spans="1:13">
      <c r="A213" t="s">
        <v>1977</v>
      </c>
      <c r="B213" t="s">
        <v>2246</v>
      </c>
      <c r="E213" t="str">
        <f xml:space="preserve"> CONCATENATE( MID(Table151823[[#This Row],[PHASE]],2,3), MID(Table151823[[#This Row],[DELIVERABLE]],2,4), TRIM(SUBSTITUTE(MID(Table151823[[#This Row],[CONCERN.ID]],2,20),"X","") )  )</f>
        <v>10.461.</v>
      </c>
      <c r="F213" t="str">
        <f>TRIM(MID(Table151823[[#This Row],[CONCERN.UNIQUEPATH]], IF( ISNUMBER( SEARCH("/",Table151823[[#This Row],[CONCERN.UNIQUEPATH]])),SEARCH("/",Table151823[[#This Row],[CONCERN.UNIQUEPATH]])+1,1),255))</f>
        <v/>
      </c>
      <c r="J213" t="s">
        <v>2068</v>
      </c>
      <c r="K213" t="s">
        <v>2098</v>
      </c>
      <c r="L213" t="s">
        <v>1928</v>
      </c>
      <c r="M213" t="s">
        <v>5152</v>
      </c>
    </row>
    <row r="214" spans="1:13">
      <c r="A214" t="s">
        <v>1977</v>
      </c>
      <c r="B214" t="s">
        <v>2246</v>
      </c>
      <c r="E214" t="str">
        <f xml:space="preserve"> CONCATENATE( MID(Table151823[[#This Row],[PHASE]],2,3), MID(Table151823[[#This Row],[DELIVERABLE]],2,4), TRIM(SUBSTITUTE(MID(Table151823[[#This Row],[CONCERN.ID]],2,20),"X","") )  )</f>
        <v>10.461.</v>
      </c>
      <c r="F214" t="str">
        <f>TRIM(MID(Table151823[[#This Row],[CONCERN.UNIQUEPATH]], IF( ISNUMBER( SEARCH("/",Table151823[[#This Row],[CONCERN.UNIQUEPATH]])),SEARCH("/",Table151823[[#This Row],[CONCERN.UNIQUEPATH]])+1,1),255))</f>
        <v/>
      </c>
      <c r="J214" t="s">
        <v>2068</v>
      </c>
      <c r="K214" t="s">
        <v>2024</v>
      </c>
      <c r="L214" t="s">
        <v>1928</v>
      </c>
      <c r="M214" t="s">
        <v>5153</v>
      </c>
    </row>
    <row r="215" spans="1:13">
      <c r="A215" t="s">
        <v>1977</v>
      </c>
      <c r="B215" t="s">
        <v>2246</v>
      </c>
      <c r="E215" t="str">
        <f xml:space="preserve"> CONCATENATE( MID(Table151823[[#This Row],[PHASE]],2,3), MID(Table151823[[#This Row],[DELIVERABLE]],2,4), TRIM(SUBSTITUTE(MID(Table151823[[#This Row],[CONCERN.ID]],2,20),"X","") )  )</f>
        <v>10.461.</v>
      </c>
      <c r="F215" t="str">
        <f>TRIM(MID(Table151823[[#This Row],[CONCERN.UNIQUEPATH]], IF( ISNUMBER( SEARCH("/",Table151823[[#This Row],[CONCERN.UNIQUEPATH]])),SEARCH("/",Table151823[[#This Row],[CONCERN.UNIQUEPATH]])+1,1),255))</f>
        <v/>
      </c>
      <c r="J215" t="s">
        <v>2068</v>
      </c>
      <c r="K215" t="s">
        <v>2096</v>
      </c>
      <c r="L215" t="s">
        <v>1928</v>
      </c>
      <c r="M215" t="s">
        <v>5154</v>
      </c>
    </row>
    <row r="216" spans="1:13">
      <c r="A216" t="s">
        <v>1977</v>
      </c>
      <c r="B216" t="s">
        <v>2246</v>
      </c>
      <c r="E216" t="str">
        <f xml:space="preserve"> CONCATENATE( MID(Table151823[[#This Row],[PHASE]],2,3), MID(Table151823[[#This Row],[DELIVERABLE]],2,4), TRIM(SUBSTITUTE(MID(Table151823[[#This Row],[CONCERN.ID]],2,20),"X","") )  )</f>
        <v>10.461.</v>
      </c>
      <c r="F216" t="str">
        <f>TRIM(MID(Table151823[[#This Row],[CONCERN.UNIQUEPATH]], IF( ISNUMBER( SEARCH("/",Table151823[[#This Row],[CONCERN.UNIQUEPATH]])),SEARCH("/",Table151823[[#This Row],[CONCERN.UNIQUEPATH]])+1,1),255))</f>
        <v/>
      </c>
      <c r="J216" t="s">
        <v>2068</v>
      </c>
      <c r="K216" t="s">
        <v>2096</v>
      </c>
      <c r="L216" t="s">
        <v>1928</v>
      </c>
      <c r="M216" t="s">
        <v>5155</v>
      </c>
    </row>
    <row r="217" spans="1:13">
      <c r="A217" t="s">
        <v>1977</v>
      </c>
      <c r="B217" t="s">
        <v>2246</v>
      </c>
      <c r="E217" t="str">
        <f xml:space="preserve"> CONCATENATE( MID(Table151823[[#This Row],[PHASE]],2,3), MID(Table151823[[#This Row],[DELIVERABLE]],2,4), TRIM(SUBSTITUTE(MID(Table151823[[#This Row],[CONCERN.ID]],2,20),"X","") )  )</f>
        <v>10.461.</v>
      </c>
      <c r="F217" t="str">
        <f>TRIM(MID(Table151823[[#This Row],[CONCERN.UNIQUEPATH]], IF( ISNUMBER( SEARCH("/",Table151823[[#This Row],[CONCERN.UNIQUEPATH]])),SEARCH("/",Table151823[[#This Row],[CONCERN.UNIQUEPATH]])+1,1),255))</f>
        <v/>
      </c>
      <c r="J217" t="s">
        <v>2068</v>
      </c>
      <c r="K217" t="s">
        <v>2096</v>
      </c>
      <c r="L217" t="s">
        <v>1928</v>
      </c>
      <c r="M217" t="s">
        <v>5156</v>
      </c>
    </row>
    <row r="218" spans="1:13">
      <c r="A218" t="s">
        <v>1977</v>
      </c>
      <c r="B218" t="s">
        <v>2246</v>
      </c>
      <c r="E218" t="str">
        <f xml:space="preserve"> CONCATENATE( MID(Table151823[[#This Row],[PHASE]],2,3), MID(Table151823[[#This Row],[DELIVERABLE]],2,4), TRIM(SUBSTITUTE(MID(Table151823[[#This Row],[CONCERN.ID]],2,20),"X","") )  )</f>
        <v>10.461.</v>
      </c>
      <c r="F218" t="str">
        <f>TRIM(MID(Table151823[[#This Row],[CONCERN.UNIQUEPATH]], IF( ISNUMBER( SEARCH("/",Table151823[[#This Row],[CONCERN.UNIQUEPATH]])),SEARCH("/",Table151823[[#This Row],[CONCERN.UNIQUEPATH]])+1,1),255))</f>
        <v/>
      </c>
      <c r="J218" t="s">
        <v>2068</v>
      </c>
      <c r="K218" t="s">
        <v>2096</v>
      </c>
      <c r="L218" t="s">
        <v>1928</v>
      </c>
      <c r="M218" t="s">
        <v>5157</v>
      </c>
    </row>
    <row r="219" spans="1:13">
      <c r="A219" t="s">
        <v>1977</v>
      </c>
      <c r="B219" t="s">
        <v>2246</v>
      </c>
      <c r="E219" t="str">
        <f xml:space="preserve"> CONCATENATE( MID(Table151823[[#This Row],[PHASE]],2,3), MID(Table151823[[#This Row],[DELIVERABLE]],2,4), TRIM(SUBSTITUTE(MID(Table151823[[#This Row],[CONCERN.ID]],2,20),"X","") )  )</f>
        <v>10.461.</v>
      </c>
      <c r="F219" t="str">
        <f>TRIM(MID(Table151823[[#This Row],[CONCERN.UNIQUEPATH]], IF( ISNUMBER( SEARCH("/",Table151823[[#This Row],[CONCERN.UNIQUEPATH]])),SEARCH("/",Table151823[[#This Row],[CONCERN.UNIQUEPATH]])+1,1),255))</f>
        <v/>
      </c>
      <c r="J219" t="s">
        <v>2068</v>
      </c>
      <c r="K219" t="s">
        <v>2096</v>
      </c>
      <c r="L219" t="s">
        <v>1928</v>
      </c>
      <c r="M219" t="s">
        <v>5158</v>
      </c>
    </row>
    <row r="220" spans="1:13">
      <c r="A220" t="s">
        <v>1977</v>
      </c>
      <c r="B220" t="s">
        <v>2246</v>
      </c>
      <c r="E220" t="str">
        <f xml:space="preserve"> CONCATENATE( MID(Table151823[[#This Row],[PHASE]],2,3), MID(Table151823[[#This Row],[DELIVERABLE]],2,4), TRIM(SUBSTITUTE(MID(Table151823[[#This Row],[CONCERN.ID]],2,20),"X","") )  )</f>
        <v>10.461.</v>
      </c>
      <c r="F220" t="str">
        <f>TRIM(MID(Table151823[[#This Row],[CONCERN.UNIQUEPATH]], IF( ISNUMBER( SEARCH("/",Table151823[[#This Row],[CONCERN.UNIQUEPATH]])),SEARCH("/",Table151823[[#This Row],[CONCERN.UNIQUEPATH]])+1,1),255))</f>
        <v/>
      </c>
      <c r="J220" t="s">
        <v>2068</v>
      </c>
      <c r="K220" t="s">
        <v>2096</v>
      </c>
      <c r="L220" t="s">
        <v>1928</v>
      </c>
      <c r="M220" t="s">
        <v>5159</v>
      </c>
    </row>
    <row r="221" spans="1:13">
      <c r="A221" t="s">
        <v>1977</v>
      </c>
      <c r="B221" t="s">
        <v>2246</v>
      </c>
      <c r="E221" t="str">
        <f xml:space="preserve"> CONCATENATE( MID(Table151823[[#This Row],[PHASE]],2,3), MID(Table151823[[#This Row],[DELIVERABLE]],2,4), TRIM(SUBSTITUTE(MID(Table151823[[#This Row],[CONCERN.ID]],2,20),"X","") )  )</f>
        <v>10.461.</v>
      </c>
      <c r="F221" t="str">
        <f>TRIM(MID(Table151823[[#This Row],[CONCERN.UNIQUEPATH]], IF( ISNUMBER( SEARCH("/",Table151823[[#This Row],[CONCERN.UNIQUEPATH]])),SEARCH("/",Table151823[[#This Row],[CONCERN.UNIQUEPATH]])+1,1),255))</f>
        <v/>
      </c>
      <c r="J221" t="s">
        <v>2068</v>
      </c>
      <c r="K221" t="s">
        <v>2096</v>
      </c>
      <c r="L221" t="s">
        <v>1928</v>
      </c>
      <c r="M221" t="s">
        <v>5160</v>
      </c>
    </row>
    <row r="222" spans="1:13">
      <c r="A222" t="s">
        <v>1977</v>
      </c>
      <c r="B222" t="s">
        <v>2246</v>
      </c>
      <c r="E222" t="str">
        <f xml:space="preserve"> CONCATENATE( MID(Table151823[[#This Row],[PHASE]],2,3), MID(Table151823[[#This Row],[DELIVERABLE]],2,4), TRIM(SUBSTITUTE(MID(Table151823[[#This Row],[CONCERN.ID]],2,20),"X","") )  )</f>
        <v>10.461.</v>
      </c>
      <c r="F222" t="str">
        <f>TRIM(MID(Table151823[[#This Row],[CONCERN.UNIQUEPATH]], IF( ISNUMBER( SEARCH("/",Table151823[[#This Row],[CONCERN.UNIQUEPATH]])),SEARCH("/",Table151823[[#This Row],[CONCERN.UNIQUEPATH]])+1,1),255))</f>
        <v/>
      </c>
      <c r="J222" t="s">
        <v>2068</v>
      </c>
      <c r="K222" t="s">
        <v>2096</v>
      </c>
      <c r="L222" t="s">
        <v>1928</v>
      </c>
      <c r="M222" t="s">
        <v>5161</v>
      </c>
    </row>
    <row r="223" spans="1:13">
      <c r="A223" t="s">
        <v>1977</v>
      </c>
      <c r="B223" t="s">
        <v>2246</v>
      </c>
      <c r="E223" t="str">
        <f xml:space="preserve"> CONCATENATE( MID(Table151823[[#This Row],[PHASE]],2,3), MID(Table151823[[#This Row],[DELIVERABLE]],2,4), TRIM(SUBSTITUTE(MID(Table151823[[#This Row],[CONCERN.ID]],2,20),"X","") )  )</f>
        <v>10.461.</v>
      </c>
      <c r="F223" t="str">
        <f>TRIM(MID(Table151823[[#This Row],[CONCERN.UNIQUEPATH]], IF( ISNUMBER( SEARCH("/",Table151823[[#This Row],[CONCERN.UNIQUEPATH]])),SEARCH("/",Table151823[[#This Row],[CONCERN.UNIQUEPATH]])+1,1),255))</f>
        <v/>
      </c>
      <c r="J223" t="s">
        <v>2068</v>
      </c>
      <c r="K223" t="s">
        <v>2096</v>
      </c>
      <c r="L223" t="s">
        <v>1928</v>
      </c>
      <c r="M223" t="s">
        <v>5162</v>
      </c>
    </row>
    <row r="224" spans="1:13">
      <c r="A224" t="s">
        <v>1977</v>
      </c>
      <c r="B224" t="s">
        <v>2246</v>
      </c>
      <c r="E224" t="str">
        <f xml:space="preserve"> CONCATENATE( MID(Table151823[[#This Row],[PHASE]],2,3), MID(Table151823[[#This Row],[DELIVERABLE]],2,4), TRIM(SUBSTITUTE(MID(Table151823[[#This Row],[CONCERN.ID]],2,20),"X","") )  )</f>
        <v>10.461.</v>
      </c>
      <c r="F224" t="str">
        <f>TRIM(MID(Table151823[[#This Row],[CONCERN.UNIQUEPATH]], IF( ISNUMBER( SEARCH("/",Table151823[[#This Row],[CONCERN.UNIQUEPATH]])),SEARCH("/",Table151823[[#This Row],[CONCERN.UNIQUEPATH]])+1,1),255))</f>
        <v/>
      </c>
      <c r="J224" t="s">
        <v>2068</v>
      </c>
      <c r="K224" t="s">
        <v>2096</v>
      </c>
      <c r="L224" t="s">
        <v>1928</v>
      </c>
      <c r="M224" t="s">
        <v>5163</v>
      </c>
    </row>
    <row r="225" spans="1:13">
      <c r="A225" t="s">
        <v>1977</v>
      </c>
      <c r="B225" t="s">
        <v>2246</v>
      </c>
      <c r="E225" t="str">
        <f xml:space="preserve"> CONCATENATE( MID(Table151823[[#This Row],[PHASE]],2,3), MID(Table151823[[#This Row],[DELIVERABLE]],2,4), TRIM(SUBSTITUTE(MID(Table151823[[#This Row],[CONCERN.ID]],2,20),"X","") )  )</f>
        <v>10.461.</v>
      </c>
      <c r="F225" t="str">
        <f>TRIM(MID(Table151823[[#This Row],[CONCERN.UNIQUEPATH]], IF( ISNUMBER( SEARCH("/",Table151823[[#This Row],[CONCERN.UNIQUEPATH]])),SEARCH("/",Table151823[[#This Row],[CONCERN.UNIQUEPATH]])+1,1),255))</f>
        <v/>
      </c>
      <c r="J225" t="s">
        <v>2068</v>
      </c>
      <c r="K225" t="s">
        <v>2096</v>
      </c>
      <c r="L225" t="s">
        <v>1928</v>
      </c>
      <c r="M225" t="s">
        <v>5164</v>
      </c>
    </row>
    <row r="226" spans="1:13">
      <c r="A226" t="s">
        <v>1977</v>
      </c>
      <c r="B226" t="s">
        <v>2246</v>
      </c>
      <c r="E226" t="str">
        <f xml:space="preserve"> CONCATENATE( MID(Table151823[[#This Row],[PHASE]],2,3), MID(Table151823[[#This Row],[DELIVERABLE]],2,4), TRIM(SUBSTITUTE(MID(Table151823[[#This Row],[CONCERN.ID]],2,20),"X","") )  )</f>
        <v>10.461.</v>
      </c>
      <c r="F226" t="str">
        <f>TRIM(MID(Table151823[[#This Row],[CONCERN.UNIQUEPATH]], IF( ISNUMBER( SEARCH("/",Table151823[[#This Row],[CONCERN.UNIQUEPATH]])),SEARCH("/",Table151823[[#This Row],[CONCERN.UNIQUEPATH]])+1,1),255))</f>
        <v/>
      </c>
      <c r="J226" t="s">
        <v>2068</v>
      </c>
      <c r="K226" t="s">
        <v>2096</v>
      </c>
      <c r="L226" t="s">
        <v>1928</v>
      </c>
      <c r="M226" t="s">
        <v>5165</v>
      </c>
    </row>
    <row r="227" spans="1:13">
      <c r="A227" t="s">
        <v>1977</v>
      </c>
      <c r="B227" t="s">
        <v>2246</v>
      </c>
      <c r="E227" t="str">
        <f xml:space="preserve"> CONCATENATE( MID(Table151823[[#This Row],[PHASE]],2,3), MID(Table151823[[#This Row],[DELIVERABLE]],2,4), TRIM(SUBSTITUTE(MID(Table151823[[#This Row],[CONCERN.ID]],2,20),"X","") )  )</f>
        <v>10.461.</v>
      </c>
      <c r="F227" t="str">
        <f>TRIM(MID(Table151823[[#This Row],[CONCERN.UNIQUEPATH]], IF( ISNUMBER( SEARCH("/",Table151823[[#This Row],[CONCERN.UNIQUEPATH]])),SEARCH("/",Table151823[[#This Row],[CONCERN.UNIQUEPATH]])+1,1),255))</f>
        <v/>
      </c>
      <c r="J227" t="s">
        <v>2068</v>
      </c>
      <c r="K227" t="s">
        <v>2096</v>
      </c>
      <c r="L227" t="s">
        <v>1928</v>
      </c>
      <c r="M227" t="s">
        <v>5166</v>
      </c>
    </row>
    <row r="228" spans="1:13">
      <c r="A228" t="s">
        <v>1977</v>
      </c>
      <c r="B228" t="s">
        <v>2246</v>
      </c>
      <c r="E228" t="str">
        <f xml:space="preserve"> CONCATENATE( MID(Table151823[[#This Row],[PHASE]],2,3), MID(Table151823[[#This Row],[DELIVERABLE]],2,4), TRIM(SUBSTITUTE(MID(Table151823[[#This Row],[CONCERN.ID]],2,20),"X","") )  )</f>
        <v>10.461.</v>
      </c>
      <c r="F228" t="str">
        <f>TRIM(MID(Table151823[[#This Row],[CONCERN.UNIQUEPATH]], IF( ISNUMBER( SEARCH("/",Table151823[[#This Row],[CONCERN.UNIQUEPATH]])),SEARCH("/",Table151823[[#This Row],[CONCERN.UNIQUEPATH]])+1,1),255))</f>
        <v/>
      </c>
      <c r="J228" t="s">
        <v>2068</v>
      </c>
      <c r="K228" t="s">
        <v>2096</v>
      </c>
      <c r="L228" t="s">
        <v>1928</v>
      </c>
      <c r="M228" t="s">
        <v>5167</v>
      </c>
    </row>
    <row r="229" spans="1:13">
      <c r="A229" t="s">
        <v>1977</v>
      </c>
      <c r="B229" t="s">
        <v>2246</v>
      </c>
      <c r="E229" t="str">
        <f xml:space="preserve"> CONCATENATE( MID(Table151823[[#This Row],[PHASE]],2,3), MID(Table151823[[#This Row],[DELIVERABLE]],2,4), TRIM(SUBSTITUTE(MID(Table151823[[#This Row],[CONCERN.ID]],2,20),"X","") )  )</f>
        <v>10.461.</v>
      </c>
      <c r="F229" t="str">
        <f>TRIM(MID(Table151823[[#This Row],[CONCERN.UNIQUEPATH]], IF( ISNUMBER( SEARCH("/",Table151823[[#This Row],[CONCERN.UNIQUEPATH]])),SEARCH("/",Table151823[[#This Row],[CONCERN.UNIQUEPATH]])+1,1),255))</f>
        <v/>
      </c>
      <c r="J229" t="s">
        <v>2068</v>
      </c>
      <c r="L229" t="s">
        <v>1928</v>
      </c>
      <c r="M229" t="s">
        <v>5168</v>
      </c>
    </row>
    <row r="230" spans="1:13">
      <c r="A230" t="s">
        <v>1977</v>
      </c>
      <c r="B230" t="s">
        <v>2246</v>
      </c>
      <c r="E230" t="str">
        <f xml:space="preserve"> CONCATENATE( MID(Table151823[[#This Row],[PHASE]],2,3), MID(Table151823[[#This Row],[DELIVERABLE]],2,4), TRIM(SUBSTITUTE(MID(Table151823[[#This Row],[CONCERN.ID]],2,20),"X","") )  )</f>
        <v>10.461.</v>
      </c>
      <c r="F230" t="str">
        <f>TRIM(MID(Table151823[[#This Row],[CONCERN.UNIQUEPATH]], IF( ISNUMBER( SEARCH("/",Table151823[[#This Row],[CONCERN.UNIQUEPATH]])),SEARCH("/",Table151823[[#This Row],[CONCERN.UNIQUEPATH]])+1,1),255))</f>
        <v/>
      </c>
      <c r="J230" t="s">
        <v>2068</v>
      </c>
      <c r="K230" t="s">
        <v>2096</v>
      </c>
      <c r="L230" t="s">
        <v>1928</v>
      </c>
      <c r="M230" t="s">
        <v>5169</v>
      </c>
    </row>
    <row r="231" spans="1:13">
      <c r="A231" t="s">
        <v>1977</v>
      </c>
      <c r="B231" t="s">
        <v>2246</v>
      </c>
      <c r="E231" t="str">
        <f xml:space="preserve"> CONCATENATE( MID(Table151823[[#This Row],[PHASE]],2,3), MID(Table151823[[#This Row],[DELIVERABLE]],2,4), TRIM(SUBSTITUTE(MID(Table151823[[#This Row],[CONCERN.ID]],2,20),"X","") )  )</f>
        <v>10.461.</v>
      </c>
      <c r="F231" t="str">
        <f>TRIM(MID(Table151823[[#This Row],[CONCERN.UNIQUEPATH]], IF( ISNUMBER( SEARCH("/",Table151823[[#This Row],[CONCERN.UNIQUEPATH]])),SEARCH("/",Table151823[[#This Row],[CONCERN.UNIQUEPATH]])+1,1),255))</f>
        <v/>
      </c>
      <c r="J231" t="s">
        <v>2068</v>
      </c>
      <c r="K231" t="s">
        <v>2096</v>
      </c>
      <c r="L231" t="s">
        <v>1928</v>
      </c>
      <c r="M231" t="s">
        <v>5170</v>
      </c>
    </row>
    <row r="232" spans="1:13">
      <c r="A232" t="s">
        <v>1977</v>
      </c>
      <c r="B232" t="s">
        <v>2246</v>
      </c>
      <c r="E232" t="str">
        <f xml:space="preserve"> CONCATENATE( MID(Table151823[[#This Row],[PHASE]],2,3), MID(Table151823[[#This Row],[DELIVERABLE]],2,4), TRIM(SUBSTITUTE(MID(Table151823[[#This Row],[CONCERN.ID]],2,20),"X","") )  )</f>
        <v>10.461.</v>
      </c>
      <c r="F232" t="str">
        <f>TRIM(MID(Table151823[[#This Row],[CONCERN.UNIQUEPATH]], IF( ISNUMBER( SEARCH("/",Table151823[[#This Row],[CONCERN.UNIQUEPATH]])),SEARCH("/",Table151823[[#This Row],[CONCERN.UNIQUEPATH]])+1,1),255))</f>
        <v/>
      </c>
      <c r="J232" t="s">
        <v>2068</v>
      </c>
      <c r="K232" t="s">
        <v>2106</v>
      </c>
      <c r="L232" t="s">
        <v>1928</v>
      </c>
      <c r="M232" t="s">
        <v>5171</v>
      </c>
    </row>
    <row r="233" spans="1:13">
      <c r="A233" t="s">
        <v>1977</v>
      </c>
      <c r="B233" t="s">
        <v>2246</v>
      </c>
      <c r="E233" t="str">
        <f xml:space="preserve"> CONCATENATE( MID(Table151823[[#This Row],[PHASE]],2,3), MID(Table151823[[#This Row],[DELIVERABLE]],2,4), TRIM(SUBSTITUTE(MID(Table151823[[#This Row],[CONCERN.ID]],2,20),"X","") )  )</f>
        <v>10.461.</v>
      </c>
      <c r="F233" t="str">
        <f>TRIM(MID(Table151823[[#This Row],[CONCERN.UNIQUEPATH]], IF( ISNUMBER( SEARCH("/",Table151823[[#This Row],[CONCERN.UNIQUEPATH]])),SEARCH("/",Table151823[[#This Row],[CONCERN.UNIQUEPATH]])+1,1),255))</f>
        <v/>
      </c>
      <c r="J233" t="s">
        <v>2068</v>
      </c>
      <c r="L233" t="s">
        <v>1928</v>
      </c>
      <c r="M233" t="s">
        <v>5172</v>
      </c>
    </row>
    <row r="234" spans="1:13">
      <c r="A234" t="s">
        <v>1977</v>
      </c>
      <c r="B234" t="s">
        <v>2246</v>
      </c>
      <c r="E234" t="str">
        <f xml:space="preserve"> CONCATENATE( MID(Table151823[[#This Row],[PHASE]],2,3), MID(Table151823[[#This Row],[DELIVERABLE]],2,4), TRIM(SUBSTITUTE(MID(Table151823[[#This Row],[CONCERN.ID]],2,20),"X","") )  )</f>
        <v>10.461.</v>
      </c>
      <c r="F234" t="str">
        <f>TRIM(MID(Table151823[[#This Row],[CONCERN.UNIQUEPATH]], IF( ISNUMBER( SEARCH("/",Table151823[[#This Row],[CONCERN.UNIQUEPATH]])),SEARCH("/",Table151823[[#This Row],[CONCERN.UNIQUEPATH]])+1,1),255))</f>
        <v/>
      </c>
      <c r="J234" t="s">
        <v>2068</v>
      </c>
      <c r="L234" t="s">
        <v>1928</v>
      </c>
      <c r="M234" t="s">
        <v>5173</v>
      </c>
    </row>
    <row r="235" spans="1:13">
      <c r="A235" t="s">
        <v>1977</v>
      </c>
      <c r="B235" t="s">
        <v>2246</v>
      </c>
      <c r="E235" t="str">
        <f xml:space="preserve"> CONCATENATE( MID(Table151823[[#This Row],[PHASE]],2,3), MID(Table151823[[#This Row],[DELIVERABLE]],2,4), TRIM(SUBSTITUTE(MID(Table151823[[#This Row],[CONCERN.ID]],2,20),"X","") )  )</f>
        <v>10.461.</v>
      </c>
      <c r="F235" t="str">
        <f>TRIM(MID(Table151823[[#This Row],[CONCERN.UNIQUEPATH]], IF( ISNUMBER( SEARCH("/",Table151823[[#This Row],[CONCERN.UNIQUEPATH]])),SEARCH("/",Table151823[[#This Row],[CONCERN.UNIQUEPATH]])+1,1),255))</f>
        <v/>
      </c>
      <c r="J235" t="s">
        <v>2068</v>
      </c>
      <c r="K235" t="s">
        <v>2032</v>
      </c>
      <c r="L235" t="s">
        <v>1928</v>
      </c>
      <c r="M235" t="s">
        <v>5174</v>
      </c>
    </row>
    <row r="236" spans="1:13">
      <c r="A236" t="s">
        <v>1977</v>
      </c>
      <c r="B236" t="s">
        <v>2246</v>
      </c>
      <c r="E236" t="str">
        <f xml:space="preserve"> CONCATENATE( MID(Table151823[[#This Row],[PHASE]],2,3), MID(Table151823[[#This Row],[DELIVERABLE]],2,4), TRIM(SUBSTITUTE(MID(Table151823[[#This Row],[CONCERN.ID]],2,20),"X","") )  )</f>
        <v>10.461.</v>
      </c>
      <c r="F236" t="str">
        <f>TRIM(MID(Table151823[[#This Row],[CONCERN.UNIQUEPATH]], IF( ISNUMBER( SEARCH("/",Table151823[[#This Row],[CONCERN.UNIQUEPATH]])),SEARCH("/",Table151823[[#This Row],[CONCERN.UNIQUEPATH]])+1,1),255))</f>
        <v/>
      </c>
      <c r="J236" t="s">
        <v>2068</v>
      </c>
      <c r="L236" t="s">
        <v>1928</v>
      </c>
      <c r="M236" t="s">
        <v>5175</v>
      </c>
    </row>
    <row r="237" spans="1:13">
      <c r="A237" t="s">
        <v>1977</v>
      </c>
      <c r="B237" t="s">
        <v>2246</v>
      </c>
      <c r="E237" t="str">
        <f xml:space="preserve"> CONCATENATE( MID(Table151823[[#This Row],[PHASE]],2,3), MID(Table151823[[#This Row],[DELIVERABLE]],2,4), TRIM(SUBSTITUTE(MID(Table151823[[#This Row],[CONCERN.ID]],2,20),"X","") )  )</f>
        <v>10.461.</v>
      </c>
      <c r="F237" t="str">
        <f>TRIM(MID(Table151823[[#This Row],[CONCERN.UNIQUEPATH]], IF( ISNUMBER( SEARCH("/",Table151823[[#This Row],[CONCERN.UNIQUEPATH]])),SEARCH("/",Table151823[[#This Row],[CONCERN.UNIQUEPATH]])+1,1),255))</f>
        <v/>
      </c>
      <c r="J237" t="s">
        <v>2068</v>
      </c>
      <c r="L237" t="s">
        <v>1928</v>
      </c>
      <c r="M237" t="s">
        <v>5176</v>
      </c>
    </row>
    <row r="238" spans="1:13">
      <c r="A238" t="s">
        <v>1977</v>
      </c>
      <c r="B238" t="s">
        <v>2246</v>
      </c>
      <c r="E238" t="str">
        <f xml:space="preserve"> CONCATENATE( MID(Table151823[[#This Row],[PHASE]],2,3), MID(Table151823[[#This Row],[DELIVERABLE]],2,4), TRIM(SUBSTITUTE(MID(Table151823[[#This Row],[CONCERN.ID]],2,20),"X","") )  )</f>
        <v>10.461.</v>
      </c>
      <c r="F238" t="str">
        <f>TRIM(MID(Table151823[[#This Row],[CONCERN.UNIQUEPATH]], IF( ISNUMBER( SEARCH("/",Table151823[[#This Row],[CONCERN.UNIQUEPATH]])),SEARCH("/",Table151823[[#This Row],[CONCERN.UNIQUEPATH]])+1,1),255))</f>
        <v/>
      </c>
      <c r="J238" t="s">
        <v>2068</v>
      </c>
      <c r="L238" t="s">
        <v>1928</v>
      </c>
      <c r="M238" t="s">
        <v>5177</v>
      </c>
    </row>
    <row r="239" spans="1:13">
      <c r="A239" t="s">
        <v>1977</v>
      </c>
      <c r="B239" t="s">
        <v>2246</v>
      </c>
      <c r="E239" t="str">
        <f xml:space="preserve"> CONCATENATE( MID(Table151823[[#This Row],[PHASE]],2,3), MID(Table151823[[#This Row],[DELIVERABLE]],2,4), TRIM(SUBSTITUTE(MID(Table151823[[#This Row],[CONCERN.ID]],2,20),"X","") )  )</f>
        <v>10.461.</v>
      </c>
      <c r="F239" t="str">
        <f>TRIM(MID(Table151823[[#This Row],[CONCERN.UNIQUEPATH]], IF( ISNUMBER( SEARCH("/",Table151823[[#This Row],[CONCERN.UNIQUEPATH]])),SEARCH("/",Table151823[[#This Row],[CONCERN.UNIQUEPATH]])+1,1),255))</f>
        <v/>
      </c>
      <c r="J239" t="s">
        <v>2068</v>
      </c>
      <c r="K239" t="s">
        <v>2100</v>
      </c>
      <c r="L239" t="s">
        <v>1928</v>
      </c>
      <c r="M239" t="s">
        <v>5178</v>
      </c>
    </row>
    <row r="240" spans="1:13">
      <c r="A240" t="s">
        <v>1977</v>
      </c>
      <c r="B240" t="s">
        <v>2246</v>
      </c>
      <c r="E240" t="str">
        <f xml:space="preserve"> CONCATENATE( MID(Table151823[[#This Row],[PHASE]],2,3), MID(Table151823[[#This Row],[DELIVERABLE]],2,4), TRIM(SUBSTITUTE(MID(Table151823[[#This Row],[CONCERN.ID]],2,20),"X","") )  )</f>
        <v>10.461.</v>
      </c>
      <c r="F240" t="str">
        <f>TRIM(MID(Table151823[[#This Row],[CONCERN.UNIQUEPATH]], IF( ISNUMBER( SEARCH("/",Table151823[[#This Row],[CONCERN.UNIQUEPATH]])),SEARCH("/",Table151823[[#This Row],[CONCERN.UNIQUEPATH]])+1,1),255))</f>
        <v/>
      </c>
      <c r="J240" t="s">
        <v>2068</v>
      </c>
      <c r="K240" t="s">
        <v>2100</v>
      </c>
      <c r="L240" t="s">
        <v>1928</v>
      </c>
      <c r="M240" t="s">
        <v>5179</v>
      </c>
    </row>
    <row r="241" spans="1:13">
      <c r="A241" t="s">
        <v>1977</v>
      </c>
      <c r="B241" t="s">
        <v>2246</v>
      </c>
      <c r="E241" t="str">
        <f xml:space="preserve"> CONCATENATE( MID(Table151823[[#This Row],[PHASE]],2,3), MID(Table151823[[#This Row],[DELIVERABLE]],2,4), TRIM(SUBSTITUTE(MID(Table151823[[#This Row],[CONCERN.ID]],2,20),"X","") )  )</f>
        <v>10.461.</v>
      </c>
      <c r="F241" t="str">
        <f>TRIM(MID(Table151823[[#This Row],[CONCERN.UNIQUEPATH]], IF( ISNUMBER( SEARCH("/",Table151823[[#This Row],[CONCERN.UNIQUEPATH]])),SEARCH("/",Table151823[[#This Row],[CONCERN.UNIQUEPATH]])+1,1),255))</f>
        <v/>
      </c>
      <c r="J241" t="s">
        <v>2068</v>
      </c>
      <c r="K241" t="s">
        <v>2100</v>
      </c>
      <c r="L241" t="s">
        <v>1928</v>
      </c>
      <c r="M241" t="s">
        <v>5180</v>
      </c>
    </row>
    <row r="242" spans="1:13">
      <c r="A242" t="s">
        <v>1977</v>
      </c>
      <c r="B242" t="s">
        <v>2246</v>
      </c>
      <c r="E242" t="str">
        <f xml:space="preserve"> CONCATENATE( MID(Table151823[[#This Row],[PHASE]],2,3), MID(Table151823[[#This Row],[DELIVERABLE]],2,4), TRIM(SUBSTITUTE(MID(Table151823[[#This Row],[CONCERN.ID]],2,20),"X","") )  )</f>
        <v>10.461.</v>
      </c>
      <c r="F242" t="str">
        <f>TRIM(MID(Table151823[[#This Row],[CONCERN.UNIQUEPATH]], IF( ISNUMBER( SEARCH("/",Table151823[[#This Row],[CONCERN.UNIQUEPATH]])),SEARCH("/",Table151823[[#This Row],[CONCERN.UNIQUEPATH]])+1,1),255))</f>
        <v/>
      </c>
      <c r="J242" t="s">
        <v>2068</v>
      </c>
      <c r="K242" t="s">
        <v>2100</v>
      </c>
      <c r="L242" t="s">
        <v>1928</v>
      </c>
      <c r="M242" t="s">
        <v>5181</v>
      </c>
    </row>
    <row r="243" spans="1:13">
      <c r="A243" t="s">
        <v>1977</v>
      </c>
      <c r="B243" t="s">
        <v>2246</v>
      </c>
      <c r="E243" t="str">
        <f xml:space="preserve"> CONCATENATE( MID(Table151823[[#This Row],[PHASE]],2,3), MID(Table151823[[#This Row],[DELIVERABLE]],2,4), TRIM(SUBSTITUTE(MID(Table151823[[#This Row],[CONCERN.ID]],2,20),"X","") )  )</f>
        <v>10.461.</v>
      </c>
      <c r="F243" t="str">
        <f>TRIM(MID(Table151823[[#This Row],[CONCERN.UNIQUEPATH]], IF( ISNUMBER( SEARCH("/",Table151823[[#This Row],[CONCERN.UNIQUEPATH]])),SEARCH("/",Table151823[[#This Row],[CONCERN.UNIQUEPATH]])+1,1),255))</f>
        <v/>
      </c>
      <c r="J243" t="s">
        <v>2068</v>
      </c>
      <c r="K243" t="s">
        <v>2100</v>
      </c>
      <c r="L243" t="s">
        <v>1928</v>
      </c>
      <c r="M243" t="s">
        <v>5182</v>
      </c>
    </row>
    <row r="244" spans="1:13">
      <c r="A244" t="s">
        <v>1977</v>
      </c>
      <c r="B244" t="s">
        <v>2246</v>
      </c>
      <c r="E244" t="str">
        <f xml:space="preserve"> CONCATENATE( MID(Table151823[[#This Row],[PHASE]],2,3), MID(Table151823[[#This Row],[DELIVERABLE]],2,4), TRIM(SUBSTITUTE(MID(Table151823[[#This Row],[CONCERN.ID]],2,20),"X","") )  )</f>
        <v>10.461.</v>
      </c>
      <c r="F244" t="str">
        <f>TRIM(MID(Table151823[[#This Row],[CONCERN.UNIQUEPATH]], IF( ISNUMBER( SEARCH("/",Table151823[[#This Row],[CONCERN.UNIQUEPATH]])),SEARCH("/",Table151823[[#This Row],[CONCERN.UNIQUEPATH]])+1,1),255))</f>
        <v/>
      </c>
      <c r="J244" t="s">
        <v>2068</v>
      </c>
      <c r="K244" t="s">
        <v>2100</v>
      </c>
      <c r="L244" t="s">
        <v>1928</v>
      </c>
      <c r="M244" t="s">
        <v>5183</v>
      </c>
    </row>
    <row r="245" spans="1:13">
      <c r="A245" t="s">
        <v>1977</v>
      </c>
      <c r="B245" t="s">
        <v>2246</v>
      </c>
      <c r="E245" t="str">
        <f xml:space="preserve"> CONCATENATE( MID(Table151823[[#This Row],[PHASE]],2,3), MID(Table151823[[#This Row],[DELIVERABLE]],2,4), TRIM(SUBSTITUTE(MID(Table151823[[#This Row],[CONCERN.ID]],2,20),"X","") )  )</f>
        <v>10.461.</v>
      </c>
      <c r="F245" t="str">
        <f>TRIM(MID(Table151823[[#This Row],[CONCERN.UNIQUEPATH]], IF( ISNUMBER( SEARCH("/",Table151823[[#This Row],[CONCERN.UNIQUEPATH]])),SEARCH("/",Table151823[[#This Row],[CONCERN.UNIQUEPATH]])+1,1),255))</f>
        <v/>
      </c>
      <c r="J245" t="s">
        <v>2068</v>
      </c>
      <c r="K245" t="s">
        <v>2100</v>
      </c>
      <c r="L245" t="s">
        <v>1928</v>
      </c>
      <c r="M245" t="s">
        <v>5184</v>
      </c>
    </row>
    <row r="246" spans="1:13">
      <c r="A246" t="s">
        <v>1977</v>
      </c>
      <c r="B246" t="s">
        <v>2246</v>
      </c>
      <c r="E246" t="str">
        <f xml:space="preserve"> CONCATENATE( MID(Table151823[[#This Row],[PHASE]],2,3), MID(Table151823[[#This Row],[DELIVERABLE]],2,4), TRIM(SUBSTITUTE(MID(Table151823[[#This Row],[CONCERN.ID]],2,20),"X","") )  )</f>
        <v>10.461.</v>
      </c>
      <c r="F246" t="str">
        <f>TRIM(MID(Table151823[[#This Row],[CONCERN.UNIQUEPATH]], IF( ISNUMBER( SEARCH("/",Table151823[[#This Row],[CONCERN.UNIQUEPATH]])),SEARCH("/",Table151823[[#This Row],[CONCERN.UNIQUEPATH]])+1,1),255))</f>
        <v/>
      </c>
      <c r="J246" t="s">
        <v>2068</v>
      </c>
      <c r="K246" t="s">
        <v>2026</v>
      </c>
      <c r="L246" t="s">
        <v>1928</v>
      </c>
      <c r="M246" t="s">
        <v>5185</v>
      </c>
    </row>
    <row r="247" spans="1:13">
      <c r="A247" t="s">
        <v>1977</v>
      </c>
      <c r="B247" t="s">
        <v>2246</v>
      </c>
      <c r="E247" t="str">
        <f xml:space="preserve"> CONCATENATE( MID(Table151823[[#This Row],[PHASE]],2,3), MID(Table151823[[#This Row],[DELIVERABLE]],2,4), TRIM(SUBSTITUTE(MID(Table151823[[#This Row],[CONCERN.ID]],2,20),"X","") )  )</f>
        <v>10.461.</v>
      </c>
      <c r="F247" t="str">
        <f>TRIM(MID(Table151823[[#This Row],[CONCERN.UNIQUEPATH]], IF( ISNUMBER( SEARCH("/",Table151823[[#This Row],[CONCERN.UNIQUEPATH]])),SEARCH("/",Table151823[[#This Row],[CONCERN.UNIQUEPATH]])+1,1),255))</f>
        <v/>
      </c>
      <c r="J247" t="s">
        <v>2068</v>
      </c>
      <c r="K247" t="s">
        <v>2100</v>
      </c>
      <c r="L247" t="s">
        <v>1928</v>
      </c>
      <c r="M247" t="s">
        <v>5186</v>
      </c>
    </row>
    <row r="248" spans="1:13">
      <c r="A248" t="s">
        <v>1977</v>
      </c>
      <c r="B248" t="s">
        <v>2246</v>
      </c>
      <c r="E248" t="str">
        <f xml:space="preserve"> CONCATENATE( MID(Table151823[[#This Row],[PHASE]],2,3), MID(Table151823[[#This Row],[DELIVERABLE]],2,4), TRIM(SUBSTITUTE(MID(Table151823[[#This Row],[CONCERN.ID]],2,20),"X","") )  )</f>
        <v>10.461.</v>
      </c>
      <c r="F248" t="str">
        <f>TRIM(MID(Table151823[[#This Row],[CONCERN.UNIQUEPATH]], IF( ISNUMBER( SEARCH("/",Table151823[[#This Row],[CONCERN.UNIQUEPATH]])),SEARCH("/",Table151823[[#This Row],[CONCERN.UNIQUEPATH]])+1,1),255))</f>
        <v/>
      </c>
      <c r="J248" t="s">
        <v>2068</v>
      </c>
      <c r="K248" t="s">
        <v>2100</v>
      </c>
      <c r="L248" t="s">
        <v>1928</v>
      </c>
      <c r="M248" t="s">
        <v>5187</v>
      </c>
    </row>
    <row r="249" spans="1:13">
      <c r="A249" t="s">
        <v>1977</v>
      </c>
      <c r="B249" t="s">
        <v>2246</v>
      </c>
      <c r="E249" t="str">
        <f xml:space="preserve"> CONCATENATE( MID(Table151823[[#This Row],[PHASE]],2,3), MID(Table151823[[#This Row],[DELIVERABLE]],2,4), TRIM(SUBSTITUTE(MID(Table151823[[#This Row],[CONCERN.ID]],2,20),"X","") )  )</f>
        <v>10.461.</v>
      </c>
      <c r="F249" t="str">
        <f>TRIM(MID(Table151823[[#This Row],[CONCERN.UNIQUEPATH]], IF( ISNUMBER( SEARCH("/",Table151823[[#This Row],[CONCERN.UNIQUEPATH]])),SEARCH("/",Table151823[[#This Row],[CONCERN.UNIQUEPATH]])+1,1),255))</f>
        <v/>
      </c>
      <c r="J249" t="s">
        <v>2068</v>
      </c>
      <c r="K249" t="s">
        <v>2100</v>
      </c>
      <c r="L249" t="s">
        <v>1928</v>
      </c>
      <c r="M249" t="s">
        <v>5188</v>
      </c>
    </row>
    <row r="250" spans="1:13">
      <c r="A250" t="s">
        <v>1977</v>
      </c>
      <c r="B250" t="s">
        <v>2246</v>
      </c>
      <c r="E250" t="str">
        <f xml:space="preserve"> CONCATENATE( MID(Table151823[[#This Row],[PHASE]],2,3), MID(Table151823[[#This Row],[DELIVERABLE]],2,4), TRIM(SUBSTITUTE(MID(Table151823[[#This Row],[CONCERN.ID]],2,20),"X","") )  )</f>
        <v>10.461.</v>
      </c>
      <c r="F250" t="str">
        <f>TRIM(MID(Table151823[[#This Row],[CONCERN.UNIQUEPATH]], IF( ISNUMBER( SEARCH("/",Table151823[[#This Row],[CONCERN.UNIQUEPATH]])),SEARCH("/",Table151823[[#This Row],[CONCERN.UNIQUEPATH]])+1,1),255))</f>
        <v/>
      </c>
      <c r="J250" t="s">
        <v>2068</v>
      </c>
      <c r="K250" t="s">
        <v>2036</v>
      </c>
      <c r="L250" t="s">
        <v>1928</v>
      </c>
      <c r="M250" t="s">
        <v>5189</v>
      </c>
    </row>
    <row r="251" spans="1:13">
      <c r="A251" t="s">
        <v>1977</v>
      </c>
      <c r="B251" t="s">
        <v>2246</v>
      </c>
      <c r="E251" t="str">
        <f xml:space="preserve"> CONCATENATE( MID(Table151823[[#This Row],[PHASE]],2,3), MID(Table151823[[#This Row],[DELIVERABLE]],2,4), TRIM(SUBSTITUTE(MID(Table151823[[#This Row],[CONCERN.ID]],2,20),"X","") )  )</f>
        <v>10.461.</v>
      </c>
      <c r="F251" t="str">
        <f>TRIM(MID(Table151823[[#This Row],[CONCERN.UNIQUEPATH]], IF( ISNUMBER( SEARCH("/",Table151823[[#This Row],[CONCERN.UNIQUEPATH]])),SEARCH("/",Table151823[[#This Row],[CONCERN.UNIQUEPATH]])+1,1),255))</f>
        <v/>
      </c>
      <c r="J251" t="s">
        <v>2068</v>
      </c>
      <c r="K251" t="s">
        <v>2036</v>
      </c>
      <c r="L251" t="s">
        <v>1928</v>
      </c>
      <c r="M251" t="s">
        <v>5190</v>
      </c>
    </row>
    <row r="252" spans="1:13">
      <c r="A252" t="s">
        <v>1977</v>
      </c>
      <c r="B252" t="s">
        <v>2246</v>
      </c>
      <c r="E252" t="str">
        <f xml:space="preserve"> CONCATENATE( MID(Table151823[[#This Row],[PHASE]],2,3), MID(Table151823[[#This Row],[DELIVERABLE]],2,4), TRIM(SUBSTITUTE(MID(Table151823[[#This Row],[CONCERN.ID]],2,20),"X","") )  )</f>
        <v>10.461.</v>
      </c>
      <c r="F252" t="str">
        <f>TRIM(MID(Table151823[[#This Row],[CONCERN.UNIQUEPATH]], IF( ISNUMBER( SEARCH("/",Table151823[[#This Row],[CONCERN.UNIQUEPATH]])),SEARCH("/",Table151823[[#This Row],[CONCERN.UNIQUEPATH]])+1,1),255))</f>
        <v/>
      </c>
      <c r="J252" t="s">
        <v>2068</v>
      </c>
      <c r="K252" t="s">
        <v>2036</v>
      </c>
      <c r="L252" t="s">
        <v>1928</v>
      </c>
      <c r="M252" t="s">
        <v>5191</v>
      </c>
    </row>
    <row r="253" spans="1:13">
      <c r="A253" t="s">
        <v>1977</v>
      </c>
      <c r="B253" t="s">
        <v>2246</v>
      </c>
      <c r="E253" t="str">
        <f xml:space="preserve"> CONCATENATE( MID(Table151823[[#This Row],[PHASE]],2,3), MID(Table151823[[#This Row],[DELIVERABLE]],2,4), TRIM(SUBSTITUTE(MID(Table151823[[#This Row],[CONCERN.ID]],2,20),"X","") )  )</f>
        <v>10.461.</v>
      </c>
      <c r="F253" t="str">
        <f>TRIM(MID(Table151823[[#This Row],[CONCERN.UNIQUEPATH]], IF( ISNUMBER( SEARCH("/",Table151823[[#This Row],[CONCERN.UNIQUEPATH]])),SEARCH("/",Table151823[[#This Row],[CONCERN.UNIQUEPATH]])+1,1),255))</f>
        <v/>
      </c>
      <c r="J253" t="s">
        <v>2068</v>
      </c>
      <c r="K253" t="s">
        <v>2024</v>
      </c>
      <c r="L253" t="s">
        <v>1928</v>
      </c>
      <c r="M253" t="s">
        <v>5192</v>
      </c>
    </row>
    <row r="254" spans="1:13">
      <c r="A254" t="s">
        <v>1977</v>
      </c>
      <c r="B254" t="s">
        <v>2246</v>
      </c>
      <c r="E254" t="str">
        <f xml:space="preserve"> CONCATENATE( MID(Table151823[[#This Row],[PHASE]],2,3), MID(Table151823[[#This Row],[DELIVERABLE]],2,4), TRIM(SUBSTITUTE(MID(Table151823[[#This Row],[CONCERN.ID]],2,20),"X","") )  )</f>
        <v>10.461.</v>
      </c>
      <c r="F254" t="str">
        <f>TRIM(MID(Table151823[[#This Row],[CONCERN.UNIQUEPATH]], IF( ISNUMBER( SEARCH("/",Table151823[[#This Row],[CONCERN.UNIQUEPATH]])),SEARCH("/",Table151823[[#This Row],[CONCERN.UNIQUEPATH]])+1,1),255))</f>
        <v/>
      </c>
      <c r="J254" t="s">
        <v>2068</v>
      </c>
      <c r="K254" t="s">
        <v>2024</v>
      </c>
      <c r="L254" t="s">
        <v>1928</v>
      </c>
      <c r="M254" t="s">
        <v>5193</v>
      </c>
    </row>
    <row r="255" spans="1:13">
      <c r="A255" t="s">
        <v>1977</v>
      </c>
      <c r="B255" t="s">
        <v>2246</v>
      </c>
      <c r="E255" t="str">
        <f xml:space="preserve"> CONCATENATE( MID(Table151823[[#This Row],[PHASE]],2,3), MID(Table151823[[#This Row],[DELIVERABLE]],2,4), TRIM(SUBSTITUTE(MID(Table151823[[#This Row],[CONCERN.ID]],2,20),"X","") )  )</f>
        <v>10.461.</v>
      </c>
      <c r="F255" t="str">
        <f>TRIM(MID(Table151823[[#This Row],[CONCERN.UNIQUEPATH]], IF( ISNUMBER( SEARCH("/",Table151823[[#This Row],[CONCERN.UNIQUEPATH]])),SEARCH("/",Table151823[[#This Row],[CONCERN.UNIQUEPATH]])+1,1),255))</f>
        <v/>
      </c>
      <c r="J255" t="s">
        <v>2068</v>
      </c>
      <c r="K255" t="s">
        <v>2024</v>
      </c>
      <c r="L255" t="s">
        <v>1928</v>
      </c>
      <c r="M255" t="s">
        <v>5194</v>
      </c>
    </row>
    <row r="256" spans="1:13">
      <c r="A256" t="s">
        <v>1977</v>
      </c>
      <c r="B256" t="s">
        <v>2246</v>
      </c>
      <c r="E256" t="str">
        <f xml:space="preserve"> CONCATENATE( MID(Table151823[[#This Row],[PHASE]],2,3), MID(Table151823[[#This Row],[DELIVERABLE]],2,4), TRIM(SUBSTITUTE(MID(Table151823[[#This Row],[CONCERN.ID]],2,20),"X","") )  )</f>
        <v>10.461.</v>
      </c>
      <c r="F256" t="str">
        <f>TRIM(MID(Table151823[[#This Row],[CONCERN.UNIQUEPATH]], IF( ISNUMBER( SEARCH("/",Table151823[[#This Row],[CONCERN.UNIQUEPATH]])),SEARCH("/",Table151823[[#This Row],[CONCERN.UNIQUEPATH]])+1,1),255))</f>
        <v/>
      </c>
      <c r="J256" t="s">
        <v>2068</v>
      </c>
      <c r="K256" t="s">
        <v>1971</v>
      </c>
      <c r="L256" t="s">
        <v>1928</v>
      </c>
      <c r="M256" t="s">
        <v>5195</v>
      </c>
    </row>
    <row r="257" spans="1:13">
      <c r="A257" t="s">
        <v>1977</v>
      </c>
      <c r="B257" t="s">
        <v>2246</v>
      </c>
      <c r="E257" t="str">
        <f xml:space="preserve"> CONCATENATE( MID(Table151823[[#This Row],[PHASE]],2,3), MID(Table151823[[#This Row],[DELIVERABLE]],2,4), TRIM(SUBSTITUTE(MID(Table151823[[#This Row],[CONCERN.ID]],2,20),"X","") )  )</f>
        <v>10.461.</v>
      </c>
      <c r="F257" t="str">
        <f>TRIM(MID(Table151823[[#This Row],[CONCERN.UNIQUEPATH]], IF( ISNUMBER( SEARCH("/",Table151823[[#This Row],[CONCERN.UNIQUEPATH]])),SEARCH("/",Table151823[[#This Row],[CONCERN.UNIQUEPATH]])+1,1),255))</f>
        <v/>
      </c>
      <c r="J257" t="s">
        <v>2068</v>
      </c>
      <c r="K257" t="s">
        <v>1975</v>
      </c>
      <c r="L257" t="s">
        <v>1928</v>
      </c>
      <c r="M257" t="s">
        <v>5196</v>
      </c>
    </row>
    <row r="258" spans="1:13">
      <c r="A258" t="s">
        <v>1977</v>
      </c>
      <c r="B258" t="s">
        <v>2246</v>
      </c>
      <c r="E258" t="str">
        <f xml:space="preserve"> CONCATENATE( MID(Table151823[[#This Row],[PHASE]],2,3), MID(Table151823[[#This Row],[DELIVERABLE]],2,4), TRIM(SUBSTITUTE(MID(Table151823[[#This Row],[CONCERN.ID]],2,20),"X","") )  )</f>
        <v>10.461.</v>
      </c>
      <c r="F258" t="str">
        <f>TRIM(MID(Table151823[[#This Row],[CONCERN.UNIQUEPATH]], IF( ISNUMBER( SEARCH("/",Table151823[[#This Row],[CONCERN.UNIQUEPATH]])),SEARCH("/",Table151823[[#This Row],[CONCERN.UNIQUEPATH]])+1,1),255))</f>
        <v/>
      </c>
      <c r="J258" t="s">
        <v>2068</v>
      </c>
      <c r="K258" t="s">
        <v>2100</v>
      </c>
      <c r="L258" t="s">
        <v>1928</v>
      </c>
      <c r="M258" t="s">
        <v>5197</v>
      </c>
    </row>
    <row r="259" spans="1:13">
      <c r="A259" t="s">
        <v>1977</v>
      </c>
      <c r="B259" t="s">
        <v>2246</v>
      </c>
      <c r="E259" t="str">
        <f xml:space="preserve"> CONCATENATE( MID(Table151823[[#This Row],[PHASE]],2,3), MID(Table151823[[#This Row],[DELIVERABLE]],2,4), TRIM(SUBSTITUTE(MID(Table151823[[#This Row],[CONCERN.ID]],2,20),"X","") )  )</f>
        <v>10.461.</v>
      </c>
      <c r="F259" t="str">
        <f>TRIM(MID(Table151823[[#This Row],[CONCERN.UNIQUEPATH]], IF( ISNUMBER( SEARCH("/",Table151823[[#This Row],[CONCERN.UNIQUEPATH]])),SEARCH("/",Table151823[[#This Row],[CONCERN.UNIQUEPATH]])+1,1),255))</f>
        <v/>
      </c>
      <c r="J259" t="s">
        <v>2068</v>
      </c>
      <c r="L259" t="s">
        <v>1928</v>
      </c>
      <c r="M259" t="s">
        <v>5198</v>
      </c>
    </row>
    <row r="260" spans="1:13">
      <c r="A260" t="s">
        <v>1977</v>
      </c>
      <c r="B260" t="s">
        <v>2246</v>
      </c>
      <c r="E260" t="str">
        <f xml:space="preserve"> CONCATENATE( MID(Table151823[[#This Row],[PHASE]],2,3), MID(Table151823[[#This Row],[DELIVERABLE]],2,4), TRIM(SUBSTITUTE(MID(Table151823[[#This Row],[CONCERN.ID]],2,20),"X","") )  )</f>
        <v>10.461.</v>
      </c>
      <c r="F260" t="str">
        <f>TRIM(MID(Table151823[[#This Row],[CONCERN.UNIQUEPATH]], IF( ISNUMBER( SEARCH("/",Table151823[[#This Row],[CONCERN.UNIQUEPATH]])),SEARCH("/",Table151823[[#This Row],[CONCERN.UNIQUEPATH]])+1,1),255))</f>
        <v/>
      </c>
      <c r="J260" t="s">
        <v>2068</v>
      </c>
      <c r="L260" t="s">
        <v>1928</v>
      </c>
      <c r="M260" t="s">
        <v>5199</v>
      </c>
    </row>
    <row r="261" spans="1:13">
      <c r="A261" t="s">
        <v>1977</v>
      </c>
      <c r="B261" t="s">
        <v>2246</v>
      </c>
      <c r="E261" t="str">
        <f xml:space="preserve"> CONCATENATE( MID(Table151823[[#This Row],[PHASE]],2,3), MID(Table151823[[#This Row],[DELIVERABLE]],2,4), TRIM(SUBSTITUTE(MID(Table151823[[#This Row],[CONCERN.ID]],2,20),"X","") )  )</f>
        <v>10.461.</v>
      </c>
      <c r="F261" t="str">
        <f>TRIM(MID(Table151823[[#This Row],[CONCERN.UNIQUEPATH]], IF( ISNUMBER( SEARCH("/",Table151823[[#This Row],[CONCERN.UNIQUEPATH]])),SEARCH("/",Table151823[[#This Row],[CONCERN.UNIQUEPATH]])+1,1),255))</f>
        <v/>
      </c>
      <c r="J261" t="s">
        <v>2068</v>
      </c>
      <c r="L261" t="s">
        <v>1928</v>
      </c>
      <c r="M261" t="s">
        <v>5200</v>
      </c>
    </row>
    <row r="262" spans="1:13">
      <c r="A262" t="s">
        <v>1977</v>
      </c>
      <c r="B262" t="s">
        <v>2246</v>
      </c>
      <c r="E262" t="str">
        <f xml:space="preserve"> CONCATENATE( MID(Table151823[[#This Row],[PHASE]],2,3), MID(Table151823[[#This Row],[DELIVERABLE]],2,4), TRIM(SUBSTITUTE(MID(Table151823[[#This Row],[CONCERN.ID]],2,20),"X","") )  )</f>
        <v>10.461.</v>
      </c>
      <c r="F262" t="str">
        <f>TRIM(MID(Table151823[[#This Row],[CONCERN.UNIQUEPATH]], IF( ISNUMBER( SEARCH("/",Table151823[[#This Row],[CONCERN.UNIQUEPATH]])),SEARCH("/",Table151823[[#This Row],[CONCERN.UNIQUEPATH]])+1,1),255))</f>
        <v/>
      </c>
      <c r="J262" t="s">
        <v>2068</v>
      </c>
      <c r="L262" t="s">
        <v>1928</v>
      </c>
      <c r="M262" t="s">
        <v>5201</v>
      </c>
    </row>
    <row r="263" spans="1:13">
      <c r="A263" t="s">
        <v>1977</v>
      </c>
      <c r="B263" t="s">
        <v>2246</v>
      </c>
      <c r="E263" t="str">
        <f xml:space="preserve"> CONCATENATE( MID(Table151823[[#This Row],[PHASE]],2,3), MID(Table151823[[#This Row],[DELIVERABLE]],2,4), TRIM(SUBSTITUTE(MID(Table151823[[#This Row],[CONCERN.ID]],2,20),"X","") )  )</f>
        <v>10.461.</v>
      </c>
      <c r="F263" t="str">
        <f>TRIM(MID(Table151823[[#This Row],[CONCERN.UNIQUEPATH]], IF( ISNUMBER( SEARCH("/",Table151823[[#This Row],[CONCERN.UNIQUEPATH]])),SEARCH("/",Table151823[[#This Row],[CONCERN.UNIQUEPATH]])+1,1),255))</f>
        <v/>
      </c>
      <c r="J263" t="s">
        <v>2068</v>
      </c>
      <c r="L263" t="s">
        <v>1928</v>
      </c>
      <c r="M263" t="s">
        <v>5202</v>
      </c>
    </row>
    <row r="264" spans="1:13">
      <c r="A264" t="s">
        <v>1977</v>
      </c>
      <c r="B264" t="s">
        <v>2246</v>
      </c>
      <c r="E264" t="str">
        <f xml:space="preserve"> CONCATENATE( MID(Table151823[[#This Row],[PHASE]],2,3), MID(Table151823[[#This Row],[DELIVERABLE]],2,4), TRIM(SUBSTITUTE(MID(Table151823[[#This Row],[CONCERN.ID]],2,20),"X","") )  )</f>
        <v>10.461.</v>
      </c>
      <c r="F264" t="str">
        <f>TRIM(MID(Table151823[[#This Row],[CONCERN.UNIQUEPATH]], IF( ISNUMBER( SEARCH("/",Table151823[[#This Row],[CONCERN.UNIQUEPATH]])),SEARCH("/",Table151823[[#This Row],[CONCERN.UNIQUEPATH]])+1,1),255))</f>
        <v/>
      </c>
      <c r="J264" t="s">
        <v>2068</v>
      </c>
      <c r="L264" t="s">
        <v>1928</v>
      </c>
      <c r="M264" t="s">
        <v>5203</v>
      </c>
    </row>
    <row r="265" spans="1:13">
      <c r="A265" t="s">
        <v>1977</v>
      </c>
      <c r="B265" t="s">
        <v>2246</v>
      </c>
      <c r="E265" t="str">
        <f xml:space="preserve"> CONCATENATE( MID(Table151823[[#This Row],[PHASE]],2,3), MID(Table151823[[#This Row],[DELIVERABLE]],2,4), TRIM(SUBSTITUTE(MID(Table151823[[#This Row],[CONCERN.ID]],2,20),"X","") )  )</f>
        <v>10.461.</v>
      </c>
      <c r="F265" t="str">
        <f>TRIM(MID(Table151823[[#This Row],[CONCERN.UNIQUEPATH]], IF( ISNUMBER( SEARCH("/",Table151823[[#This Row],[CONCERN.UNIQUEPATH]])),SEARCH("/",Table151823[[#This Row],[CONCERN.UNIQUEPATH]])+1,1),255))</f>
        <v/>
      </c>
      <c r="J265" t="s">
        <v>2068</v>
      </c>
      <c r="L265" t="s">
        <v>1928</v>
      </c>
      <c r="M265" t="s">
        <v>5142</v>
      </c>
    </row>
    <row r="266" spans="1:13">
      <c r="A266" t="s">
        <v>1977</v>
      </c>
      <c r="B266" t="s">
        <v>2246</v>
      </c>
      <c r="E266" t="str">
        <f xml:space="preserve"> CONCATENATE( MID(Table151823[[#This Row],[PHASE]],2,3), MID(Table151823[[#This Row],[DELIVERABLE]],2,4), TRIM(SUBSTITUTE(MID(Table151823[[#This Row],[CONCERN.ID]],2,20),"X","") )  )</f>
        <v>10.461.</v>
      </c>
      <c r="F266" t="str">
        <f>TRIM(MID(Table151823[[#This Row],[CONCERN.UNIQUEPATH]], IF( ISNUMBER( SEARCH("/",Table151823[[#This Row],[CONCERN.UNIQUEPATH]])),SEARCH("/",Table151823[[#This Row],[CONCERN.UNIQUEPATH]])+1,1),255))</f>
        <v/>
      </c>
      <c r="J266" t="s">
        <v>2068</v>
      </c>
      <c r="L266" t="s">
        <v>1928</v>
      </c>
      <c r="M266" t="s">
        <v>5204</v>
      </c>
    </row>
    <row r="267" spans="1:13">
      <c r="A267" t="s">
        <v>1977</v>
      </c>
      <c r="B267" t="s">
        <v>2246</v>
      </c>
      <c r="E267" t="str">
        <f xml:space="preserve"> CONCATENATE( MID(Table151823[[#This Row],[PHASE]],2,3), MID(Table151823[[#This Row],[DELIVERABLE]],2,4), TRIM(SUBSTITUTE(MID(Table151823[[#This Row],[CONCERN.ID]],2,20),"X","") )  )</f>
        <v>10.461.</v>
      </c>
      <c r="F267" t="str">
        <f>TRIM(MID(Table151823[[#This Row],[CONCERN.UNIQUEPATH]], IF( ISNUMBER( SEARCH("/",Table151823[[#This Row],[CONCERN.UNIQUEPATH]])),SEARCH("/",Table151823[[#This Row],[CONCERN.UNIQUEPATH]])+1,1),255))</f>
        <v/>
      </c>
      <c r="J267" t="s">
        <v>2068</v>
      </c>
      <c r="L267" t="s">
        <v>1928</v>
      </c>
      <c r="M267" t="s">
        <v>5205</v>
      </c>
    </row>
    <row r="268" spans="1:13">
      <c r="A268" t="s">
        <v>1977</v>
      </c>
      <c r="B268" t="s">
        <v>2246</v>
      </c>
      <c r="E268" t="str">
        <f xml:space="preserve"> CONCATENATE( MID(Table151823[[#This Row],[PHASE]],2,3), MID(Table151823[[#This Row],[DELIVERABLE]],2,4), TRIM(SUBSTITUTE(MID(Table151823[[#This Row],[CONCERN.ID]],2,20),"X","") )  )</f>
        <v>10.461.</v>
      </c>
      <c r="F268" t="str">
        <f>TRIM(MID(Table151823[[#This Row],[CONCERN.UNIQUEPATH]], IF( ISNUMBER( SEARCH("/",Table151823[[#This Row],[CONCERN.UNIQUEPATH]])),SEARCH("/",Table151823[[#This Row],[CONCERN.UNIQUEPATH]])+1,1),255))</f>
        <v/>
      </c>
      <c r="J268" t="s">
        <v>2068</v>
      </c>
      <c r="K268" t="s">
        <v>2100</v>
      </c>
      <c r="L268" t="s">
        <v>1928</v>
      </c>
      <c r="M268" t="s">
        <v>5206</v>
      </c>
    </row>
    <row r="269" spans="1:13">
      <c r="A269" t="s">
        <v>1977</v>
      </c>
      <c r="B269" t="s">
        <v>2246</v>
      </c>
      <c r="E269" t="str">
        <f xml:space="preserve"> CONCATENATE( MID(Table151823[[#This Row],[PHASE]],2,3), MID(Table151823[[#This Row],[DELIVERABLE]],2,4), TRIM(SUBSTITUTE(MID(Table151823[[#This Row],[CONCERN.ID]],2,20),"X","") )  )</f>
        <v>10.461.</v>
      </c>
      <c r="F269" t="str">
        <f>TRIM(MID(Table151823[[#This Row],[CONCERN.UNIQUEPATH]], IF( ISNUMBER( SEARCH("/",Table151823[[#This Row],[CONCERN.UNIQUEPATH]])),SEARCH("/",Table151823[[#This Row],[CONCERN.UNIQUEPATH]])+1,1),255))</f>
        <v/>
      </c>
      <c r="J269" t="s">
        <v>2068</v>
      </c>
      <c r="K269" t="s">
        <v>2100</v>
      </c>
      <c r="L269" t="s">
        <v>1928</v>
      </c>
      <c r="M269" t="s">
        <v>5207</v>
      </c>
    </row>
    <row r="270" spans="1:13">
      <c r="A270" t="s">
        <v>1977</v>
      </c>
      <c r="B270" t="s">
        <v>2246</v>
      </c>
      <c r="E270" t="str">
        <f xml:space="preserve"> CONCATENATE( MID(Table151823[[#This Row],[PHASE]],2,3), MID(Table151823[[#This Row],[DELIVERABLE]],2,4), TRIM(SUBSTITUTE(MID(Table151823[[#This Row],[CONCERN.ID]],2,20),"X","") )  )</f>
        <v>10.461.</v>
      </c>
      <c r="F270" t="str">
        <f>TRIM(MID(Table151823[[#This Row],[CONCERN.UNIQUEPATH]], IF( ISNUMBER( SEARCH("/",Table151823[[#This Row],[CONCERN.UNIQUEPATH]])),SEARCH("/",Table151823[[#This Row],[CONCERN.UNIQUEPATH]])+1,1),255))</f>
        <v/>
      </c>
      <c r="J270" t="s">
        <v>2068</v>
      </c>
      <c r="K270" t="s">
        <v>2032</v>
      </c>
      <c r="L270" t="s">
        <v>1928</v>
      </c>
      <c r="M270" t="s">
        <v>5208</v>
      </c>
    </row>
    <row r="271" spans="1:13">
      <c r="A271" t="s">
        <v>1977</v>
      </c>
      <c r="B271" t="s">
        <v>2246</v>
      </c>
      <c r="E271" t="str">
        <f xml:space="preserve"> CONCATENATE( MID(Table151823[[#This Row],[PHASE]],2,3), MID(Table151823[[#This Row],[DELIVERABLE]],2,4), TRIM(SUBSTITUTE(MID(Table151823[[#This Row],[CONCERN.ID]],2,20),"X","") )  )</f>
        <v>10.461.</v>
      </c>
      <c r="F271" t="str">
        <f>TRIM(MID(Table151823[[#This Row],[CONCERN.UNIQUEPATH]], IF( ISNUMBER( SEARCH("/",Table151823[[#This Row],[CONCERN.UNIQUEPATH]])),SEARCH("/",Table151823[[#This Row],[CONCERN.UNIQUEPATH]])+1,1),255))</f>
        <v/>
      </c>
      <c r="J271" t="s">
        <v>2068</v>
      </c>
      <c r="K271" t="s">
        <v>2092</v>
      </c>
      <c r="L271" t="s">
        <v>1928</v>
      </c>
      <c r="M271" t="s">
        <v>5209</v>
      </c>
    </row>
    <row r="272" spans="1:13">
      <c r="A272" t="s">
        <v>1977</v>
      </c>
      <c r="B272" t="s">
        <v>2246</v>
      </c>
      <c r="E272" t="str">
        <f xml:space="preserve"> CONCATENATE( MID(Table151823[[#This Row],[PHASE]],2,3), MID(Table151823[[#This Row],[DELIVERABLE]],2,4), TRIM(SUBSTITUTE(MID(Table151823[[#This Row],[CONCERN.ID]],2,20),"X","") )  )</f>
        <v>10.461.</v>
      </c>
      <c r="F272" t="str">
        <f>TRIM(MID(Table151823[[#This Row],[CONCERN.UNIQUEPATH]], IF( ISNUMBER( SEARCH("/",Table151823[[#This Row],[CONCERN.UNIQUEPATH]])),SEARCH("/",Table151823[[#This Row],[CONCERN.UNIQUEPATH]])+1,1),255))</f>
        <v/>
      </c>
      <c r="J272" t="s">
        <v>2068</v>
      </c>
      <c r="K272" t="s">
        <v>2092</v>
      </c>
      <c r="L272" t="s">
        <v>1928</v>
      </c>
      <c r="M272" t="s">
        <v>5210</v>
      </c>
    </row>
    <row r="273" spans="1:13">
      <c r="A273" t="s">
        <v>1977</v>
      </c>
      <c r="B273" t="s">
        <v>2246</v>
      </c>
      <c r="E273" t="str">
        <f xml:space="preserve"> CONCATENATE( MID(Table151823[[#This Row],[PHASE]],2,3), MID(Table151823[[#This Row],[DELIVERABLE]],2,4), TRIM(SUBSTITUTE(MID(Table151823[[#This Row],[CONCERN.ID]],2,20),"X","") )  )</f>
        <v>10.461.</v>
      </c>
      <c r="F273" t="str">
        <f>TRIM(MID(Table151823[[#This Row],[CONCERN.UNIQUEPATH]], IF( ISNUMBER( SEARCH("/",Table151823[[#This Row],[CONCERN.UNIQUEPATH]])),SEARCH("/",Table151823[[#This Row],[CONCERN.UNIQUEPATH]])+1,1),255))</f>
        <v/>
      </c>
      <c r="J273" t="s">
        <v>2068</v>
      </c>
      <c r="K273" t="s">
        <v>2024</v>
      </c>
      <c r="L273" t="s">
        <v>1928</v>
      </c>
      <c r="M273" t="s">
        <v>5211</v>
      </c>
    </row>
    <row r="274" spans="1:13">
      <c r="A274" t="s">
        <v>1977</v>
      </c>
      <c r="B274" t="s">
        <v>2246</v>
      </c>
      <c r="E274" t="str">
        <f xml:space="preserve"> CONCATENATE( MID(Table151823[[#This Row],[PHASE]],2,3), MID(Table151823[[#This Row],[DELIVERABLE]],2,4), TRIM(SUBSTITUTE(MID(Table151823[[#This Row],[CONCERN.ID]],2,20),"X","") )  )</f>
        <v>10.461.</v>
      </c>
      <c r="F274" t="str">
        <f>TRIM(MID(Table151823[[#This Row],[CONCERN.UNIQUEPATH]], IF( ISNUMBER( SEARCH("/",Table151823[[#This Row],[CONCERN.UNIQUEPATH]])),SEARCH("/",Table151823[[#This Row],[CONCERN.UNIQUEPATH]])+1,1),255))</f>
        <v/>
      </c>
      <c r="J274" t="s">
        <v>2068</v>
      </c>
      <c r="K274" t="s">
        <v>2024</v>
      </c>
      <c r="L274" t="s">
        <v>1928</v>
      </c>
      <c r="M274" t="s">
        <v>5212</v>
      </c>
    </row>
    <row r="275" spans="1:13">
      <c r="A275" t="s">
        <v>1977</v>
      </c>
      <c r="B275" t="s">
        <v>2246</v>
      </c>
      <c r="E275" t="str">
        <f xml:space="preserve"> CONCATENATE( MID(Table151823[[#This Row],[PHASE]],2,3), MID(Table151823[[#This Row],[DELIVERABLE]],2,4), TRIM(SUBSTITUTE(MID(Table151823[[#This Row],[CONCERN.ID]],2,20),"X","") )  )</f>
        <v>10.461.</v>
      </c>
      <c r="F275" t="str">
        <f>TRIM(MID(Table151823[[#This Row],[CONCERN.UNIQUEPATH]], IF( ISNUMBER( SEARCH("/",Table151823[[#This Row],[CONCERN.UNIQUEPATH]])),SEARCH("/",Table151823[[#This Row],[CONCERN.UNIQUEPATH]])+1,1),255))</f>
        <v/>
      </c>
      <c r="J275" t="s">
        <v>2068</v>
      </c>
      <c r="K275" t="s">
        <v>2032</v>
      </c>
      <c r="L275" t="s">
        <v>1928</v>
      </c>
      <c r="M275" t="s">
        <v>5213</v>
      </c>
    </row>
    <row r="276" spans="1:13">
      <c r="A276" t="s">
        <v>1977</v>
      </c>
      <c r="B276" t="s">
        <v>2246</v>
      </c>
      <c r="E276" t="str">
        <f xml:space="preserve"> CONCATENATE( MID(Table151823[[#This Row],[PHASE]],2,3), MID(Table151823[[#This Row],[DELIVERABLE]],2,4), TRIM(SUBSTITUTE(MID(Table151823[[#This Row],[CONCERN.ID]],2,20),"X","") )  )</f>
        <v>10.461.</v>
      </c>
      <c r="F276" t="str">
        <f>TRIM(MID(Table151823[[#This Row],[CONCERN.UNIQUEPATH]], IF( ISNUMBER( SEARCH("/",Table151823[[#This Row],[CONCERN.UNIQUEPATH]])),SEARCH("/",Table151823[[#This Row],[CONCERN.UNIQUEPATH]])+1,1),255))</f>
        <v/>
      </c>
      <c r="J276" t="s">
        <v>2068</v>
      </c>
      <c r="K276" t="s">
        <v>2076</v>
      </c>
      <c r="L276" t="s">
        <v>1928</v>
      </c>
      <c r="M276" t="s">
        <v>5214</v>
      </c>
    </row>
    <row r="277" spans="1:13">
      <c r="A277" t="s">
        <v>1977</v>
      </c>
      <c r="B277" t="s">
        <v>2246</v>
      </c>
      <c r="E277" t="str">
        <f xml:space="preserve"> CONCATENATE( MID(Table151823[[#This Row],[PHASE]],2,3), MID(Table151823[[#This Row],[DELIVERABLE]],2,4), TRIM(SUBSTITUTE(MID(Table151823[[#This Row],[CONCERN.ID]],2,20),"X","") )  )</f>
        <v>10.461.</v>
      </c>
      <c r="F277" t="str">
        <f>TRIM(MID(Table151823[[#This Row],[CONCERN.UNIQUEPATH]], IF( ISNUMBER( SEARCH("/",Table151823[[#This Row],[CONCERN.UNIQUEPATH]])),SEARCH("/",Table151823[[#This Row],[CONCERN.UNIQUEPATH]])+1,1),255))</f>
        <v/>
      </c>
      <c r="J277" t="s">
        <v>2068</v>
      </c>
      <c r="K277" t="s">
        <v>2092</v>
      </c>
      <c r="L277" t="s">
        <v>1928</v>
      </c>
      <c r="M277" t="s">
        <v>5215</v>
      </c>
    </row>
    <row r="278" spans="1:13">
      <c r="A278" t="s">
        <v>1977</v>
      </c>
      <c r="B278" t="s">
        <v>2246</v>
      </c>
      <c r="E278" t="str">
        <f xml:space="preserve"> CONCATENATE( MID(Table151823[[#This Row],[PHASE]],2,3), MID(Table151823[[#This Row],[DELIVERABLE]],2,4), TRIM(SUBSTITUTE(MID(Table151823[[#This Row],[CONCERN.ID]],2,20),"X","") )  )</f>
        <v>10.461.</v>
      </c>
      <c r="F278" t="str">
        <f>TRIM(MID(Table151823[[#This Row],[CONCERN.UNIQUEPATH]], IF( ISNUMBER( SEARCH("/",Table151823[[#This Row],[CONCERN.UNIQUEPATH]])),SEARCH("/",Table151823[[#This Row],[CONCERN.UNIQUEPATH]])+1,1),255))</f>
        <v/>
      </c>
      <c r="J278" t="s">
        <v>2068</v>
      </c>
      <c r="K278" t="s">
        <v>2026</v>
      </c>
      <c r="L278" t="s">
        <v>1928</v>
      </c>
      <c r="M278" t="s">
        <v>5216</v>
      </c>
    </row>
    <row r="279" spans="1:13">
      <c r="A279" t="s">
        <v>1977</v>
      </c>
      <c r="B279" t="s">
        <v>2246</v>
      </c>
      <c r="E279" t="str">
        <f xml:space="preserve"> CONCATENATE( MID(Table151823[[#This Row],[PHASE]],2,3), MID(Table151823[[#This Row],[DELIVERABLE]],2,4), TRIM(SUBSTITUTE(MID(Table151823[[#This Row],[CONCERN.ID]],2,20),"X","") )  )</f>
        <v>10.461.</v>
      </c>
      <c r="F279" t="str">
        <f>TRIM(MID(Table151823[[#This Row],[CONCERN.UNIQUEPATH]], IF( ISNUMBER( SEARCH("/",Table151823[[#This Row],[CONCERN.UNIQUEPATH]])),SEARCH("/",Table151823[[#This Row],[CONCERN.UNIQUEPATH]])+1,1),255))</f>
        <v/>
      </c>
      <c r="J279" t="s">
        <v>2068</v>
      </c>
      <c r="K279" t="s">
        <v>2076</v>
      </c>
      <c r="L279" t="s">
        <v>1928</v>
      </c>
      <c r="M279" t="s">
        <v>5217</v>
      </c>
    </row>
    <row r="280" spans="1:13">
      <c r="A280" t="s">
        <v>1977</v>
      </c>
      <c r="B280" t="s">
        <v>2246</v>
      </c>
      <c r="E280" t="str">
        <f xml:space="preserve"> CONCATENATE( MID(Table151823[[#This Row],[PHASE]],2,3), MID(Table151823[[#This Row],[DELIVERABLE]],2,4), TRIM(SUBSTITUTE(MID(Table151823[[#This Row],[CONCERN.ID]],2,20),"X","") )  )</f>
        <v>10.461.</v>
      </c>
      <c r="F280" t="str">
        <f>TRIM(MID(Table151823[[#This Row],[CONCERN.UNIQUEPATH]], IF( ISNUMBER( SEARCH("/",Table151823[[#This Row],[CONCERN.UNIQUEPATH]])),SEARCH("/",Table151823[[#This Row],[CONCERN.UNIQUEPATH]])+1,1),255))</f>
        <v/>
      </c>
      <c r="J280" t="s">
        <v>2068</v>
      </c>
      <c r="K280" s="11" t="s">
        <v>2096</v>
      </c>
      <c r="L280" t="s">
        <v>1928</v>
      </c>
      <c r="M280" t="s">
        <v>5218</v>
      </c>
    </row>
    <row r="281" spans="1:13">
      <c r="A281" t="s">
        <v>1977</v>
      </c>
      <c r="B281" t="s">
        <v>2246</v>
      </c>
      <c r="E281" t="str">
        <f xml:space="preserve"> CONCATENATE( MID(Table151823[[#This Row],[PHASE]],2,3), MID(Table151823[[#This Row],[DELIVERABLE]],2,4), TRIM(SUBSTITUTE(MID(Table151823[[#This Row],[CONCERN.ID]],2,20),"X","") )  )</f>
        <v>10.461.</v>
      </c>
      <c r="F281" t="str">
        <f>TRIM(MID(Table151823[[#This Row],[CONCERN.UNIQUEPATH]], IF( ISNUMBER( SEARCH("/",Table151823[[#This Row],[CONCERN.UNIQUEPATH]])),SEARCH("/",Table151823[[#This Row],[CONCERN.UNIQUEPATH]])+1,1),255))</f>
        <v/>
      </c>
      <c r="J281" t="s">
        <v>2068</v>
      </c>
      <c r="K281" s="11" t="s">
        <v>2092</v>
      </c>
      <c r="L281" t="s">
        <v>1928</v>
      </c>
      <c r="M281" t="s">
        <v>5219</v>
      </c>
    </row>
    <row r="282" spans="1:13">
      <c r="A282" t="s">
        <v>1977</v>
      </c>
      <c r="B282" t="s">
        <v>2246</v>
      </c>
      <c r="E282" t="str">
        <f xml:space="preserve"> CONCATENATE( MID(Table151823[[#This Row],[PHASE]],2,3), MID(Table151823[[#This Row],[DELIVERABLE]],2,4), TRIM(SUBSTITUTE(MID(Table151823[[#This Row],[CONCERN.ID]],2,20),"X","") )  )</f>
        <v>10.461.</v>
      </c>
      <c r="F282" t="str">
        <f>TRIM(MID(Table151823[[#This Row],[CONCERN.UNIQUEPATH]], IF( ISNUMBER( SEARCH("/",Table151823[[#This Row],[CONCERN.UNIQUEPATH]])),SEARCH("/",Table151823[[#This Row],[CONCERN.UNIQUEPATH]])+1,1),255))</f>
        <v/>
      </c>
      <c r="J282" t="s">
        <v>2068</v>
      </c>
      <c r="K282" t="s">
        <v>2026</v>
      </c>
      <c r="L282" t="s">
        <v>1928</v>
      </c>
      <c r="M282" t="s">
        <v>5220</v>
      </c>
    </row>
    <row r="283" spans="1:13">
      <c r="A283" t="s">
        <v>1977</v>
      </c>
      <c r="B283" t="s">
        <v>2246</v>
      </c>
      <c r="E283" t="str">
        <f xml:space="preserve"> CONCATENATE( MID(Table151823[[#This Row],[PHASE]],2,3), MID(Table151823[[#This Row],[DELIVERABLE]],2,4), TRIM(SUBSTITUTE(MID(Table151823[[#This Row],[CONCERN.ID]],2,20),"X","") )  )</f>
        <v>10.461.</v>
      </c>
      <c r="F283" t="str">
        <f>TRIM(MID(Table151823[[#This Row],[CONCERN.UNIQUEPATH]], IF( ISNUMBER( SEARCH("/",Table151823[[#This Row],[CONCERN.UNIQUEPATH]])),SEARCH("/",Table151823[[#This Row],[CONCERN.UNIQUEPATH]])+1,1),255))</f>
        <v/>
      </c>
      <c r="J283" t="s">
        <v>2068</v>
      </c>
      <c r="K283" t="s">
        <v>2100</v>
      </c>
      <c r="L283" t="s">
        <v>1928</v>
      </c>
      <c r="M283" t="s">
        <v>5221</v>
      </c>
    </row>
    <row r="284" spans="1:13">
      <c r="A284" t="s">
        <v>1977</v>
      </c>
      <c r="B284" t="s">
        <v>2246</v>
      </c>
      <c r="E284" t="str">
        <f xml:space="preserve"> CONCATENATE( MID(Table151823[[#This Row],[PHASE]],2,3), MID(Table151823[[#This Row],[DELIVERABLE]],2,4), TRIM(SUBSTITUTE(MID(Table151823[[#This Row],[CONCERN.ID]],2,20),"X","") )  )</f>
        <v>10.461.</v>
      </c>
      <c r="F284" t="str">
        <f>TRIM(MID(Table151823[[#This Row],[CONCERN.UNIQUEPATH]], IF( ISNUMBER( SEARCH("/",Table151823[[#This Row],[CONCERN.UNIQUEPATH]])),SEARCH("/",Table151823[[#This Row],[CONCERN.UNIQUEPATH]])+1,1),255))</f>
        <v/>
      </c>
      <c r="J284" t="s">
        <v>2068</v>
      </c>
      <c r="K284" t="s">
        <v>2100</v>
      </c>
      <c r="L284" t="s">
        <v>1928</v>
      </c>
      <c r="M284" t="s">
        <v>5222</v>
      </c>
    </row>
    <row r="285" spans="1:13">
      <c r="A285" t="s">
        <v>1977</v>
      </c>
      <c r="B285" t="s">
        <v>2246</v>
      </c>
      <c r="E285" t="str">
        <f xml:space="preserve"> CONCATENATE( MID(Table151823[[#This Row],[PHASE]],2,3), MID(Table151823[[#This Row],[DELIVERABLE]],2,4), TRIM(SUBSTITUTE(MID(Table151823[[#This Row],[CONCERN.ID]],2,20),"X","") )  )</f>
        <v>10.461.</v>
      </c>
      <c r="F285" t="str">
        <f>TRIM(MID(Table151823[[#This Row],[CONCERN.UNIQUEPATH]], IF( ISNUMBER( SEARCH("/",Table151823[[#This Row],[CONCERN.UNIQUEPATH]])),SEARCH("/",Table151823[[#This Row],[CONCERN.UNIQUEPATH]])+1,1),255))</f>
        <v/>
      </c>
      <c r="J285" t="s">
        <v>2068</v>
      </c>
      <c r="K285" t="s">
        <v>2092</v>
      </c>
      <c r="L285" t="s">
        <v>1928</v>
      </c>
      <c r="M285" t="s">
        <v>5223</v>
      </c>
    </row>
    <row r="286" spans="1:13">
      <c r="A286" t="s">
        <v>1977</v>
      </c>
      <c r="B286" t="s">
        <v>2246</v>
      </c>
      <c r="E286" t="str">
        <f xml:space="preserve"> CONCATENATE( MID(Table151823[[#This Row],[PHASE]],2,3), MID(Table151823[[#This Row],[DELIVERABLE]],2,4), TRIM(SUBSTITUTE(MID(Table151823[[#This Row],[CONCERN.ID]],2,20),"X","") )  )</f>
        <v>10.461.</v>
      </c>
      <c r="F286" t="str">
        <f>TRIM(MID(Table151823[[#This Row],[CONCERN.UNIQUEPATH]], IF( ISNUMBER( SEARCH("/",Table151823[[#This Row],[CONCERN.UNIQUEPATH]])),SEARCH("/",Table151823[[#This Row],[CONCERN.UNIQUEPATH]])+1,1),255))</f>
        <v/>
      </c>
      <c r="J286" t="s">
        <v>2068</v>
      </c>
      <c r="L286" t="s">
        <v>1928</v>
      </c>
    </row>
    <row r="287" spans="1:13">
      <c r="A287" t="s">
        <v>1977</v>
      </c>
      <c r="B287" t="s">
        <v>2246</v>
      </c>
      <c r="E287" t="str">
        <f xml:space="preserve"> CONCATENATE( MID(Table151823[[#This Row],[PHASE]],2,3), MID(Table151823[[#This Row],[DELIVERABLE]],2,4), TRIM(SUBSTITUTE(MID(Table151823[[#This Row],[CONCERN.ID]],2,20),"X","") )  )</f>
        <v>10.461.</v>
      </c>
      <c r="F287" t="str">
        <f>TRIM(MID(Table151823[[#This Row],[CONCERN.UNIQUEPATH]], IF( ISNUMBER( SEARCH("/",Table151823[[#This Row],[CONCERN.UNIQUEPATH]])),SEARCH("/",Table151823[[#This Row],[CONCERN.UNIQUEPATH]])+1,1),255))</f>
        <v/>
      </c>
      <c r="J287" t="s">
        <v>2068</v>
      </c>
      <c r="K287" t="s">
        <v>2100</v>
      </c>
      <c r="L287" t="s">
        <v>1928</v>
      </c>
      <c r="M287" t="s">
        <v>5223</v>
      </c>
    </row>
    <row r="288" spans="1:13">
      <c r="A288" t="s">
        <v>1977</v>
      </c>
      <c r="B288" t="s">
        <v>2246</v>
      </c>
      <c r="E288" t="str">
        <f xml:space="preserve"> CONCATENATE( MID(Table151823[[#This Row],[PHASE]],2,3), MID(Table151823[[#This Row],[DELIVERABLE]],2,4), TRIM(SUBSTITUTE(MID(Table151823[[#This Row],[CONCERN.ID]],2,20),"X","") )  )</f>
        <v>10.461.</v>
      </c>
      <c r="F288" t="str">
        <f>TRIM(MID(Table151823[[#This Row],[CONCERN.UNIQUEPATH]], IF( ISNUMBER( SEARCH("/",Table151823[[#This Row],[CONCERN.UNIQUEPATH]])),SEARCH("/",Table151823[[#This Row],[CONCERN.UNIQUEPATH]])+1,1),255))</f>
        <v/>
      </c>
      <c r="J288" t="s">
        <v>2068</v>
      </c>
      <c r="K288" t="s">
        <v>2024</v>
      </c>
      <c r="L288" t="s">
        <v>1928</v>
      </c>
      <c r="M288" t="s">
        <v>5224</v>
      </c>
    </row>
    <row r="289" spans="1:13">
      <c r="A289" t="s">
        <v>1977</v>
      </c>
      <c r="B289" t="s">
        <v>2246</v>
      </c>
      <c r="E289" t="str">
        <f xml:space="preserve"> CONCATENATE( MID(Table151823[[#This Row],[PHASE]],2,3), MID(Table151823[[#This Row],[DELIVERABLE]],2,4), TRIM(SUBSTITUTE(MID(Table151823[[#This Row],[CONCERN.ID]],2,20),"X","") )  )</f>
        <v>10.461.</v>
      </c>
      <c r="F289" t="str">
        <f>TRIM(MID(Table151823[[#This Row],[CONCERN.UNIQUEPATH]], IF( ISNUMBER( SEARCH("/",Table151823[[#This Row],[CONCERN.UNIQUEPATH]])),SEARCH("/",Table151823[[#This Row],[CONCERN.UNIQUEPATH]])+1,1),255))</f>
        <v/>
      </c>
      <c r="J289" t="s">
        <v>2068</v>
      </c>
      <c r="K289" t="s">
        <v>2026</v>
      </c>
      <c r="L289" t="s">
        <v>1928</v>
      </c>
      <c r="M289" t="s">
        <v>5225</v>
      </c>
    </row>
    <row r="290" spans="1:13">
      <c r="A290" t="s">
        <v>1977</v>
      </c>
      <c r="B290" t="s">
        <v>2246</v>
      </c>
      <c r="E290" t="str">
        <f xml:space="preserve"> CONCATENATE( MID(Table151823[[#This Row],[PHASE]],2,3), MID(Table151823[[#This Row],[DELIVERABLE]],2,4), TRIM(SUBSTITUTE(MID(Table151823[[#This Row],[CONCERN.ID]],2,20),"X","") )  )</f>
        <v>10.461.</v>
      </c>
      <c r="F290" t="str">
        <f>TRIM(MID(Table151823[[#This Row],[CONCERN.UNIQUEPATH]], IF( ISNUMBER( SEARCH("/",Table151823[[#This Row],[CONCERN.UNIQUEPATH]])),SEARCH("/",Table151823[[#This Row],[CONCERN.UNIQUEPATH]])+1,1),255))</f>
        <v/>
      </c>
      <c r="J290" t="s">
        <v>2068</v>
      </c>
      <c r="K290" t="s">
        <v>2100</v>
      </c>
      <c r="L290" t="s">
        <v>1928</v>
      </c>
      <c r="M290" t="s">
        <v>5209</v>
      </c>
    </row>
    <row r="291" spans="1:13">
      <c r="A291" t="s">
        <v>1977</v>
      </c>
      <c r="B291" t="s">
        <v>2246</v>
      </c>
      <c r="E291" t="str">
        <f xml:space="preserve"> CONCATENATE( MID(Table151823[[#This Row],[PHASE]],2,3), MID(Table151823[[#This Row],[DELIVERABLE]],2,4), TRIM(SUBSTITUTE(MID(Table151823[[#This Row],[CONCERN.ID]],2,20),"X","") )  )</f>
        <v>10.461.</v>
      </c>
      <c r="F291" t="str">
        <f>TRIM(MID(Table151823[[#This Row],[CONCERN.UNIQUEPATH]], IF( ISNUMBER( SEARCH("/",Table151823[[#This Row],[CONCERN.UNIQUEPATH]])),SEARCH("/",Table151823[[#This Row],[CONCERN.UNIQUEPATH]])+1,1),255))</f>
        <v/>
      </c>
      <c r="J291" t="s">
        <v>2068</v>
      </c>
      <c r="K291" t="s">
        <v>2100</v>
      </c>
      <c r="L291" t="s">
        <v>1928</v>
      </c>
      <c r="M291" t="s">
        <v>5226</v>
      </c>
    </row>
    <row r="292" spans="1:13">
      <c r="A292" t="s">
        <v>1977</v>
      </c>
      <c r="B292" t="s">
        <v>2246</v>
      </c>
      <c r="E292" t="str">
        <f xml:space="preserve"> CONCATENATE( MID(Table151823[[#This Row],[PHASE]],2,3), MID(Table151823[[#This Row],[DELIVERABLE]],2,4), TRIM(SUBSTITUTE(MID(Table151823[[#This Row],[CONCERN.ID]],2,20),"X","") )  )</f>
        <v>10.461.</v>
      </c>
      <c r="F292" t="str">
        <f>TRIM(MID(Table151823[[#This Row],[CONCERN.UNIQUEPATH]], IF( ISNUMBER( SEARCH("/",Table151823[[#This Row],[CONCERN.UNIQUEPATH]])),SEARCH("/",Table151823[[#This Row],[CONCERN.UNIQUEPATH]])+1,1),255))</f>
        <v/>
      </c>
      <c r="J292" t="s">
        <v>2068</v>
      </c>
      <c r="K292" t="s">
        <v>2026</v>
      </c>
      <c r="L292" t="s">
        <v>1928</v>
      </c>
      <c r="M292" t="s">
        <v>5227</v>
      </c>
    </row>
    <row r="293" spans="1:13">
      <c r="A293" t="s">
        <v>1977</v>
      </c>
      <c r="B293" t="s">
        <v>2246</v>
      </c>
      <c r="E293" t="str">
        <f xml:space="preserve"> CONCATENATE( MID(Table151823[[#This Row],[PHASE]],2,3), MID(Table151823[[#This Row],[DELIVERABLE]],2,4), TRIM(SUBSTITUTE(MID(Table151823[[#This Row],[CONCERN.ID]],2,20),"X","") )  )</f>
        <v>10.461.</v>
      </c>
      <c r="F293" t="str">
        <f>TRIM(MID(Table151823[[#This Row],[CONCERN.UNIQUEPATH]], IF( ISNUMBER( SEARCH("/",Table151823[[#This Row],[CONCERN.UNIQUEPATH]])),SEARCH("/",Table151823[[#This Row],[CONCERN.UNIQUEPATH]])+1,1),255))</f>
        <v/>
      </c>
      <c r="J293" t="s">
        <v>2068</v>
      </c>
      <c r="K293" t="s">
        <v>2026</v>
      </c>
      <c r="L293" t="s">
        <v>1928</v>
      </c>
      <c r="M293" t="s">
        <v>5228</v>
      </c>
    </row>
    <row r="294" spans="1:13">
      <c r="A294" t="s">
        <v>1977</v>
      </c>
      <c r="B294" t="s">
        <v>2246</v>
      </c>
      <c r="E294" t="str">
        <f xml:space="preserve"> CONCATENATE( MID(Table151823[[#This Row],[PHASE]],2,3), MID(Table151823[[#This Row],[DELIVERABLE]],2,4), TRIM(SUBSTITUTE(MID(Table151823[[#This Row],[CONCERN.ID]],2,20),"X","") )  )</f>
        <v>10.461.</v>
      </c>
      <c r="F294" t="str">
        <f>TRIM(MID(Table151823[[#This Row],[CONCERN.UNIQUEPATH]], IF( ISNUMBER( SEARCH("/",Table151823[[#This Row],[CONCERN.UNIQUEPATH]])),SEARCH("/",Table151823[[#This Row],[CONCERN.UNIQUEPATH]])+1,1),255))</f>
        <v/>
      </c>
      <c r="J294" t="s">
        <v>2068</v>
      </c>
      <c r="K294" t="s">
        <v>2026</v>
      </c>
      <c r="L294" t="s">
        <v>1928</v>
      </c>
      <c r="M294" t="s">
        <v>5229</v>
      </c>
    </row>
    <row r="295" spans="1:13">
      <c r="A295" t="s">
        <v>1977</v>
      </c>
      <c r="B295" t="s">
        <v>2246</v>
      </c>
      <c r="E295" t="str">
        <f xml:space="preserve"> CONCATENATE( MID(Table151823[[#This Row],[PHASE]],2,3), MID(Table151823[[#This Row],[DELIVERABLE]],2,4), TRIM(SUBSTITUTE(MID(Table151823[[#This Row],[CONCERN.ID]],2,20),"X","") )  )</f>
        <v>10.461.</v>
      </c>
      <c r="F295" t="str">
        <f>TRIM(MID(Table151823[[#This Row],[CONCERN.UNIQUEPATH]], IF( ISNUMBER( SEARCH("/",Table151823[[#This Row],[CONCERN.UNIQUEPATH]])),SEARCH("/",Table151823[[#This Row],[CONCERN.UNIQUEPATH]])+1,1),255))</f>
        <v/>
      </c>
      <c r="J295" t="s">
        <v>2068</v>
      </c>
      <c r="K295" t="s">
        <v>2104</v>
      </c>
      <c r="L295" t="s">
        <v>1928</v>
      </c>
      <c r="M295" t="s">
        <v>5230</v>
      </c>
    </row>
    <row r="296" spans="1:13">
      <c r="A296" t="s">
        <v>1977</v>
      </c>
      <c r="B296" t="s">
        <v>2246</v>
      </c>
      <c r="E296" t="str">
        <f xml:space="preserve"> CONCATENATE( MID(Table151823[[#This Row],[PHASE]],2,3), MID(Table151823[[#This Row],[DELIVERABLE]],2,4), TRIM(SUBSTITUTE(MID(Table151823[[#This Row],[CONCERN.ID]],2,20),"X","") )  )</f>
        <v>10.461.</v>
      </c>
      <c r="F296" t="str">
        <f>TRIM(MID(Table151823[[#This Row],[CONCERN.UNIQUEPATH]], IF( ISNUMBER( SEARCH("/",Table151823[[#This Row],[CONCERN.UNIQUEPATH]])),SEARCH("/",Table151823[[#This Row],[CONCERN.UNIQUEPATH]])+1,1),255))</f>
        <v/>
      </c>
      <c r="J296" t="s">
        <v>2068</v>
      </c>
      <c r="K296" t="s">
        <v>2088</v>
      </c>
      <c r="L296" t="s">
        <v>1928</v>
      </c>
      <c r="M296" t="s">
        <v>5202</v>
      </c>
    </row>
    <row r="297" spans="1:13">
      <c r="A297" t="s">
        <v>1977</v>
      </c>
      <c r="B297" t="s">
        <v>2246</v>
      </c>
      <c r="E297" t="str">
        <f xml:space="preserve"> CONCATENATE( MID(Table151823[[#This Row],[PHASE]],2,3), MID(Table151823[[#This Row],[DELIVERABLE]],2,4), TRIM(SUBSTITUTE(MID(Table151823[[#This Row],[CONCERN.ID]],2,20),"X","") )  )</f>
        <v>10.461.</v>
      </c>
      <c r="F297" t="str">
        <f>TRIM(MID(Table151823[[#This Row],[CONCERN.UNIQUEPATH]], IF( ISNUMBER( SEARCH("/",Table151823[[#This Row],[CONCERN.UNIQUEPATH]])),SEARCH("/",Table151823[[#This Row],[CONCERN.UNIQUEPATH]])+1,1),255))</f>
        <v/>
      </c>
      <c r="J297" t="s">
        <v>2068</v>
      </c>
      <c r="K297" t="s">
        <v>2076</v>
      </c>
      <c r="L297" t="s">
        <v>1928</v>
      </c>
      <c r="M297" t="s">
        <v>5231</v>
      </c>
    </row>
    <row r="298" spans="1:13">
      <c r="A298" t="s">
        <v>1977</v>
      </c>
      <c r="B298" t="s">
        <v>2246</v>
      </c>
      <c r="E298" t="str">
        <f xml:space="preserve"> CONCATENATE( MID(Table151823[[#This Row],[PHASE]],2,3), MID(Table151823[[#This Row],[DELIVERABLE]],2,4), TRIM(SUBSTITUTE(MID(Table151823[[#This Row],[CONCERN.ID]],2,20),"X","") )  )</f>
        <v>10.461.</v>
      </c>
      <c r="F298" t="str">
        <f>TRIM(MID(Table151823[[#This Row],[CONCERN.UNIQUEPATH]], IF( ISNUMBER( SEARCH("/",Table151823[[#This Row],[CONCERN.UNIQUEPATH]])),SEARCH("/",Table151823[[#This Row],[CONCERN.UNIQUEPATH]])+1,1),255))</f>
        <v/>
      </c>
      <c r="J298" t="s">
        <v>2068</v>
      </c>
      <c r="K298" t="s">
        <v>2096</v>
      </c>
      <c r="L298" t="s">
        <v>1928</v>
      </c>
      <c r="M298" t="s">
        <v>5232</v>
      </c>
    </row>
    <row r="299" spans="1:13">
      <c r="A299" t="s">
        <v>1977</v>
      </c>
      <c r="B299" t="s">
        <v>2246</v>
      </c>
      <c r="E299" t="str">
        <f xml:space="preserve"> CONCATENATE( MID(Table151823[[#This Row],[PHASE]],2,3), MID(Table151823[[#This Row],[DELIVERABLE]],2,4), TRIM(SUBSTITUTE(MID(Table151823[[#This Row],[CONCERN.ID]],2,20),"X","") )  )</f>
        <v>10.461.</v>
      </c>
      <c r="F299" t="str">
        <f>TRIM(MID(Table151823[[#This Row],[CONCERN.UNIQUEPATH]], IF( ISNUMBER( SEARCH("/",Table151823[[#This Row],[CONCERN.UNIQUEPATH]])),SEARCH("/",Table151823[[#This Row],[CONCERN.UNIQUEPATH]])+1,1),255))</f>
        <v/>
      </c>
      <c r="J299" t="s">
        <v>2068</v>
      </c>
      <c r="K299" t="s">
        <v>2096</v>
      </c>
      <c r="L299" t="s">
        <v>1928</v>
      </c>
      <c r="M299" t="s">
        <v>5233</v>
      </c>
    </row>
    <row r="300" spans="1:13">
      <c r="A300" t="s">
        <v>1977</v>
      </c>
      <c r="B300" t="s">
        <v>2246</v>
      </c>
      <c r="E300" t="str">
        <f xml:space="preserve"> CONCATENATE( MID(Table151823[[#This Row],[PHASE]],2,3), MID(Table151823[[#This Row],[DELIVERABLE]],2,4), TRIM(SUBSTITUTE(MID(Table151823[[#This Row],[CONCERN.ID]],2,20),"X","") )  )</f>
        <v>10.461.</v>
      </c>
      <c r="F300" t="str">
        <f>TRIM(MID(Table151823[[#This Row],[CONCERN.UNIQUEPATH]], IF( ISNUMBER( SEARCH("/",Table151823[[#This Row],[CONCERN.UNIQUEPATH]])),SEARCH("/",Table151823[[#This Row],[CONCERN.UNIQUEPATH]])+1,1),255))</f>
        <v/>
      </c>
      <c r="J300" t="s">
        <v>2068</v>
      </c>
      <c r="K300" t="s">
        <v>2096</v>
      </c>
      <c r="L300" t="s">
        <v>1928</v>
      </c>
      <c r="M300" t="s">
        <v>5234</v>
      </c>
    </row>
    <row r="301" spans="1:13">
      <c r="A301" t="s">
        <v>1977</v>
      </c>
      <c r="B301" t="s">
        <v>2246</v>
      </c>
      <c r="E301" t="str">
        <f xml:space="preserve"> CONCATENATE( MID(Table151823[[#This Row],[PHASE]],2,3), MID(Table151823[[#This Row],[DELIVERABLE]],2,4), TRIM(SUBSTITUTE(MID(Table151823[[#This Row],[CONCERN.ID]],2,20),"X","") )  )</f>
        <v>10.461.</v>
      </c>
      <c r="F301" t="str">
        <f>TRIM(MID(Table151823[[#This Row],[CONCERN.UNIQUEPATH]], IF( ISNUMBER( SEARCH("/",Table151823[[#This Row],[CONCERN.UNIQUEPATH]])),SEARCH("/",Table151823[[#This Row],[CONCERN.UNIQUEPATH]])+1,1),255))</f>
        <v/>
      </c>
      <c r="J301" t="s">
        <v>2068</v>
      </c>
      <c r="K301" t="s">
        <v>2046</v>
      </c>
      <c r="L301" t="s">
        <v>1928</v>
      </c>
      <c r="M301" t="s">
        <v>5235</v>
      </c>
    </row>
    <row r="302" spans="1:13">
      <c r="A302" t="s">
        <v>1977</v>
      </c>
      <c r="B302" t="s">
        <v>2246</v>
      </c>
      <c r="E302" t="str">
        <f xml:space="preserve"> CONCATENATE( MID(Table151823[[#This Row],[PHASE]],2,3), MID(Table151823[[#This Row],[DELIVERABLE]],2,4), TRIM(SUBSTITUTE(MID(Table151823[[#This Row],[CONCERN.ID]],2,20),"X","") )  )</f>
        <v>10.461.</v>
      </c>
      <c r="F302" t="str">
        <f>TRIM(MID(Table151823[[#This Row],[CONCERN.UNIQUEPATH]], IF( ISNUMBER( SEARCH("/",Table151823[[#This Row],[CONCERN.UNIQUEPATH]])),SEARCH("/",Table151823[[#This Row],[CONCERN.UNIQUEPATH]])+1,1),255))</f>
        <v/>
      </c>
      <c r="J302" t="s">
        <v>2068</v>
      </c>
      <c r="K302" t="s">
        <v>2092</v>
      </c>
      <c r="L302" t="s">
        <v>1928</v>
      </c>
      <c r="M302" t="s">
        <v>5236</v>
      </c>
    </row>
    <row r="303" spans="1:13">
      <c r="A303" t="s">
        <v>1977</v>
      </c>
      <c r="B303" t="s">
        <v>2246</v>
      </c>
      <c r="E303" t="str">
        <f xml:space="preserve"> CONCATENATE( MID(Table151823[[#This Row],[PHASE]],2,3), MID(Table151823[[#This Row],[DELIVERABLE]],2,4), TRIM(SUBSTITUTE(MID(Table151823[[#This Row],[CONCERN.ID]],2,20),"X","") )  )</f>
        <v>10.461.</v>
      </c>
      <c r="F303" t="str">
        <f>TRIM(MID(Table151823[[#This Row],[CONCERN.UNIQUEPATH]], IF( ISNUMBER( SEARCH("/",Table151823[[#This Row],[CONCERN.UNIQUEPATH]])),SEARCH("/",Table151823[[#This Row],[CONCERN.UNIQUEPATH]])+1,1),255))</f>
        <v/>
      </c>
      <c r="J303" t="s">
        <v>2068</v>
      </c>
      <c r="K303" s="16"/>
      <c r="L303" t="s">
        <v>1928</v>
      </c>
    </row>
    <row r="304" spans="1:13">
      <c r="A304" t="s">
        <v>1977</v>
      </c>
      <c r="B304" t="s">
        <v>2246</v>
      </c>
      <c r="E304" t="str">
        <f xml:space="preserve"> CONCATENATE( MID(Table151823[[#This Row],[PHASE]],2,3), MID(Table151823[[#This Row],[DELIVERABLE]],2,4), TRIM(SUBSTITUTE(MID(Table151823[[#This Row],[CONCERN.ID]],2,20),"X","") )  )</f>
        <v>10.461.</v>
      </c>
      <c r="F304" t="str">
        <f>TRIM(MID(Table151823[[#This Row],[CONCERN.UNIQUEPATH]], IF( ISNUMBER( SEARCH("/",Table151823[[#This Row],[CONCERN.UNIQUEPATH]])),SEARCH("/",Table151823[[#This Row],[CONCERN.UNIQUEPATH]])+1,1),255))</f>
        <v/>
      </c>
      <c r="J304" t="s">
        <v>2068</v>
      </c>
      <c r="L304" t="s">
        <v>1928</v>
      </c>
      <c r="M304" t="s">
        <v>5145</v>
      </c>
    </row>
    <row r="305" spans="1:13">
      <c r="A305" t="s">
        <v>1977</v>
      </c>
      <c r="B305" t="s">
        <v>5237</v>
      </c>
      <c r="E305" t="str">
        <f xml:space="preserve"> CONCATENATE( MID(Table151823[[#This Row],[PHASE]],2,3), MID(Table151823[[#This Row],[DELIVERABLE]],2,4), TRIM(SUBSTITUTE(MID(Table151823[[#This Row],[CONCERN.ID]],2,20),"X","") )  )</f>
        <v>10.4S07</v>
      </c>
      <c r="F305" t="str">
        <f>TRIM(MID(Table151823[[#This Row],[CONCERN.UNIQUEPATH]], IF( ISNUMBER( SEARCH("/",Table151823[[#This Row],[CONCERN.UNIQUEPATH]])),SEARCH("/",Table151823[[#This Row],[CONCERN.UNIQUEPATH]])+1,1),255))</f>
        <v/>
      </c>
      <c r="J305" t="s">
        <v>2068</v>
      </c>
      <c r="L305" t="s">
        <v>1928</v>
      </c>
    </row>
    <row r="306" spans="1:13">
      <c r="A306" t="s">
        <v>1977</v>
      </c>
      <c r="B306" t="s">
        <v>5237</v>
      </c>
      <c r="E306" t="str">
        <f xml:space="preserve"> CONCATENATE( MID(Table151823[[#This Row],[PHASE]],2,3), MID(Table151823[[#This Row],[DELIVERABLE]],2,4), TRIM(SUBSTITUTE(MID(Table151823[[#This Row],[CONCERN.ID]],2,20),"X","") )  )</f>
        <v>10.4S07</v>
      </c>
      <c r="F306" t="str">
        <f>TRIM(MID(Table151823[[#This Row],[CONCERN.UNIQUEPATH]], IF( ISNUMBER( SEARCH("/",Table151823[[#This Row],[CONCERN.UNIQUEPATH]])),SEARCH("/",Table151823[[#This Row],[CONCERN.UNIQUEPATH]])+1,1),255))</f>
        <v/>
      </c>
      <c r="J306" t="s">
        <v>2068</v>
      </c>
      <c r="L306" t="s">
        <v>1928</v>
      </c>
    </row>
    <row r="307" spans="1:13">
      <c r="A307" t="s">
        <v>1977</v>
      </c>
      <c r="B307" t="s">
        <v>5237</v>
      </c>
      <c r="E307" t="str">
        <f xml:space="preserve"> CONCATENATE( MID(Table151823[[#This Row],[PHASE]],2,3), MID(Table151823[[#This Row],[DELIVERABLE]],2,4), TRIM(SUBSTITUTE(MID(Table151823[[#This Row],[CONCERN.ID]],2,20),"X","") )  )</f>
        <v>10.4S07</v>
      </c>
      <c r="F307" t="str">
        <f>TRIM(MID(Table151823[[#This Row],[CONCERN.UNIQUEPATH]], IF( ISNUMBER( SEARCH("/",Table151823[[#This Row],[CONCERN.UNIQUEPATH]])),SEARCH("/",Table151823[[#This Row],[CONCERN.UNIQUEPATH]])+1,1),255))</f>
        <v/>
      </c>
      <c r="J307" t="s">
        <v>2068</v>
      </c>
      <c r="L307" t="s">
        <v>1928</v>
      </c>
    </row>
    <row r="308" spans="1:13">
      <c r="A308" t="s">
        <v>1977</v>
      </c>
      <c r="B308" t="s">
        <v>2267</v>
      </c>
      <c r="E308" t="str">
        <f xml:space="preserve"> CONCATENATE( MID(Table151823[[#This Row],[PHASE]],2,3), MID(Table151823[[#This Row],[DELIVERABLE]],2,4), TRIM(SUBSTITUTE(MID(Table151823[[#This Row],[CONCERN.ID]],2,20),"X","") )  )</f>
        <v>10.511.</v>
      </c>
      <c r="F308" t="str">
        <f>TRIM(MID(Table151823[[#This Row],[CONCERN.UNIQUEPATH]], IF( ISNUMBER( SEARCH("/",Table151823[[#This Row],[CONCERN.UNIQUEPATH]])),SEARCH("/",Table151823[[#This Row],[CONCERN.UNIQUEPATH]])+1,1),255))</f>
        <v/>
      </c>
      <c r="J308" t="s">
        <v>2068</v>
      </c>
      <c r="L308" t="s">
        <v>1928</v>
      </c>
      <c r="M308" t="s">
        <v>5238</v>
      </c>
    </row>
    <row r="309" spans="1:13">
      <c r="A309" t="s">
        <v>1977</v>
      </c>
      <c r="B309" t="s">
        <v>2267</v>
      </c>
      <c r="E309" t="str">
        <f xml:space="preserve"> CONCATENATE( MID(Table151823[[#This Row],[PHASE]],2,3), MID(Table151823[[#This Row],[DELIVERABLE]],2,4), TRIM(SUBSTITUTE(MID(Table151823[[#This Row],[CONCERN.ID]],2,20),"X","") )  )</f>
        <v>10.511.</v>
      </c>
      <c r="F309" t="str">
        <f>TRIM(MID(Table151823[[#This Row],[CONCERN.UNIQUEPATH]], IF( ISNUMBER( SEARCH("/",Table151823[[#This Row],[CONCERN.UNIQUEPATH]])),SEARCH("/",Table151823[[#This Row],[CONCERN.UNIQUEPATH]])+1,1),255))</f>
        <v/>
      </c>
      <c r="J309" t="s">
        <v>2068</v>
      </c>
      <c r="K309" s="21"/>
      <c r="L309" t="s">
        <v>1928</v>
      </c>
    </row>
    <row r="310" spans="1:13">
      <c r="A310" t="s">
        <v>1977</v>
      </c>
      <c r="B310" t="s">
        <v>2270</v>
      </c>
      <c r="E310" t="str">
        <f xml:space="preserve"> CONCATENATE( MID(Table151823[[#This Row],[PHASE]],2,3), MID(Table151823[[#This Row],[DELIVERABLE]],2,4), TRIM(SUBSTITUTE(MID(Table151823[[#This Row],[CONCERN.ID]],2,20),"X","") )  )</f>
        <v>10.523.</v>
      </c>
      <c r="F310" t="str">
        <f>TRIM(MID(Table151823[[#This Row],[CONCERN.UNIQUEPATH]], IF( ISNUMBER( SEARCH("/",Table151823[[#This Row],[CONCERN.UNIQUEPATH]])),SEARCH("/",Table151823[[#This Row],[CONCERN.UNIQUEPATH]])+1,1),255))</f>
        <v/>
      </c>
      <c r="J310" t="s">
        <v>2068</v>
      </c>
      <c r="L310" t="s">
        <v>1928</v>
      </c>
      <c r="M310" t="s">
        <v>5239</v>
      </c>
    </row>
    <row r="311" spans="1:13">
      <c r="A311" t="s">
        <v>1977</v>
      </c>
      <c r="B311" t="s">
        <v>2270</v>
      </c>
      <c r="E311" t="str">
        <f xml:space="preserve"> CONCATENATE( MID(Table151823[[#This Row],[PHASE]],2,3), MID(Table151823[[#This Row],[DELIVERABLE]],2,4), TRIM(SUBSTITUTE(MID(Table151823[[#This Row],[CONCERN.ID]],2,20),"X","") )  )</f>
        <v>10.523.</v>
      </c>
      <c r="F311" t="str">
        <f>TRIM(MID(Table151823[[#This Row],[CONCERN.UNIQUEPATH]], IF( ISNUMBER( SEARCH("/",Table151823[[#This Row],[CONCERN.UNIQUEPATH]])),SEARCH("/",Table151823[[#This Row],[CONCERN.UNIQUEPATH]])+1,1),255))</f>
        <v/>
      </c>
      <c r="J311" t="s">
        <v>2068</v>
      </c>
      <c r="L311" t="s">
        <v>1928</v>
      </c>
      <c r="M311" t="s">
        <v>5240</v>
      </c>
    </row>
    <row r="312" spans="1:13">
      <c r="A312" t="s">
        <v>1977</v>
      </c>
      <c r="B312" t="s">
        <v>2270</v>
      </c>
      <c r="E312" t="str">
        <f xml:space="preserve"> CONCATENATE( MID(Table151823[[#This Row],[PHASE]],2,3), MID(Table151823[[#This Row],[DELIVERABLE]],2,4), TRIM(SUBSTITUTE(MID(Table151823[[#This Row],[CONCERN.ID]],2,20),"X","") )  )</f>
        <v>10.523.</v>
      </c>
      <c r="F312" t="str">
        <f>TRIM(MID(Table151823[[#This Row],[CONCERN.UNIQUEPATH]], IF( ISNUMBER( SEARCH("/",Table151823[[#This Row],[CONCERN.UNIQUEPATH]])),SEARCH("/",Table151823[[#This Row],[CONCERN.UNIQUEPATH]])+1,1),255))</f>
        <v/>
      </c>
      <c r="J312" t="s">
        <v>2068</v>
      </c>
      <c r="L312" t="s">
        <v>1928</v>
      </c>
      <c r="M312" t="s">
        <v>5241</v>
      </c>
    </row>
    <row r="313" spans="1:13">
      <c r="A313" t="s">
        <v>1977</v>
      </c>
      <c r="B313" t="s">
        <v>2270</v>
      </c>
      <c r="E313" t="str">
        <f xml:space="preserve"> CONCATENATE( MID(Table151823[[#This Row],[PHASE]],2,3), MID(Table151823[[#This Row],[DELIVERABLE]],2,4), TRIM(SUBSTITUTE(MID(Table151823[[#This Row],[CONCERN.ID]],2,20),"X","") )  )</f>
        <v>10.523.</v>
      </c>
      <c r="F313" t="str">
        <f>TRIM(MID(Table151823[[#This Row],[CONCERN.UNIQUEPATH]], IF( ISNUMBER( SEARCH("/",Table151823[[#This Row],[CONCERN.UNIQUEPATH]])),SEARCH("/",Table151823[[#This Row],[CONCERN.UNIQUEPATH]])+1,1),255))</f>
        <v/>
      </c>
      <c r="J313" t="s">
        <v>2068</v>
      </c>
      <c r="K313" t="s">
        <v>1971</v>
      </c>
      <c r="L313" t="s">
        <v>1928</v>
      </c>
      <c r="M313" t="s">
        <v>5242</v>
      </c>
    </row>
    <row r="314" spans="1:13">
      <c r="A314" t="s">
        <v>1977</v>
      </c>
      <c r="B314" t="s">
        <v>2270</v>
      </c>
      <c r="E314" t="str">
        <f xml:space="preserve"> CONCATENATE( MID(Table151823[[#This Row],[PHASE]],2,3), MID(Table151823[[#This Row],[DELIVERABLE]],2,4), TRIM(SUBSTITUTE(MID(Table151823[[#This Row],[CONCERN.ID]],2,20),"X","") )  )</f>
        <v>10.523.</v>
      </c>
      <c r="F314" t="str">
        <f>TRIM(MID(Table151823[[#This Row],[CONCERN.UNIQUEPATH]], IF( ISNUMBER( SEARCH("/",Table151823[[#This Row],[CONCERN.UNIQUEPATH]])),SEARCH("/",Table151823[[#This Row],[CONCERN.UNIQUEPATH]])+1,1),255))</f>
        <v/>
      </c>
      <c r="J314" t="s">
        <v>2068</v>
      </c>
      <c r="K314" s="22"/>
      <c r="L314" t="s">
        <v>1928</v>
      </c>
    </row>
    <row r="315" spans="1:13">
      <c r="A315" t="s">
        <v>1977</v>
      </c>
      <c r="B315" t="s">
        <v>2270</v>
      </c>
      <c r="E315" t="str">
        <f xml:space="preserve"> CONCATENATE( MID(Table151823[[#This Row],[PHASE]],2,3), MID(Table151823[[#This Row],[DELIVERABLE]],2,4), TRIM(SUBSTITUTE(MID(Table151823[[#This Row],[CONCERN.ID]],2,20),"X","") )  )</f>
        <v>10.523.</v>
      </c>
      <c r="F315" t="str">
        <f>TRIM(MID(Table151823[[#This Row],[CONCERN.UNIQUEPATH]], IF( ISNUMBER( SEARCH("/",Table151823[[#This Row],[CONCERN.UNIQUEPATH]])),SEARCH("/",Table151823[[#This Row],[CONCERN.UNIQUEPATH]])+1,1),255))</f>
        <v/>
      </c>
      <c r="J315" t="s">
        <v>2068</v>
      </c>
      <c r="K315" t="s">
        <v>2098</v>
      </c>
      <c r="L315" t="s">
        <v>1928</v>
      </c>
      <c r="M315" t="s">
        <v>5243</v>
      </c>
    </row>
    <row r="316" spans="1:13">
      <c r="A316" t="s">
        <v>1977</v>
      </c>
      <c r="B316" t="s">
        <v>2270</v>
      </c>
      <c r="E316" t="str">
        <f xml:space="preserve"> CONCATENATE( MID(Table151823[[#This Row],[PHASE]],2,3), MID(Table151823[[#This Row],[DELIVERABLE]],2,4), TRIM(SUBSTITUTE(MID(Table151823[[#This Row],[CONCERN.ID]],2,20),"X","") )  )</f>
        <v>10.523.</v>
      </c>
      <c r="F316" t="str">
        <f>TRIM(MID(Table151823[[#This Row],[CONCERN.UNIQUEPATH]], IF( ISNUMBER( SEARCH("/",Table151823[[#This Row],[CONCERN.UNIQUEPATH]])),SEARCH("/",Table151823[[#This Row],[CONCERN.UNIQUEPATH]])+1,1),255))</f>
        <v/>
      </c>
      <c r="J316" t="s">
        <v>2068</v>
      </c>
      <c r="K316" t="s">
        <v>2092</v>
      </c>
      <c r="L316" t="s">
        <v>1928</v>
      </c>
      <c r="M316" t="s">
        <v>5244</v>
      </c>
    </row>
    <row r="317" spans="1:13">
      <c r="A317" t="s">
        <v>1977</v>
      </c>
      <c r="B317" t="s">
        <v>2270</v>
      </c>
      <c r="E317" t="str">
        <f xml:space="preserve"> CONCATENATE( MID(Table151823[[#This Row],[PHASE]],2,3), MID(Table151823[[#This Row],[DELIVERABLE]],2,4), TRIM(SUBSTITUTE(MID(Table151823[[#This Row],[CONCERN.ID]],2,20),"X","") )  )</f>
        <v>10.523.</v>
      </c>
      <c r="F317" t="str">
        <f>TRIM(MID(Table151823[[#This Row],[CONCERN.UNIQUEPATH]], IF( ISNUMBER( SEARCH("/",Table151823[[#This Row],[CONCERN.UNIQUEPATH]])),SEARCH("/",Table151823[[#This Row],[CONCERN.UNIQUEPATH]])+1,1),255))</f>
        <v/>
      </c>
      <c r="J317" t="s">
        <v>2068</v>
      </c>
      <c r="K317" t="s">
        <v>2060</v>
      </c>
      <c r="L317" t="s">
        <v>1928</v>
      </c>
      <c r="M317" t="s">
        <v>5245</v>
      </c>
    </row>
    <row r="318" spans="1:13">
      <c r="A318" t="s">
        <v>1977</v>
      </c>
      <c r="B318" t="s">
        <v>2270</v>
      </c>
      <c r="E318" t="str">
        <f xml:space="preserve"> CONCATENATE( MID(Table151823[[#This Row],[PHASE]],2,3), MID(Table151823[[#This Row],[DELIVERABLE]],2,4), TRIM(SUBSTITUTE(MID(Table151823[[#This Row],[CONCERN.ID]],2,20),"X","") )  )</f>
        <v>10.523.</v>
      </c>
      <c r="F318" t="str">
        <f>TRIM(MID(Table151823[[#This Row],[CONCERN.UNIQUEPATH]], IF( ISNUMBER( SEARCH("/",Table151823[[#This Row],[CONCERN.UNIQUEPATH]])),SEARCH("/",Table151823[[#This Row],[CONCERN.UNIQUEPATH]])+1,1),255))</f>
        <v/>
      </c>
      <c r="J318" t="s">
        <v>2068</v>
      </c>
      <c r="K318" t="s">
        <v>1946</v>
      </c>
      <c r="L318" t="s">
        <v>1928</v>
      </c>
      <c r="M318" t="s">
        <v>5246</v>
      </c>
    </row>
    <row r="319" spans="1:13">
      <c r="A319" t="s">
        <v>1977</v>
      </c>
      <c r="B319" t="s">
        <v>2270</v>
      </c>
      <c r="E319" t="str">
        <f xml:space="preserve"> CONCATENATE( MID(Table151823[[#This Row],[PHASE]],2,3), MID(Table151823[[#This Row],[DELIVERABLE]],2,4), TRIM(SUBSTITUTE(MID(Table151823[[#This Row],[CONCERN.ID]],2,20),"X","") )  )</f>
        <v>10.523.</v>
      </c>
      <c r="F319" t="str">
        <f>TRIM(MID(Table151823[[#This Row],[CONCERN.UNIQUEPATH]], IF( ISNUMBER( SEARCH("/",Table151823[[#This Row],[CONCERN.UNIQUEPATH]])),SEARCH("/",Table151823[[#This Row],[CONCERN.UNIQUEPATH]])+1,1),255))</f>
        <v/>
      </c>
      <c r="J319" t="s">
        <v>2068</v>
      </c>
      <c r="K319" s="15" t="s">
        <v>2024</v>
      </c>
      <c r="L319" t="s">
        <v>1928</v>
      </c>
      <c r="M319" t="s">
        <v>5247</v>
      </c>
    </row>
    <row r="320" spans="1:13">
      <c r="A320" t="s">
        <v>1977</v>
      </c>
      <c r="B320" t="s">
        <v>2270</v>
      </c>
      <c r="E320" t="str">
        <f xml:space="preserve"> CONCATENATE( MID(Table151823[[#This Row],[PHASE]],2,3), MID(Table151823[[#This Row],[DELIVERABLE]],2,4), TRIM(SUBSTITUTE(MID(Table151823[[#This Row],[CONCERN.ID]],2,20),"X","") )  )</f>
        <v>10.523.</v>
      </c>
      <c r="F320" t="str">
        <f>TRIM(MID(Table151823[[#This Row],[CONCERN.UNIQUEPATH]], IF( ISNUMBER( SEARCH("/",Table151823[[#This Row],[CONCERN.UNIQUEPATH]])),SEARCH("/",Table151823[[#This Row],[CONCERN.UNIQUEPATH]])+1,1),255))</f>
        <v/>
      </c>
      <c r="J320" t="s">
        <v>2068</v>
      </c>
      <c r="K320" s="15" t="s">
        <v>1946</v>
      </c>
      <c r="L320" t="s">
        <v>1928</v>
      </c>
      <c r="M320" t="s">
        <v>5248</v>
      </c>
    </row>
    <row r="321" spans="1:13">
      <c r="A321" t="s">
        <v>1977</v>
      </c>
      <c r="B321" t="s">
        <v>2270</v>
      </c>
      <c r="E321" t="str">
        <f xml:space="preserve"> CONCATENATE( MID(Table151823[[#This Row],[PHASE]],2,3), MID(Table151823[[#This Row],[DELIVERABLE]],2,4), TRIM(SUBSTITUTE(MID(Table151823[[#This Row],[CONCERN.ID]],2,20),"X","") )  )</f>
        <v>10.523.</v>
      </c>
      <c r="F321" t="str">
        <f>TRIM(MID(Table151823[[#This Row],[CONCERN.UNIQUEPATH]], IF( ISNUMBER( SEARCH("/",Table151823[[#This Row],[CONCERN.UNIQUEPATH]])),SEARCH("/",Table151823[[#This Row],[CONCERN.UNIQUEPATH]])+1,1),255))</f>
        <v/>
      </c>
      <c r="J321" t="s">
        <v>2068</v>
      </c>
      <c r="K321" t="s">
        <v>2092</v>
      </c>
      <c r="L321" t="s">
        <v>1928</v>
      </c>
      <c r="M321" t="s">
        <v>5249</v>
      </c>
    </row>
    <row r="322" spans="1:13">
      <c r="A322" t="s">
        <v>1977</v>
      </c>
      <c r="B322" t="s">
        <v>2270</v>
      </c>
      <c r="E322" t="str">
        <f xml:space="preserve"> CONCATENATE( MID(Table151823[[#This Row],[PHASE]],2,3), MID(Table151823[[#This Row],[DELIVERABLE]],2,4), TRIM(SUBSTITUTE(MID(Table151823[[#This Row],[CONCERN.ID]],2,20),"X","") )  )</f>
        <v>10.523.</v>
      </c>
      <c r="F322" t="str">
        <f>TRIM(MID(Table151823[[#This Row],[CONCERN.UNIQUEPATH]], IF( ISNUMBER( SEARCH("/",Table151823[[#This Row],[CONCERN.UNIQUEPATH]])),SEARCH("/",Table151823[[#This Row],[CONCERN.UNIQUEPATH]])+1,1),255))</f>
        <v/>
      </c>
      <c r="J322" t="s">
        <v>2068</v>
      </c>
      <c r="K322" t="s">
        <v>2046</v>
      </c>
      <c r="L322" t="s">
        <v>1928</v>
      </c>
      <c r="M322" t="s">
        <v>5250</v>
      </c>
    </row>
    <row r="323" spans="1:13">
      <c r="A323" t="s">
        <v>1977</v>
      </c>
      <c r="B323" t="s">
        <v>2270</v>
      </c>
      <c r="E323" t="str">
        <f xml:space="preserve"> CONCATENATE( MID(Table151823[[#This Row],[PHASE]],2,3), MID(Table151823[[#This Row],[DELIVERABLE]],2,4), TRIM(SUBSTITUTE(MID(Table151823[[#This Row],[CONCERN.ID]],2,20),"X","") )  )</f>
        <v>10.523.</v>
      </c>
      <c r="F323" t="str">
        <f>TRIM(MID(Table151823[[#This Row],[CONCERN.UNIQUEPATH]], IF( ISNUMBER( SEARCH("/",Table151823[[#This Row],[CONCERN.UNIQUEPATH]])),SEARCH("/",Table151823[[#This Row],[CONCERN.UNIQUEPATH]])+1,1),255))</f>
        <v/>
      </c>
      <c r="J323" t="s">
        <v>2068</v>
      </c>
      <c r="K323" t="s">
        <v>2104</v>
      </c>
      <c r="L323" t="s">
        <v>1928</v>
      </c>
      <c r="M323" t="s">
        <v>5251</v>
      </c>
    </row>
    <row r="324" spans="1:13">
      <c r="A324" t="s">
        <v>1977</v>
      </c>
      <c r="B324" t="s">
        <v>2270</v>
      </c>
      <c r="E324" t="str">
        <f xml:space="preserve"> CONCATENATE( MID(Table151823[[#This Row],[PHASE]],2,3), MID(Table151823[[#This Row],[DELIVERABLE]],2,4), TRIM(SUBSTITUTE(MID(Table151823[[#This Row],[CONCERN.ID]],2,20),"X","") )  )</f>
        <v>10.523.</v>
      </c>
      <c r="F324" t="str">
        <f>TRIM(MID(Table151823[[#This Row],[CONCERN.UNIQUEPATH]], IF( ISNUMBER( SEARCH("/",Table151823[[#This Row],[CONCERN.UNIQUEPATH]])),SEARCH("/",Table151823[[#This Row],[CONCERN.UNIQUEPATH]])+1,1),255))</f>
        <v/>
      </c>
      <c r="J324" t="s">
        <v>2068</v>
      </c>
      <c r="K324" t="s">
        <v>2104</v>
      </c>
      <c r="L324" t="s">
        <v>1928</v>
      </c>
      <c r="M324" t="s">
        <v>5252</v>
      </c>
    </row>
    <row r="325" spans="1:13">
      <c r="A325" t="s">
        <v>1977</v>
      </c>
      <c r="B325" t="s">
        <v>2270</v>
      </c>
      <c r="E325" t="str">
        <f xml:space="preserve"> CONCATENATE( MID(Table151823[[#This Row],[PHASE]],2,3), MID(Table151823[[#This Row],[DELIVERABLE]],2,4), TRIM(SUBSTITUTE(MID(Table151823[[#This Row],[CONCERN.ID]],2,20),"X","") )  )</f>
        <v>10.523.</v>
      </c>
      <c r="F325" t="str">
        <f>TRIM(MID(Table151823[[#This Row],[CONCERN.UNIQUEPATH]], IF( ISNUMBER( SEARCH("/",Table151823[[#This Row],[CONCERN.UNIQUEPATH]])),SEARCH("/",Table151823[[#This Row],[CONCERN.UNIQUEPATH]])+1,1),255))</f>
        <v/>
      </c>
      <c r="J325" t="s">
        <v>2068</v>
      </c>
      <c r="L325" t="s">
        <v>1928</v>
      </c>
      <c r="M325" t="s">
        <v>5253</v>
      </c>
    </row>
    <row r="326" spans="1:13">
      <c r="A326" t="s">
        <v>1977</v>
      </c>
      <c r="B326" t="s">
        <v>2270</v>
      </c>
      <c r="E326" t="str">
        <f xml:space="preserve"> CONCATENATE( MID(Table151823[[#This Row],[PHASE]],2,3), MID(Table151823[[#This Row],[DELIVERABLE]],2,4), TRIM(SUBSTITUTE(MID(Table151823[[#This Row],[CONCERN.ID]],2,20),"X","") )  )</f>
        <v>10.523.</v>
      </c>
      <c r="F326" t="str">
        <f>TRIM(MID(Table151823[[#This Row],[CONCERN.UNIQUEPATH]], IF( ISNUMBER( SEARCH("/",Table151823[[#This Row],[CONCERN.UNIQUEPATH]])),SEARCH("/",Table151823[[#This Row],[CONCERN.UNIQUEPATH]])+1,1),255))</f>
        <v/>
      </c>
      <c r="J326" t="s">
        <v>2068</v>
      </c>
      <c r="K326" t="s">
        <v>2106</v>
      </c>
      <c r="L326" t="s">
        <v>1928</v>
      </c>
      <c r="M326" t="s">
        <v>5254</v>
      </c>
    </row>
    <row r="327" spans="1:13">
      <c r="A327" t="s">
        <v>1977</v>
      </c>
      <c r="B327" t="s">
        <v>2270</v>
      </c>
      <c r="E327" t="str">
        <f xml:space="preserve"> CONCATENATE( MID(Table151823[[#This Row],[PHASE]],2,3), MID(Table151823[[#This Row],[DELIVERABLE]],2,4), TRIM(SUBSTITUTE(MID(Table151823[[#This Row],[CONCERN.ID]],2,20),"X","") )  )</f>
        <v>10.523.</v>
      </c>
      <c r="F327" t="str">
        <f>TRIM(MID(Table151823[[#This Row],[CONCERN.UNIQUEPATH]], IF( ISNUMBER( SEARCH("/",Table151823[[#This Row],[CONCERN.UNIQUEPATH]])),SEARCH("/",Table151823[[#This Row],[CONCERN.UNIQUEPATH]])+1,1),255))</f>
        <v/>
      </c>
      <c r="J327" t="s">
        <v>2068</v>
      </c>
      <c r="K327" t="s">
        <v>2106</v>
      </c>
      <c r="L327" t="s">
        <v>1928</v>
      </c>
      <c r="M327" t="s">
        <v>5255</v>
      </c>
    </row>
    <row r="328" spans="1:13">
      <c r="A328" t="s">
        <v>1977</v>
      </c>
      <c r="B328" t="s">
        <v>2270</v>
      </c>
      <c r="E328" t="str">
        <f xml:space="preserve"> CONCATENATE( MID(Table151823[[#This Row],[PHASE]],2,3), MID(Table151823[[#This Row],[DELIVERABLE]],2,4), TRIM(SUBSTITUTE(MID(Table151823[[#This Row],[CONCERN.ID]],2,20),"X","") )  )</f>
        <v>10.523.</v>
      </c>
      <c r="F328" t="str">
        <f>TRIM(MID(Table151823[[#This Row],[CONCERN.UNIQUEPATH]], IF( ISNUMBER( SEARCH("/",Table151823[[#This Row],[CONCERN.UNIQUEPATH]])),SEARCH("/",Table151823[[#This Row],[CONCERN.UNIQUEPATH]])+1,1),255))</f>
        <v/>
      </c>
      <c r="J328" t="s">
        <v>2068</v>
      </c>
      <c r="L328" t="s">
        <v>1928</v>
      </c>
      <c r="M328" t="s">
        <v>5256</v>
      </c>
    </row>
    <row r="329" spans="1:13">
      <c r="A329" t="s">
        <v>1977</v>
      </c>
      <c r="B329" t="s">
        <v>2270</v>
      </c>
      <c r="E329" t="str">
        <f xml:space="preserve"> CONCATENATE( MID(Table151823[[#This Row],[PHASE]],2,3), MID(Table151823[[#This Row],[DELIVERABLE]],2,4), TRIM(SUBSTITUTE(MID(Table151823[[#This Row],[CONCERN.ID]],2,20),"X","") )  )</f>
        <v>10.523.</v>
      </c>
      <c r="F329" t="str">
        <f>TRIM(MID(Table151823[[#This Row],[CONCERN.UNIQUEPATH]], IF( ISNUMBER( SEARCH("/",Table151823[[#This Row],[CONCERN.UNIQUEPATH]])),SEARCH("/",Table151823[[#This Row],[CONCERN.UNIQUEPATH]])+1,1),255))</f>
        <v/>
      </c>
      <c r="J329" t="s">
        <v>2068</v>
      </c>
      <c r="K329" t="s">
        <v>2092</v>
      </c>
      <c r="L329" t="s">
        <v>1928</v>
      </c>
      <c r="M329" t="s">
        <v>5119</v>
      </c>
    </row>
    <row r="330" spans="1:13">
      <c r="A330" t="s">
        <v>1977</v>
      </c>
      <c r="B330" t="s">
        <v>2270</v>
      </c>
      <c r="E330" t="str">
        <f xml:space="preserve"> CONCATENATE( MID(Table151823[[#This Row],[PHASE]],2,3), MID(Table151823[[#This Row],[DELIVERABLE]],2,4), TRIM(SUBSTITUTE(MID(Table151823[[#This Row],[CONCERN.ID]],2,20),"X","") )  )</f>
        <v>10.523.</v>
      </c>
      <c r="F330" t="str">
        <f>TRIM(MID(Table151823[[#This Row],[CONCERN.UNIQUEPATH]], IF( ISNUMBER( SEARCH("/",Table151823[[#This Row],[CONCERN.UNIQUEPATH]])),SEARCH("/",Table151823[[#This Row],[CONCERN.UNIQUEPATH]])+1,1),255))</f>
        <v/>
      </c>
      <c r="J330" t="s">
        <v>2068</v>
      </c>
      <c r="K330" t="s">
        <v>2096</v>
      </c>
      <c r="L330" t="s">
        <v>1928</v>
      </c>
      <c r="M330" t="s">
        <v>5257</v>
      </c>
    </row>
    <row r="331" spans="1:13">
      <c r="A331" t="s">
        <v>1977</v>
      </c>
      <c r="B331" t="s">
        <v>2270</v>
      </c>
      <c r="E331" t="str">
        <f xml:space="preserve"> CONCATENATE( MID(Table151823[[#This Row],[PHASE]],2,3), MID(Table151823[[#This Row],[DELIVERABLE]],2,4), TRIM(SUBSTITUTE(MID(Table151823[[#This Row],[CONCERN.ID]],2,20),"X","") )  )</f>
        <v>10.523.</v>
      </c>
      <c r="F331" t="str">
        <f>TRIM(MID(Table151823[[#This Row],[CONCERN.UNIQUEPATH]], IF( ISNUMBER( SEARCH("/",Table151823[[#This Row],[CONCERN.UNIQUEPATH]])),SEARCH("/",Table151823[[#This Row],[CONCERN.UNIQUEPATH]])+1,1),255))</f>
        <v/>
      </c>
      <c r="J331" t="s">
        <v>2068</v>
      </c>
      <c r="K331" t="s">
        <v>2096</v>
      </c>
      <c r="L331" t="s">
        <v>1928</v>
      </c>
      <c r="M331" t="s">
        <v>5258</v>
      </c>
    </row>
    <row r="332" spans="1:13">
      <c r="A332" t="s">
        <v>1977</v>
      </c>
      <c r="B332" t="s">
        <v>2270</v>
      </c>
      <c r="E332" t="str">
        <f xml:space="preserve"> CONCATENATE( MID(Table151823[[#This Row],[PHASE]],2,3), MID(Table151823[[#This Row],[DELIVERABLE]],2,4), TRIM(SUBSTITUTE(MID(Table151823[[#This Row],[CONCERN.ID]],2,20),"X","") )  )</f>
        <v>10.523.</v>
      </c>
      <c r="F332" t="str">
        <f>TRIM(MID(Table151823[[#This Row],[CONCERN.UNIQUEPATH]], IF( ISNUMBER( SEARCH("/",Table151823[[#This Row],[CONCERN.UNIQUEPATH]])),SEARCH("/",Table151823[[#This Row],[CONCERN.UNIQUEPATH]])+1,1),255))</f>
        <v/>
      </c>
      <c r="J332" t="s">
        <v>2068</v>
      </c>
      <c r="K332" t="s">
        <v>2104</v>
      </c>
      <c r="L332" t="s">
        <v>1960</v>
      </c>
      <c r="M332" t="s">
        <v>5259</v>
      </c>
    </row>
    <row r="333" spans="1:13">
      <c r="A333" t="s">
        <v>1977</v>
      </c>
      <c r="B333" t="s">
        <v>2270</v>
      </c>
      <c r="E333" t="str">
        <f xml:space="preserve"> CONCATENATE( MID(Table151823[[#This Row],[PHASE]],2,3), MID(Table151823[[#This Row],[DELIVERABLE]],2,4), TRIM(SUBSTITUTE(MID(Table151823[[#This Row],[CONCERN.ID]],2,20),"X","") )  )</f>
        <v>10.523.</v>
      </c>
      <c r="F333" t="str">
        <f>TRIM(MID(Table151823[[#This Row],[CONCERN.UNIQUEPATH]], IF( ISNUMBER( SEARCH("/",Table151823[[#This Row],[CONCERN.UNIQUEPATH]])),SEARCH("/",Table151823[[#This Row],[CONCERN.UNIQUEPATH]])+1,1),255))</f>
        <v/>
      </c>
      <c r="J333" t="s">
        <v>2068</v>
      </c>
      <c r="K333" t="s">
        <v>2024</v>
      </c>
      <c r="L333" t="s">
        <v>1960</v>
      </c>
      <c r="M333" t="s">
        <v>5260</v>
      </c>
    </row>
    <row r="334" spans="1:13">
      <c r="A334" t="s">
        <v>1977</v>
      </c>
      <c r="B334" t="s">
        <v>2270</v>
      </c>
      <c r="E334" t="str">
        <f xml:space="preserve"> CONCATENATE( MID(Table151823[[#This Row],[PHASE]],2,3), MID(Table151823[[#This Row],[DELIVERABLE]],2,4), TRIM(SUBSTITUTE(MID(Table151823[[#This Row],[CONCERN.ID]],2,20),"X","") )  )</f>
        <v>10.523.</v>
      </c>
      <c r="F334" t="str">
        <f>TRIM(MID(Table151823[[#This Row],[CONCERN.UNIQUEPATH]], IF( ISNUMBER( SEARCH("/",Table151823[[#This Row],[CONCERN.UNIQUEPATH]])),SEARCH("/",Table151823[[#This Row],[CONCERN.UNIQUEPATH]])+1,1),255))</f>
        <v/>
      </c>
      <c r="J334" t="s">
        <v>2068</v>
      </c>
      <c r="K334" t="s">
        <v>2024</v>
      </c>
      <c r="L334" t="s">
        <v>1960</v>
      </c>
      <c r="M334" t="s">
        <v>5261</v>
      </c>
    </row>
    <row r="335" spans="1:13">
      <c r="A335" t="s">
        <v>1977</v>
      </c>
      <c r="B335" t="s">
        <v>2270</v>
      </c>
      <c r="E335" t="str">
        <f xml:space="preserve"> CONCATENATE( MID(Table151823[[#This Row],[PHASE]],2,3), MID(Table151823[[#This Row],[DELIVERABLE]],2,4), TRIM(SUBSTITUTE(MID(Table151823[[#This Row],[CONCERN.ID]],2,20),"X","") )  )</f>
        <v>10.523.</v>
      </c>
      <c r="F335" t="str">
        <f>TRIM(MID(Table151823[[#This Row],[CONCERN.UNIQUEPATH]], IF( ISNUMBER( SEARCH("/",Table151823[[#This Row],[CONCERN.UNIQUEPATH]])),SEARCH("/",Table151823[[#This Row],[CONCERN.UNIQUEPATH]])+1,1),255))</f>
        <v/>
      </c>
      <c r="J335" t="s">
        <v>2068</v>
      </c>
      <c r="K335" t="s">
        <v>2024</v>
      </c>
      <c r="L335" t="s">
        <v>1968</v>
      </c>
      <c r="M335" t="s">
        <v>5262</v>
      </c>
    </row>
    <row r="336" spans="1:13">
      <c r="A336" t="s">
        <v>1977</v>
      </c>
      <c r="B336" t="s">
        <v>2270</v>
      </c>
      <c r="E336" t="str">
        <f xml:space="preserve"> CONCATENATE( MID(Table151823[[#This Row],[PHASE]],2,3), MID(Table151823[[#This Row],[DELIVERABLE]],2,4), TRIM(SUBSTITUTE(MID(Table151823[[#This Row],[CONCERN.ID]],2,20),"X","") )  )</f>
        <v>10.523.</v>
      </c>
      <c r="F336" t="str">
        <f>TRIM(MID(Table151823[[#This Row],[CONCERN.UNIQUEPATH]], IF( ISNUMBER( SEARCH("/",Table151823[[#This Row],[CONCERN.UNIQUEPATH]])),SEARCH("/",Table151823[[#This Row],[CONCERN.UNIQUEPATH]])+1,1),255))</f>
        <v/>
      </c>
      <c r="J336" t="s">
        <v>2068</v>
      </c>
      <c r="K336" t="s">
        <v>2024</v>
      </c>
      <c r="L336" t="s">
        <v>1968</v>
      </c>
      <c r="M336" t="s">
        <v>5263</v>
      </c>
    </row>
    <row r="337" spans="1:13">
      <c r="A337" t="s">
        <v>1977</v>
      </c>
      <c r="B337" t="s">
        <v>2270</v>
      </c>
      <c r="E337" t="str">
        <f xml:space="preserve"> CONCATENATE( MID(Table151823[[#This Row],[PHASE]],2,3), MID(Table151823[[#This Row],[DELIVERABLE]],2,4), TRIM(SUBSTITUTE(MID(Table151823[[#This Row],[CONCERN.ID]],2,20),"X","") )  )</f>
        <v>10.523.</v>
      </c>
      <c r="F337" t="str">
        <f>TRIM(MID(Table151823[[#This Row],[CONCERN.UNIQUEPATH]], IF( ISNUMBER( SEARCH("/",Table151823[[#This Row],[CONCERN.UNIQUEPATH]])),SEARCH("/",Table151823[[#This Row],[CONCERN.UNIQUEPATH]])+1,1),255))</f>
        <v/>
      </c>
      <c r="J337" t="s">
        <v>2068</v>
      </c>
      <c r="K337" t="s">
        <v>2024</v>
      </c>
      <c r="L337" t="s">
        <v>1960</v>
      </c>
      <c r="M337" t="s">
        <v>5264</v>
      </c>
    </row>
    <row r="338" spans="1:13">
      <c r="A338" t="s">
        <v>1977</v>
      </c>
      <c r="B338" t="s">
        <v>2270</v>
      </c>
      <c r="E338" t="str">
        <f xml:space="preserve"> CONCATENATE( MID(Table151823[[#This Row],[PHASE]],2,3), MID(Table151823[[#This Row],[DELIVERABLE]],2,4), TRIM(SUBSTITUTE(MID(Table151823[[#This Row],[CONCERN.ID]],2,20),"X","") )  )</f>
        <v>10.523.</v>
      </c>
      <c r="F338" t="str">
        <f>TRIM(MID(Table151823[[#This Row],[CONCERN.UNIQUEPATH]], IF( ISNUMBER( SEARCH("/",Table151823[[#This Row],[CONCERN.UNIQUEPATH]])),SEARCH("/",Table151823[[#This Row],[CONCERN.UNIQUEPATH]])+1,1),255))</f>
        <v/>
      </c>
      <c r="J338" t="s">
        <v>2068</v>
      </c>
      <c r="K338" t="s">
        <v>2024</v>
      </c>
      <c r="L338" t="s">
        <v>1960</v>
      </c>
      <c r="M338" t="s">
        <v>5265</v>
      </c>
    </row>
    <row r="339" spans="1:13">
      <c r="A339" t="s">
        <v>1977</v>
      </c>
      <c r="B339" t="s">
        <v>2270</v>
      </c>
      <c r="E339" t="str">
        <f xml:space="preserve"> CONCATENATE( MID(Table151823[[#This Row],[PHASE]],2,3), MID(Table151823[[#This Row],[DELIVERABLE]],2,4), TRIM(SUBSTITUTE(MID(Table151823[[#This Row],[CONCERN.ID]],2,20),"X","") )  )</f>
        <v>10.523.</v>
      </c>
      <c r="F339" t="str">
        <f>TRIM(MID(Table151823[[#This Row],[CONCERN.UNIQUEPATH]], IF( ISNUMBER( SEARCH("/",Table151823[[#This Row],[CONCERN.UNIQUEPATH]])),SEARCH("/",Table151823[[#This Row],[CONCERN.UNIQUEPATH]])+1,1),255))</f>
        <v/>
      </c>
      <c r="J339" t="s">
        <v>2068</v>
      </c>
      <c r="K339" t="s">
        <v>2024</v>
      </c>
      <c r="L339" t="s">
        <v>1972</v>
      </c>
      <c r="M339" t="s">
        <v>5266</v>
      </c>
    </row>
    <row r="340" spans="1:13">
      <c r="A340" t="s">
        <v>1977</v>
      </c>
      <c r="B340" t="s">
        <v>2270</v>
      </c>
      <c r="E340" t="str">
        <f xml:space="preserve"> CONCATENATE( MID(Table151823[[#This Row],[PHASE]],2,3), MID(Table151823[[#This Row],[DELIVERABLE]],2,4), TRIM(SUBSTITUTE(MID(Table151823[[#This Row],[CONCERN.ID]],2,20),"X","") )  )</f>
        <v>10.523.</v>
      </c>
      <c r="F340" t="str">
        <f>TRIM(MID(Table151823[[#This Row],[CONCERN.UNIQUEPATH]], IF( ISNUMBER( SEARCH("/",Table151823[[#This Row],[CONCERN.UNIQUEPATH]])),SEARCH("/",Table151823[[#This Row],[CONCERN.UNIQUEPATH]])+1,1),255))</f>
        <v/>
      </c>
      <c r="J340" t="s">
        <v>2068</v>
      </c>
      <c r="K340" t="s">
        <v>2024</v>
      </c>
      <c r="L340" t="s">
        <v>1968</v>
      </c>
      <c r="M340" t="s">
        <v>5267</v>
      </c>
    </row>
    <row r="341" spans="1:13">
      <c r="A341" t="s">
        <v>1977</v>
      </c>
      <c r="B341" t="s">
        <v>2270</v>
      </c>
      <c r="E341" t="str">
        <f xml:space="preserve"> CONCATENATE( MID(Table151823[[#This Row],[PHASE]],2,3), MID(Table151823[[#This Row],[DELIVERABLE]],2,4), TRIM(SUBSTITUTE(MID(Table151823[[#This Row],[CONCERN.ID]],2,20),"X","") )  )</f>
        <v>10.523.</v>
      </c>
      <c r="F341" t="str">
        <f>TRIM(MID(Table151823[[#This Row],[CONCERN.UNIQUEPATH]], IF( ISNUMBER( SEARCH("/",Table151823[[#This Row],[CONCERN.UNIQUEPATH]])),SEARCH("/",Table151823[[#This Row],[CONCERN.UNIQUEPATH]])+1,1),255))</f>
        <v/>
      </c>
      <c r="J341" t="s">
        <v>2068</v>
      </c>
      <c r="K341" t="s">
        <v>2024</v>
      </c>
      <c r="L341" t="s">
        <v>1972</v>
      </c>
      <c r="M341" t="s">
        <v>5194</v>
      </c>
    </row>
    <row r="342" spans="1:13">
      <c r="A342" t="s">
        <v>1977</v>
      </c>
      <c r="B342" t="s">
        <v>2270</v>
      </c>
      <c r="E342" t="str">
        <f xml:space="preserve"> CONCATENATE( MID(Table151823[[#This Row],[PHASE]],2,3), MID(Table151823[[#This Row],[DELIVERABLE]],2,4), TRIM(SUBSTITUTE(MID(Table151823[[#This Row],[CONCERN.ID]],2,20),"X","") )  )</f>
        <v>10.523.</v>
      </c>
      <c r="F342" t="str">
        <f>TRIM(MID(Table151823[[#This Row],[CONCERN.UNIQUEPATH]], IF( ISNUMBER( SEARCH("/",Table151823[[#This Row],[CONCERN.UNIQUEPATH]])),SEARCH("/",Table151823[[#This Row],[CONCERN.UNIQUEPATH]])+1,1),255))</f>
        <v/>
      </c>
      <c r="J342" t="s">
        <v>2068</v>
      </c>
      <c r="K342" t="s">
        <v>2024</v>
      </c>
      <c r="L342" t="s">
        <v>1964</v>
      </c>
      <c r="M342" t="s">
        <v>5268</v>
      </c>
    </row>
    <row r="343" spans="1:13">
      <c r="A343" t="s">
        <v>1977</v>
      </c>
      <c r="B343" t="s">
        <v>2270</v>
      </c>
      <c r="E343" t="str">
        <f xml:space="preserve"> CONCATENATE( MID(Table151823[[#This Row],[PHASE]],2,3), MID(Table151823[[#This Row],[DELIVERABLE]],2,4), TRIM(SUBSTITUTE(MID(Table151823[[#This Row],[CONCERN.ID]],2,20),"X","") )  )</f>
        <v>10.523.</v>
      </c>
      <c r="F343" t="str">
        <f>TRIM(MID(Table151823[[#This Row],[CONCERN.UNIQUEPATH]], IF( ISNUMBER( SEARCH("/",Table151823[[#This Row],[CONCERN.UNIQUEPATH]])),SEARCH("/",Table151823[[#This Row],[CONCERN.UNIQUEPATH]])+1,1),255))</f>
        <v/>
      </c>
      <c r="J343" t="s">
        <v>2068</v>
      </c>
      <c r="K343" t="s">
        <v>2024</v>
      </c>
      <c r="L343" t="s">
        <v>1964</v>
      </c>
      <c r="M343" t="s">
        <v>5269</v>
      </c>
    </row>
    <row r="344" spans="1:13">
      <c r="A344" t="s">
        <v>1977</v>
      </c>
      <c r="B344" t="s">
        <v>2270</v>
      </c>
      <c r="E344" t="str">
        <f xml:space="preserve"> CONCATENATE( MID(Table151823[[#This Row],[PHASE]],2,3), MID(Table151823[[#This Row],[DELIVERABLE]],2,4), TRIM(SUBSTITUTE(MID(Table151823[[#This Row],[CONCERN.ID]],2,20),"X","") )  )</f>
        <v>10.523.</v>
      </c>
      <c r="F344" t="str">
        <f>TRIM(MID(Table151823[[#This Row],[CONCERN.UNIQUEPATH]], IF( ISNUMBER( SEARCH("/",Table151823[[#This Row],[CONCERN.UNIQUEPATH]])),SEARCH("/",Table151823[[#This Row],[CONCERN.UNIQUEPATH]])+1,1),255))</f>
        <v/>
      </c>
      <c r="J344" t="s">
        <v>2068</v>
      </c>
      <c r="K344" t="s">
        <v>2024</v>
      </c>
      <c r="L344" t="s">
        <v>1964</v>
      </c>
      <c r="M344" t="s">
        <v>5262</v>
      </c>
    </row>
    <row r="345" spans="1:13">
      <c r="A345" t="s">
        <v>1977</v>
      </c>
      <c r="B345" t="s">
        <v>2270</v>
      </c>
      <c r="E345" t="str">
        <f xml:space="preserve"> CONCATENATE( MID(Table151823[[#This Row],[PHASE]],2,3), MID(Table151823[[#This Row],[DELIVERABLE]],2,4), TRIM(SUBSTITUTE(MID(Table151823[[#This Row],[CONCERN.ID]],2,20),"X","") )  )</f>
        <v>10.523.</v>
      </c>
      <c r="F345" t="str">
        <f>TRIM(MID(Table151823[[#This Row],[CONCERN.UNIQUEPATH]], IF( ISNUMBER( SEARCH("/",Table151823[[#This Row],[CONCERN.UNIQUEPATH]])),SEARCH("/",Table151823[[#This Row],[CONCERN.UNIQUEPATH]])+1,1),255))</f>
        <v/>
      </c>
      <c r="J345" t="s">
        <v>2068</v>
      </c>
      <c r="K345" t="s">
        <v>2024</v>
      </c>
      <c r="L345" t="s">
        <v>1968</v>
      </c>
      <c r="M345" t="s">
        <v>5270</v>
      </c>
    </row>
    <row r="346" spans="1:13">
      <c r="A346" t="s">
        <v>1977</v>
      </c>
      <c r="B346" t="s">
        <v>2270</v>
      </c>
      <c r="E346" t="str">
        <f xml:space="preserve"> CONCATENATE( MID(Table151823[[#This Row],[PHASE]],2,3), MID(Table151823[[#This Row],[DELIVERABLE]],2,4), TRIM(SUBSTITUTE(MID(Table151823[[#This Row],[CONCERN.ID]],2,20),"X","") )  )</f>
        <v>10.523.</v>
      </c>
      <c r="F346" t="str">
        <f>TRIM(MID(Table151823[[#This Row],[CONCERN.UNIQUEPATH]], IF( ISNUMBER( SEARCH("/",Table151823[[#This Row],[CONCERN.UNIQUEPATH]])),SEARCH("/",Table151823[[#This Row],[CONCERN.UNIQUEPATH]])+1,1),255))</f>
        <v/>
      </c>
      <c r="J346" t="s">
        <v>2068</v>
      </c>
      <c r="K346" t="s">
        <v>1971</v>
      </c>
      <c r="M346" t="s">
        <v>5271</v>
      </c>
    </row>
    <row r="347" spans="1:13">
      <c r="A347" t="s">
        <v>1977</v>
      </c>
      <c r="B347" t="s">
        <v>2270</v>
      </c>
      <c r="E347" t="str">
        <f xml:space="preserve"> CONCATENATE( MID(Table151823[[#This Row],[PHASE]],2,3), MID(Table151823[[#This Row],[DELIVERABLE]],2,4), TRIM(SUBSTITUTE(MID(Table151823[[#This Row],[CONCERN.ID]],2,20),"X","") )  )</f>
        <v>10.523.</v>
      </c>
      <c r="F347" t="str">
        <f>TRIM(MID(Table151823[[#This Row],[CONCERN.UNIQUEPATH]], IF( ISNUMBER( SEARCH("/",Table151823[[#This Row],[CONCERN.UNIQUEPATH]])),SEARCH("/",Table151823[[#This Row],[CONCERN.UNIQUEPATH]])+1,1),255))</f>
        <v/>
      </c>
      <c r="J347" t="s">
        <v>2068</v>
      </c>
      <c r="K347" t="s">
        <v>2024</v>
      </c>
      <c r="L347" t="s">
        <v>1968</v>
      </c>
      <c r="M347" t="s">
        <v>5272</v>
      </c>
    </row>
    <row r="348" spans="1:13">
      <c r="A348" t="s">
        <v>1977</v>
      </c>
      <c r="B348" t="s">
        <v>2270</v>
      </c>
      <c r="E348" t="str">
        <f xml:space="preserve"> CONCATENATE( MID(Table151823[[#This Row],[PHASE]],2,3), MID(Table151823[[#This Row],[DELIVERABLE]],2,4), TRIM(SUBSTITUTE(MID(Table151823[[#This Row],[CONCERN.ID]],2,20),"X","") )  )</f>
        <v>10.523.</v>
      </c>
      <c r="F348" t="str">
        <f>TRIM(MID(Table151823[[#This Row],[CONCERN.UNIQUEPATH]], IF( ISNUMBER( SEARCH("/",Table151823[[#This Row],[CONCERN.UNIQUEPATH]])),SEARCH("/",Table151823[[#This Row],[CONCERN.UNIQUEPATH]])+1,1),255))</f>
        <v/>
      </c>
      <c r="J348" t="s">
        <v>2068</v>
      </c>
      <c r="K348" t="s">
        <v>2024</v>
      </c>
      <c r="L348" t="s">
        <v>1972</v>
      </c>
      <c r="M348" t="s">
        <v>5273</v>
      </c>
    </row>
    <row r="349" spans="1:13">
      <c r="A349" t="s">
        <v>1977</v>
      </c>
      <c r="B349" t="s">
        <v>2270</v>
      </c>
      <c r="E349" t="str">
        <f xml:space="preserve"> CONCATENATE( MID(Table151823[[#This Row],[PHASE]],2,3), MID(Table151823[[#This Row],[DELIVERABLE]],2,4), TRIM(SUBSTITUTE(MID(Table151823[[#This Row],[CONCERN.ID]],2,20),"X","") )  )</f>
        <v>10.523.</v>
      </c>
      <c r="F349" t="str">
        <f>TRIM(MID(Table151823[[#This Row],[CONCERN.UNIQUEPATH]], IF( ISNUMBER( SEARCH("/",Table151823[[#This Row],[CONCERN.UNIQUEPATH]])),SEARCH("/",Table151823[[#This Row],[CONCERN.UNIQUEPATH]])+1,1),255))</f>
        <v/>
      </c>
      <c r="J349" t="s">
        <v>2068</v>
      </c>
      <c r="K349" t="s">
        <v>1971</v>
      </c>
      <c r="M349" t="s">
        <v>5274</v>
      </c>
    </row>
    <row r="350" spans="1:13">
      <c r="A350" t="s">
        <v>1977</v>
      </c>
      <c r="B350" t="s">
        <v>2270</v>
      </c>
      <c r="E350" t="str">
        <f xml:space="preserve"> CONCATENATE( MID(Table151823[[#This Row],[PHASE]],2,3), MID(Table151823[[#This Row],[DELIVERABLE]],2,4), TRIM(SUBSTITUTE(MID(Table151823[[#This Row],[CONCERN.ID]],2,20),"X","") )  )</f>
        <v>10.523.</v>
      </c>
      <c r="F350" t="str">
        <f>TRIM(MID(Table151823[[#This Row],[CONCERN.UNIQUEPATH]], IF( ISNUMBER( SEARCH("/",Table151823[[#This Row],[CONCERN.UNIQUEPATH]])),SEARCH("/",Table151823[[#This Row],[CONCERN.UNIQUEPATH]])+1,1),255))</f>
        <v/>
      </c>
      <c r="J350" t="s">
        <v>2068</v>
      </c>
      <c r="K350" t="s">
        <v>2024</v>
      </c>
      <c r="L350" t="s">
        <v>1972</v>
      </c>
      <c r="M350" t="s">
        <v>5244</v>
      </c>
    </row>
    <row r="351" spans="1:13">
      <c r="A351" t="s">
        <v>1977</v>
      </c>
      <c r="B351" t="s">
        <v>2270</v>
      </c>
      <c r="E351" t="str">
        <f xml:space="preserve"> CONCATENATE( MID(Table151823[[#This Row],[PHASE]],2,3), MID(Table151823[[#This Row],[DELIVERABLE]],2,4), TRIM(SUBSTITUTE(MID(Table151823[[#This Row],[CONCERN.ID]],2,20),"X","") )  )</f>
        <v>10.523.</v>
      </c>
      <c r="F351" t="str">
        <f>TRIM(MID(Table151823[[#This Row],[CONCERN.UNIQUEPATH]], IF( ISNUMBER( SEARCH("/",Table151823[[#This Row],[CONCERN.UNIQUEPATH]])),SEARCH("/",Table151823[[#This Row],[CONCERN.UNIQUEPATH]])+1,1),255))</f>
        <v/>
      </c>
      <c r="J351" t="s">
        <v>2068</v>
      </c>
      <c r="K351" t="s">
        <v>2024</v>
      </c>
      <c r="M351" t="s">
        <v>5271</v>
      </c>
    </row>
    <row r="352" spans="1:13">
      <c r="A352" t="s">
        <v>1977</v>
      </c>
      <c r="B352" t="s">
        <v>2270</v>
      </c>
      <c r="E352" t="str">
        <f xml:space="preserve"> CONCATENATE( MID(Table151823[[#This Row],[PHASE]],2,3), MID(Table151823[[#This Row],[DELIVERABLE]],2,4), TRIM(SUBSTITUTE(MID(Table151823[[#This Row],[CONCERN.ID]],2,20),"X","") )  )</f>
        <v>10.523.</v>
      </c>
      <c r="F352" t="str">
        <f>TRIM(MID(Table151823[[#This Row],[CONCERN.UNIQUEPATH]], IF( ISNUMBER( SEARCH("/",Table151823[[#This Row],[CONCERN.UNIQUEPATH]])),SEARCH("/",Table151823[[#This Row],[CONCERN.UNIQUEPATH]])+1,1),255))</f>
        <v/>
      </c>
      <c r="J352" t="s">
        <v>2068</v>
      </c>
      <c r="K352" t="s">
        <v>2024</v>
      </c>
      <c r="L352" t="s">
        <v>1972</v>
      </c>
      <c r="M352" t="s">
        <v>5244</v>
      </c>
    </row>
    <row r="353" spans="1:13">
      <c r="A353" t="s">
        <v>1977</v>
      </c>
      <c r="B353" t="s">
        <v>2270</v>
      </c>
      <c r="E353" t="str">
        <f xml:space="preserve"> CONCATENATE( MID(Table151823[[#This Row],[PHASE]],2,3), MID(Table151823[[#This Row],[DELIVERABLE]],2,4), TRIM(SUBSTITUTE(MID(Table151823[[#This Row],[CONCERN.ID]],2,20),"X","") )  )</f>
        <v>10.523.</v>
      </c>
      <c r="F353" t="str">
        <f>TRIM(MID(Table151823[[#This Row],[CONCERN.UNIQUEPATH]], IF( ISNUMBER( SEARCH("/",Table151823[[#This Row],[CONCERN.UNIQUEPATH]])),SEARCH("/",Table151823[[#This Row],[CONCERN.UNIQUEPATH]])+1,1),255))</f>
        <v/>
      </c>
      <c r="J353" t="s">
        <v>2068</v>
      </c>
      <c r="K353" t="s">
        <v>2024</v>
      </c>
      <c r="L353" t="s">
        <v>1960</v>
      </c>
      <c r="M353" t="s">
        <v>5275</v>
      </c>
    </row>
    <row r="354" spans="1:13">
      <c r="A354" t="s">
        <v>1977</v>
      </c>
      <c r="B354" t="s">
        <v>2270</v>
      </c>
      <c r="E354" t="str">
        <f xml:space="preserve"> CONCATENATE( MID(Table151823[[#This Row],[PHASE]],2,3), MID(Table151823[[#This Row],[DELIVERABLE]],2,4), TRIM(SUBSTITUTE(MID(Table151823[[#This Row],[CONCERN.ID]],2,20),"X","") )  )</f>
        <v>10.523.</v>
      </c>
      <c r="F354" t="str">
        <f>TRIM(MID(Table151823[[#This Row],[CONCERN.UNIQUEPATH]], IF( ISNUMBER( SEARCH("/",Table151823[[#This Row],[CONCERN.UNIQUEPATH]])),SEARCH("/",Table151823[[#This Row],[CONCERN.UNIQUEPATH]])+1,1),255))</f>
        <v/>
      </c>
      <c r="J354" t="s">
        <v>2068</v>
      </c>
      <c r="K354" t="s">
        <v>2024</v>
      </c>
      <c r="L354" t="s">
        <v>1960</v>
      </c>
    </row>
    <row r="355" spans="1:13">
      <c r="A355" t="s">
        <v>1977</v>
      </c>
      <c r="B355" t="s">
        <v>2270</v>
      </c>
      <c r="E355" t="str">
        <f xml:space="preserve"> CONCATENATE( MID(Table151823[[#This Row],[PHASE]],2,3), MID(Table151823[[#This Row],[DELIVERABLE]],2,4), TRIM(SUBSTITUTE(MID(Table151823[[#This Row],[CONCERN.ID]],2,20),"X","") )  )</f>
        <v>10.523.</v>
      </c>
      <c r="F355" t="str">
        <f>TRIM(MID(Table151823[[#This Row],[CONCERN.UNIQUEPATH]], IF( ISNUMBER( SEARCH("/",Table151823[[#This Row],[CONCERN.UNIQUEPATH]])),SEARCH("/",Table151823[[#This Row],[CONCERN.UNIQUEPATH]])+1,1),255))</f>
        <v/>
      </c>
      <c r="J355" t="s">
        <v>2068</v>
      </c>
      <c r="K355" t="s">
        <v>2024</v>
      </c>
      <c r="L355" t="s">
        <v>1960</v>
      </c>
    </row>
    <row r="356" spans="1:13">
      <c r="A356" t="s">
        <v>1977</v>
      </c>
      <c r="B356" t="s">
        <v>2270</v>
      </c>
      <c r="E356" t="str">
        <f xml:space="preserve"> CONCATENATE( MID(Table151823[[#This Row],[PHASE]],2,3), MID(Table151823[[#This Row],[DELIVERABLE]],2,4), TRIM(SUBSTITUTE(MID(Table151823[[#This Row],[CONCERN.ID]],2,20),"X","") )  )</f>
        <v>10.523.</v>
      </c>
      <c r="F356" t="str">
        <f>TRIM(MID(Table151823[[#This Row],[CONCERN.UNIQUEPATH]], IF( ISNUMBER( SEARCH("/",Table151823[[#This Row],[CONCERN.UNIQUEPATH]])),SEARCH("/",Table151823[[#This Row],[CONCERN.UNIQUEPATH]])+1,1),255))</f>
        <v/>
      </c>
      <c r="J356" t="s">
        <v>2068</v>
      </c>
      <c r="K356" t="s">
        <v>2024</v>
      </c>
      <c r="L356" t="s">
        <v>1960</v>
      </c>
    </row>
    <row r="357" spans="1:13">
      <c r="A357" t="s">
        <v>1977</v>
      </c>
      <c r="B357" t="s">
        <v>2270</v>
      </c>
      <c r="E357" t="str">
        <f xml:space="preserve"> CONCATENATE( MID(Table151823[[#This Row],[PHASE]],2,3), MID(Table151823[[#This Row],[DELIVERABLE]],2,4), TRIM(SUBSTITUTE(MID(Table151823[[#This Row],[CONCERN.ID]],2,20),"X","") )  )</f>
        <v>10.523.</v>
      </c>
      <c r="F357" t="str">
        <f>TRIM(MID(Table151823[[#This Row],[CONCERN.UNIQUEPATH]], IF( ISNUMBER( SEARCH("/",Table151823[[#This Row],[CONCERN.UNIQUEPATH]])),SEARCH("/",Table151823[[#This Row],[CONCERN.UNIQUEPATH]])+1,1),255))</f>
        <v/>
      </c>
      <c r="J357" t="s">
        <v>2068</v>
      </c>
      <c r="K357" t="s">
        <v>2024</v>
      </c>
      <c r="L357" t="s">
        <v>1960</v>
      </c>
    </row>
    <row r="358" spans="1:13">
      <c r="A358" t="s">
        <v>1977</v>
      </c>
      <c r="B358" t="s">
        <v>2270</v>
      </c>
      <c r="E358" t="str">
        <f xml:space="preserve"> CONCATENATE( MID(Table151823[[#This Row],[PHASE]],2,3), MID(Table151823[[#This Row],[DELIVERABLE]],2,4), TRIM(SUBSTITUTE(MID(Table151823[[#This Row],[CONCERN.ID]],2,20),"X","") )  )</f>
        <v>10.523.</v>
      </c>
      <c r="F358" t="str">
        <f>TRIM(MID(Table151823[[#This Row],[CONCERN.UNIQUEPATH]], IF( ISNUMBER( SEARCH("/",Table151823[[#This Row],[CONCERN.UNIQUEPATH]])),SEARCH("/",Table151823[[#This Row],[CONCERN.UNIQUEPATH]])+1,1),255))</f>
        <v/>
      </c>
      <c r="J358" t="s">
        <v>2068</v>
      </c>
      <c r="K358" t="s">
        <v>2024</v>
      </c>
      <c r="L358" t="s">
        <v>1960</v>
      </c>
    </row>
    <row r="359" spans="1:13">
      <c r="A359" s="21" t="s">
        <v>1977</v>
      </c>
      <c r="B359" s="21"/>
      <c r="E359" t="str">
        <f xml:space="preserve"> CONCATENATE( MID(Table151823[[#This Row],[PHASE]],2,3), MID(Table151823[[#This Row],[DELIVERABLE]],2,4), TRIM(SUBSTITUTE(MID(Table151823[[#This Row],[CONCERN.ID]],2,20),"X","") )  )</f>
        <v>10.</v>
      </c>
      <c r="F359" t="str">
        <f>TRIM(MID(Table151823[[#This Row],[CONCERN.UNIQUEPATH]], IF( ISNUMBER( SEARCH("/",Table151823[[#This Row],[CONCERN.UNIQUEPATH]])),SEARCH("/",Table151823[[#This Row],[CONCERN.UNIQUEPATH]])+1,1),255))</f>
        <v/>
      </c>
      <c r="J359" t="s">
        <v>2068</v>
      </c>
      <c r="K359" s="21"/>
      <c r="L359" t="s">
        <v>1928</v>
      </c>
    </row>
    <row r="360" spans="1:13">
      <c r="A360" t="s">
        <v>1977</v>
      </c>
      <c r="E360" t="str">
        <f xml:space="preserve"> CONCATENATE( MID(Table151823[[#This Row],[PHASE]],2,3), MID(Table151823[[#This Row],[DELIVERABLE]],2,4), TRIM(SUBSTITUTE(MID(Table151823[[#This Row],[CONCERN.ID]],2,20),"X","") )  )</f>
        <v>10.</v>
      </c>
      <c r="F360" t="str">
        <f>TRIM(MID(Table151823[[#This Row],[CONCERN.UNIQUEPATH]], IF( ISNUMBER( SEARCH("/",Table151823[[#This Row],[CONCERN.UNIQUEPATH]])),SEARCH("/",Table151823[[#This Row],[CONCERN.UNIQUEPATH]])+1,1),255))</f>
        <v/>
      </c>
      <c r="J360" t="s">
        <v>2122</v>
      </c>
      <c r="L360" t="s">
        <v>1928</v>
      </c>
    </row>
    <row r="361" spans="1:13">
      <c r="A361" s="21" t="s">
        <v>1977</v>
      </c>
      <c r="B361" s="21"/>
      <c r="E361" t="str">
        <f xml:space="preserve"> CONCATENATE( MID(Table151823[[#This Row],[PHASE]],2,3), MID(Table151823[[#This Row],[DELIVERABLE]],2,4), TRIM(SUBSTITUTE(MID(Table151823[[#This Row],[CONCERN.ID]],2,20),"X","") )  )</f>
        <v>10.</v>
      </c>
      <c r="F361" t="str">
        <f>TRIM(MID(Table151823[[#This Row],[CONCERN.UNIQUEPATH]], IF( ISNUMBER( SEARCH("/",Table151823[[#This Row],[CONCERN.UNIQUEPATH]])),SEARCH("/",Table151823[[#This Row],[CONCERN.UNIQUEPATH]])+1,1),255))</f>
        <v/>
      </c>
      <c r="J361" t="s">
        <v>2122</v>
      </c>
      <c r="K361" s="21"/>
      <c r="L361" t="s">
        <v>1928</v>
      </c>
    </row>
    <row r="362" spans="1:13">
      <c r="A362" t="s">
        <v>1977</v>
      </c>
      <c r="E362" t="str">
        <f xml:space="preserve"> CONCATENATE( MID(Table151823[[#This Row],[PHASE]],2,3), MID(Table151823[[#This Row],[DELIVERABLE]],2,4), TRIM(SUBSTITUTE(MID(Table151823[[#This Row],[CONCERN.ID]],2,20),"X","") )  )</f>
        <v>10.</v>
      </c>
      <c r="F362" t="str">
        <f>TRIM(MID(Table151823[[#This Row],[CONCERN.UNIQUEPATH]], IF( ISNUMBER( SEARCH("/",Table151823[[#This Row],[CONCERN.UNIQUEPATH]])),SEARCH("/",Table151823[[#This Row],[CONCERN.UNIQUEPATH]])+1,1),255))</f>
        <v/>
      </c>
      <c r="J362" t="s">
        <v>2068</v>
      </c>
      <c r="L362" t="s">
        <v>1928</v>
      </c>
    </row>
    <row r="363" spans="1:13">
      <c r="A363" t="s">
        <v>1977</v>
      </c>
      <c r="E363" t="str">
        <f xml:space="preserve"> CONCATENATE( MID(Table151823[[#This Row],[PHASE]],2,3), MID(Table151823[[#This Row],[DELIVERABLE]],2,4), TRIM(SUBSTITUTE(MID(Table151823[[#This Row],[CONCERN.ID]],2,20),"X","") )  )</f>
        <v>10.</v>
      </c>
      <c r="F363" t="str">
        <f>TRIM(MID(Table151823[[#This Row],[CONCERN.UNIQUEPATH]], IF( ISNUMBER( SEARCH("/",Table151823[[#This Row],[CONCERN.UNIQUEPATH]])),SEARCH("/",Table151823[[#This Row],[CONCERN.UNIQUEPATH]])+1,1),255))</f>
        <v/>
      </c>
      <c r="J363" t="s">
        <v>2068</v>
      </c>
      <c r="L363" t="s">
        <v>1928</v>
      </c>
    </row>
    <row r="364" spans="1:13">
      <c r="A364" t="s">
        <v>1977</v>
      </c>
      <c r="E364" t="str">
        <f xml:space="preserve"> CONCATENATE( MID(Table151823[[#This Row],[PHASE]],2,3), MID(Table151823[[#This Row],[DELIVERABLE]],2,4), TRIM(SUBSTITUTE(MID(Table151823[[#This Row],[CONCERN.ID]],2,20),"X","") )  )</f>
        <v>10.</v>
      </c>
      <c r="F364" t="str">
        <f>TRIM(MID(Table151823[[#This Row],[CONCERN.UNIQUEPATH]], IF( ISNUMBER( SEARCH("/",Table151823[[#This Row],[CONCERN.UNIQUEPATH]])),SEARCH("/",Table151823[[#This Row],[CONCERN.UNIQUEPATH]])+1,1),255))</f>
        <v/>
      </c>
      <c r="J364" t="s">
        <v>2068</v>
      </c>
      <c r="L364" t="s">
        <v>1928</v>
      </c>
    </row>
    <row r="365" spans="1:13">
      <c r="A365" t="s">
        <v>1977</v>
      </c>
      <c r="E365" t="str">
        <f xml:space="preserve"> CONCATENATE( MID(Table151823[[#This Row],[PHASE]],2,3), MID(Table151823[[#This Row],[DELIVERABLE]],2,4), TRIM(SUBSTITUTE(MID(Table151823[[#This Row],[CONCERN.ID]],2,20),"X","") )  )</f>
        <v>10.</v>
      </c>
      <c r="F365" t="str">
        <f>TRIM(MID(Table151823[[#This Row],[CONCERN.UNIQUEPATH]], IF( ISNUMBER( SEARCH("/",Table151823[[#This Row],[CONCERN.UNIQUEPATH]])),SEARCH("/",Table151823[[#This Row],[CONCERN.UNIQUEPATH]])+1,1),255))</f>
        <v/>
      </c>
      <c r="J365" t="s">
        <v>2068</v>
      </c>
      <c r="L365" t="s">
        <v>1928</v>
      </c>
    </row>
    <row r="366" spans="1:13">
      <c r="A366" t="s">
        <v>1977</v>
      </c>
      <c r="E366" t="str">
        <f xml:space="preserve"> CONCATENATE( MID(Table151823[[#This Row],[PHASE]],2,3), MID(Table151823[[#This Row],[DELIVERABLE]],2,4), TRIM(SUBSTITUTE(MID(Table151823[[#This Row],[CONCERN.ID]],2,20),"X","") )  )</f>
        <v>10.</v>
      </c>
      <c r="F366" t="str">
        <f>TRIM(MID(Table151823[[#This Row],[CONCERN.UNIQUEPATH]], IF( ISNUMBER( SEARCH("/",Table151823[[#This Row],[CONCERN.UNIQUEPATH]])),SEARCH("/",Table151823[[#This Row],[CONCERN.UNIQUEPATH]])+1,1),255))</f>
        <v/>
      </c>
      <c r="J366" t="s">
        <v>2068</v>
      </c>
      <c r="L366" t="s">
        <v>1928</v>
      </c>
    </row>
    <row r="367" spans="1:13">
      <c r="A367" t="s">
        <v>1977</v>
      </c>
      <c r="E367" t="str">
        <f xml:space="preserve"> CONCATENATE( MID(Table151823[[#This Row],[PHASE]],2,3), MID(Table151823[[#This Row],[DELIVERABLE]],2,4), TRIM(SUBSTITUTE(MID(Table151823[[#This Row],[CONCERN.ID]],2,20),"X","") )  )</f>
        <v>10.</v>
      </c>
      <c r="F367" t="str">
        <f>TRIM(MID(Table151823[[#This Row],[CONCERN.UNIQUEPATH]], IF( ISNUMBER( SEARCH("/",Table151823[[#This Row],[CONCERN.UNIQUEPATH]])),SEARCH("/",Table151823[[#This Row],[CONCERN.UNIQUEPATH]])+1,1),255))</f>
        <v/>
      </c>
      <c r="J367" t="s">
        <v>2068</v>
      </c>
      <c r="L367" t="s">
        <v>1928</v>
      </c>
    </row>
    <row r="368" spans="1:13">
      <c r="A368" t="s">
        <v>1977</v>
      </c>
      <c r="E368" t="str">
        <f xml:space="preserve"> CONCATENATE( MID(Table151823[[#This Row],[PHASE]],2,3), MID(Table151823[[#This Row],[DELIVERABLE]],2,4), TRIM(SUBSTITUTE(MID(Table151823[[#This Row],[CONCERN.ID]],2,20),"X","") )  )</f>
        <v>10.</v>
      </c>
      <c r="F368" t="str">
        <f>TRIM(MID(Table151823[[#This Row],[CONCERN.UNIQUEPATH]], IF( ISNUMBER( SEARCH("/",Table151823[[#This Row],[CONCERN.UNIQUEPATH]])),SEARCH("/",Table151823[[#This Row],[CONCERN.UNIQUEPATH]])+1,1),255))</f>
        <v/>
      </c>
      <c r="J368" t="s">
        <v>2068</v>
      </c>
      <c r="L368" t="s">
        <v>1928</v>
      </c>
    </row>
    <row r="369" spans="1:12">
      <c r="A369" t="s">
        <v>1977</v>
      </c>
      <c r="E369" t="str">
        <f xml:space="preserve"> CONCATENATE( MID(Table151823[[#This Row],[PHASE]],2,3), MID(Table151823[[#This Row],[DELIVERABLE]],2,4), TRIM(SUBSTITUTE(MID(Table151823[[#This Row],[CONCERN.ID]],2,20),"X","") )  )</f>
        <v>10.</v>
      </c>
      <c r="F369" t="str">
        <f>TRIM(MID(Table151823[[#This Row],[CONCERN.UNIQUEPATH]], IF( ISNUMBER( SEARCH("/",Table151823[[#This Row],[CONCERN.UNIQUEPATH]])),SEARCH("/",Table151823[[#This Row],[CONCERN.UNIQUEPATH]])+1,1),255))</f>
        <v/>
      </c>
      <c r="J369" t="s">
        <v>2068</v>
      </c>
      <c r="L369" t="s">
        <v>1928</v>
      </c>
    </row>
    <row r="370" spans="1:12">
      <c r="A370" t="s">
        <v>1977</v>
      </c>
      <c r="E370" t="str">
        <f xml:space="preserve"> CONCATENATE( MID(Table151823[[#This Row],[PHASE]],2,3), MID(Table151823[[#This Row],[DELIVERABLE]],2,4), TRIM(SUBSTITUTE(MID(Table151823[[#This Row],[CONCERN.ID]],2,20),"X","") )  )</f>
        <v>10.</v>
      </c>
      <c r="F370" t="str">
        <f>TRIM(MID(Table151823[[#This Row],[CONCERN.UNIQUEPATH]], IF( ISNUMBER( SEARCH("/",Table151823[[#This Row],[CONCERN.UNIQUEPATH]])),SEARCH("/",Table151823[[#This Row],[CONCERN.UNIQUEPATH]])+1,1),255))</f>
        <v/>
      </c>
      <c r="J370" t="s">
        <v>2068</v>
      </c>
      <c r="L370" t="s">
        <v>1928</v>
      </c>
    </row>
    <row r="371" spans="1:12">
      <c r="A371" t="s">
        <v>1977</v>
      </c>
      <c r="E371" t="str">
        <f xml:space="preserve"> CONCATENATE( MID(Table151823[[#This Row],[PHASE]],2,3), MID(Table151823[[#This Row],[DELIVERABLE]],2,4), TRIM(SUBSTITUTE(MID(Table151823[[#This Row],[CONCERN.ID]],2,20),"X","") )  )</f>
        <v>10.</v>
      </c>
      <c r="F371" t="str">
        <f>TRIM(MID(Table151823[[#This Row],[CONCERN.UNIQUEPATH]], IF( ISNUMBER( SEARCH("/",Table151823[[#This Row],[CONCERN.UNIQUEPATH]])),SEARCH("/",Table151823[[#This Row],[CONCERN.UNIQUEPATH]])+1,1),255))</f>
        <v/>
      </c>
      <c r="J371" t="s">
        <v>2068</v>
      </c>
      <c r="L371" t="s">
        <v>1928</v>
      </c>
    </row>
    <row r="372" spans="1:12">
      <c r="A372" t="s">
        <v>1977</v>
      </c>
      <c r="E372" t="str">
        <f xml:space="preserve"> CONCATENATE( MID(Table151823[[#This Row],[PHASE]],2,3), MID(Table151823[[#This Row],[DELIVERABLE]],2,4), TRIM(SUBSTITUTE(MID(Table151823[[#This Row],[CONCERN.ID]],2,20),"X","") )  )</f>
        <v>10.</v>
      </c>
      <c r="F372" t="str">
        <f>TRIM(MID(Table151823[[#This Row],[CONCERN.UNIQUEPATH]], IF( ISNUMBER( SEARCH("/",Table151823[[#This Row],[CONCERN.UNIQUEPATH]])),SEARCH("/",Table151823[[#This Row],[CONCERN.UNIQUEPATH]])+1,1),255))</f>
        <v/>
      </c>
      <c r="J372" t="s">
        <v>2068</v>
      </c>
      <c r="L372" t="s">
        <v>1928</v>
      </c>
    </row>
    <row r="373" spans="1:12">
      <c r="A373" t="s">
        <v>1977</v>
      </c>
      <c r="E373" t="str">
        <f xml:space="preserve"> CONCATENATE( MID(Table151823[[#This Row],[PHASE]],2,3), MID(Table151823[[#This Row],[DELIVERABLE]],2,4), TRIM(SUBSTITUTE(MID(Table151823[[#This Row],[CONCERN.ID]],2,20),"X","") )  )</f>
        <v>10.</v>
      </c>
      <c r="F373" t="str">
        <f>TRIM(MID(Table151823[[#This Row],[CONCERN.UNIQUEPATH]], IF( ISNUMBER( SEARCH("/",Table151823[[#This Row],[CONCERN.UNIQUEPATH]])),SEARCH("/",Table151823[[#This Row],[CONCERN.UNIQUEPATH]])+1,1),255))</f>
        <v/>
      </c>
      <c r="J373" t="s">
        <v>2068</v>
      </c>
      <c r="L373" t="s">
        <v>1928</v>
      </c>
    </row>
    <row r="374" spans="1:12">
      <c r="A374" t="s">
        <v>1977</v>
      </c>
      <c r="E374" t="str">
        <f xml:space="preserve"> CONCATENATE( MID(Table151823[[#This Row],[PHASE]],2,3), MID(Table151823[[#This Row],[DELIVERABLE]],2,4), TRIM(SUBSTITUTE(MID(Table151823[[#This Row],[CONCERN.ID]],2,20),"X","") )  )</f>
        <v>10.</v>
      </c>
      <c r="F374" t="str">
        <f>TRIM(MID(Table151823[[#This Row],[CONCERN.UNIQUEPATH]], IF( ISNUMBER( SEARCH("/",Table151823[[#This Row],[CONCERN.UNIQUEPATH]])),SEARCH("/",Table151823[[#This Row],[CONCERN.UNIQUEPATH]])+1,1),255))</f>
        <v/>
      </c>
      <c r="J374" t="s">
        <v>2068</v>
      </c>
      <c r="L374" t="s">
        <v>1928</v>
      </c>
    </row>
    <row r="375" spans="1:12">
      <c r="A375" t="s">
        <v>1977</v>
      </c>
      <c r="E375" t="str">
        <f xml:space="preserve"> CONCATENATE( MID(Table151823[[#This Row],[PHASE]],2,3), MID(Table151823[[#This Row],[DELIVERABLE]],2,4), TRIM(SUBSTITUTE(MID(Table151823[[#This Row],[CONCERN.ID]],2,20),"X","") )  )</f>
        <v>10.</v>
      </c>
      <c r="F375" t="str">
        <f>TRIM(MID(Table151823[[#This Row],[CONCERN.UNIQUEPATH]], IF( ISNUMBER( SEARCH("/",Table151823[[#This Row],[CONCERN.UNIQUEPATH]])),SEARCH("/",Table151823[[#This Row],[CONCERN.UNIQUEPATH]])+1,1),255))</f>
        <v/>
      </c>
      <c r="J375" t="s">
        <v>2068</v>
      </c>
      <c r="L375" t="s">
        <v>1928</v>
      </c>
    </row>
    <row r="376" spans="1:12">
      <c r="A376" t="s">
        <v>1977</v>
      </c>
      <c r="E376" t="str">
        <f xml:space="preserve"> CONCATENATE( MID(Table151823[[#This Row],[PHASE]],2,3), MID(Table151823[[#This Row],[DELIVERABLE]],2,4), TRIM(SUBSTITUTE(MID(Table151823[[#This Row],[CONCERN.ID]],2,20),"X","") )  )</f>
        <v>10.</v>
      </c>
      <c r="F376" t="str">
        <f>TRIM(MID(Table151823[[#This Row],[CONCERN.UNIQUEPATH]], IF( ISNUMBER( SEARCH("/",Table151823[[#This Row],[CONCERN.UNIQUEPATH]])),SEARCH("/",Table151823[[#This Row],[CONCERN.UNIQUEPATH]])+1,1),255))</f>
        <v/>
      </c>
      <c r="J376" t="s">
        <v>2068</v>
      </c>
      <c r="L376" t="s">
        <v>1928</v>
      </c>
    </row>
    <row r="377" spans="1:12">
      <c r="A377" t="s">
        <v>1977</v>
      </c>
      <c r="E377" t="str">
        <f xml:space="preserve"> CONCATENATE( MID(Table151823[[#This Row],[PHASE]],2,3), MID(Table151823[[#This Row],[DELIVERABLE]],2,4), TRIM(SUBSTITUTE(MID(Table151823[[#This Row],[CONCERN.ID]],2,20),"X","") )  )</f>
        <v>10.</v>
      </c>
      <c r="F377" t="str">
        <f>TRIM(MID(Table151823[[#This Row],[CONCERN.UNIQUEPATH]], IF( ISNUMBER( SEARCH("/",Table151823[[#This Row],[CONCERN.UNIQUEPATH]])),SEARCH("/",Table151823[[#This Row],[CONCERN.UNIQUEPATH]])+1,1),255))</f>
        <v/>
      </c>
      <c r="J377" t="s">
        <v>2068</v>
      </c>
      <c r="L377" t="s">
        <v>1928</v>
      </c>
    </row>
    <row r="378" spans="1:12">
      <c r="A378" t="s">
        <v>1977</v>
      </c>
      <c r="E378" t="str">
        <f xml:space="preserve"> CONCATENATE( MID(Table151823[[#This Row],[PHASE]],2,3), MID(Table151823[[#This Row],[DELIVERABLE]],2,4), TRIM(SUBSTITUTE(MID(Table151823[[#This Row],[CONCERN.ID]],2,20),"X","") )  )</f>
        <v>10.</v>
      </c>
      <c r="F378" t="str">
        <f>TRIM(MID(Table151823[[#This Row],[CONCERN.UNIQUEPATH]], IF( ISNUMBER( SEARCH("/",Table151823[[#This Row],[CONCERN.UNIQUEPATH]])),SEARCH("/",Table151823[[#This Row],[CONCERN.UNIQUEPATH]])+1,1),255))</f>
        <v/>
      </c>
      <c r="J378" t="s">
        <v>2068</v>
      </c>
      <c r="K378" s="21"/>
      <c r="L378" t="s">
        <v>1928</v>
      </c>
    </row>
    <row r="379" spans="1:12">
      <c r="A379" t="s">
        <v>1977</v>
      </c>
      <c r="E379" t="str">
        <f xml:space="preserve"> CONCATENATE( MID(Table151823[[#This Row],[PHASE]],2,3), MID(Table151823[[#This Row],[DELIVERABLE]],2,4), TRIM(SUBSTITUTE(MID(Table151823[[#This Row],[CONCERN.ID]],2,20),"X","") )  )</f>
        <v>10.</v>
      </c>
      <c r="F379" t="str">
        <f>TRIM(MID(Table151823[[#This Row],[CONCERN.UNIQUEPATH]], IF( ISNUMBER( SEARCH("/",Table151823[[#This Row],[CONCERN.UNIQUEPATH]])),SEARCH("/",Table151823[[#This Row],[CONCERN.UNIQUEPATH]])+1,1),255))</f>
        <v/>
      </c>
      <c r="J379" t="s">
        <v>2068</v>
      </c>
      <c r="L379" t="s">
        <v>1928</v>
      </c>
    </row>
    <row r="380" spans="1:12">
      <c r="A380" t="s">
        <v>1977</v>
      </c>
      <c r="E380" t="str">
        <f xml:space="preserve"> CONCATENATE( MID(Table151823[[#This Row],[PHASE]],2,3), MID(Table151823[[#This Row],[DELIVERABLE]],2,4), TRIM(SUBSTITUTE(MID(Table151823[[#This Row],[CONCERN.ID]],2,20),"X","") )  )</f>
        <v>10.</v>
      </c>
      <c r="F380" t="str">
        <f>TRIM(MID(Table151823[[#This Row],[CONCERN.UNIQUEPATH]], IF( ISNUMBER( SEARCH("/",Table151823[[#This Row],[CONCERN.UNIQUEPATH]])),SEARCH("/",Table151823[[#This Row],[CONCERN.UNIQUEPATH]])+1,1),255))</f>
        <v/>
      </c>
      <c r="J380" t="s">
        <v>2068</v>
      </c>
      <c r="L380" t="s">
        <v>1928</v>
      </c>
    </row>
    <row r="381" spans="1:12">
      <c r="A381" t="s">
        <v>1977</v>
      </c>
      <c r="E381" t="str">
        <f xml:space="preserve"> CONCATENATE( MID(Table151823[[#This Row],[PHASE]],2,3), MID(Table151823[[#This Row],[DELIVERABLE]],2,4), TRIM(SUBSTITUTE(MID(Table151823[[#This Row],[CONCERN.ID]],2,20),"X","") )  )</f>
        <v>10.</v>
      </c>
      <c r="F381" t="str">
        <f>TRIM(MID(Table151823[[#This Row],[CONCERN.UNIQUEPATH]], IF( ISNUMBER( SEARCH("/",Table151823[[#This Row],[CONCERN.UNIQUEPATH]])),SEARCH("/",Table151823[[#This Row],[CONCERN.UNIQUEPATH]])+1,1),255))</f>
        <v/>
      </c>
      <c r="J381" t="s">
        <v>2068</v>
      </c>
      <c r="K381" s="14"/>
      <c r="L381" t="s">
        <v>1928</v>
      </c>
    </row>
  </sheetData>
  <dataValidations count="5">
    <dataValidation type="list" allowBlank="1" showInputMessage="1" showErrorMessage="1" sqref="L2:L381" xr:uid="{8272F7EF-3E53-4ECB-B219-08D296B1E37C}">
      <formula1>TBL_Type</formula1>
    </dataValidation>
    <dataValidation type="list" allowBlank="1" showInputMessage="1" showErrorMessage="1" sqref="J2:K381" xr:uid="{F415DD21-A2FB-47C0-BAC4-0C1B9469563B}">
      <formula1>TBL_Stakeholders</formula1>
    </dataValidation>
    <dataValidation type="list" allowBlank="1" showInputMessage="1" showErrorMessage="1" sqref="A2:A381" xr:uid="{D0484AE8-45E6-4CDD-804D-56F03562F8A4}">
      <formula1>TBL_Phase</formula1>
    </dataValidation>
    <dataValidation type="list" allowBlank="1" showInputMessage="1" showErrorMessage="1" sqref="B2:B381 M2:M381" xr:uid="{AD176A6E-3E2D-4460-9E5D-CE5D6C479EB1}">
      <formula1>TBL_Deliverables</formula1>
    </dataValidation>
    <dataValidation type="list" allowBlank="1" showInputMessage="1" showErrorMessage="1" sqref="M2:M381" xr:uid="{F7C4324E-A3A1-4094-AF0B-4B89603D4A30}">
      <formula1>TBL_Qualities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100</vt:i4>
      </vt:variant>
    </vt:vector>
  </HeadingPairs>
  <TitlesOfParts>
    <vt:vector size="119" baseType="lpstr">
      <vt:lpstr>LEGACY-SOURCE-RowShare</vt:lpstr>
      <vt:lpstr>LEGACY-REF-LOOKUPS</vt:lpstr>
      <vt:lpstr>INSTRUCTIONS</vt:lpstr>
      <vt:lpstr>REF-LOOKUPS</vt:lpstr>
      <vt:lpstr>REQ-ALL</vt:lpstr>
      <vt:lpstr>REQ-TEMPLATE</vt:lpstr>
      <vt:lpstr>REQ-GOVERNANCE</vt:lpstr>
      <vt:lpstr>REQ-BIZCASE</vt:lpstr>
      <vt:lpstr>REQ-DIRECTION</vt:lpstr>
      <vt:lpstr>REQ-DISCOVERY</vt:lpstr>
      <vt:lpstr>REQ-DELIVERABLES</vt:lpstr>
      <vt:lpstr>REQ-PREREQUISITES</vt:lpstr>
      <vt:lpstr>REQ-DESIRE</vt:lpstr>
      <vt:lpstr>REQ-DEFINITION-DELIVERY</vt:lpstr>
      <vt:lpstr>REQ-DEFINITION-DELIVERY-SYSTEM</vt:lpstr>
      <vt:lpstr>REQ-DEFINITION-Q&amp;A-AUTOMATION</vt:lpstr>
      <vt:lpstr>REQ-DEFINITION-INFO-SVC-SERVER</vt:lpstr>
      <vt:lpstr>REQ-DEFINITION-INFOSVC-CLIENT</vt:lpstr>
      <vt:lpstr>REQ-DESIGN</vt:lpstr>
      <vt:lpstr>'REQ-BIZCASE'!DATA_Deliverable</vt:lpstr>
      <vt:lpstr>'REQ-DEFINITION-DELIVERY'!DATA_Deliverable</vt:lpstr>
      <vt:lpstr>'REQ-DEFINITION-DELIVERY-SYSTEM'!DATA_Deliverable</vt:lpstr>
      <vt:lpstr>'REQ-DEFINITION-INFOSVC-CLIENT'!DATA_Deliverable</vt:lpstr>
      <vt:lpstr>'REQ-DEFINITION-Q&amp;A-AUTOMATION'!DATA_Deliverable</vt:lpstr>
      <vt:lpstr>'REQ-DELIVERABLES'!DATA_Deliverable</vt:lpstr>
      <vt:lpstr>'REQ-DESIGN'!DATA_Deliverable</vt:lpstr>
      <vt:lpstr>'REQ-DESIRE'!DATA_Deliverable</vt:lpstr>
      <vt:lpstr>'REQ-DIRECTION'!DATA_Deliverable</vt:lpstr>
      <vt:lpstr>'REQ-DISCOVERY'!DATA_Deliverable</vt:lpstr>
      <vt:lpstr>'REQ-GOVERNANCE'!DATA_Deliverable</vt:lpstr>
      <vt:lpstr>'REQ-PREREQUISITES'!DATA_Deliverable</vt:lpstr>
      <vt:lpstr>DATA_Deliverable</vt:lpstr>
      <vt:lpstr>DATA_Phase</vt:lpstr>
      <vt:lpstr>DATA_Stakeholders</vt:lpstr>
      <vt:lpstr>TBL_DELIVERABLE</vt:lpstr>
      <vt:lpstr>'REQ-BIZCASE'!TBL_Deliverables</vt:lpstr>
      <vt:lpstr>'REQ-DEFINITION-DELIVERY'!TBL_Deliverables</vt:lpstr>
      <vt:lpstr>'REQ-DEFINITION-DELIVERY-SYSTEM'!TBL_Deliverables</vt:lpstr>
      <vt:lpstr>'REQ-DEFINITION-INFOSVC-CLIENT'!TBL_Deliverables</vt:lpstr>
      <vt:lpstr>'REQ-DEFINITION-Q&amp;A-AUTOMATION'!TBL_Deliverables</vt:lpstr>
      <vt:lpstr>'REQ-DELIVERABLES'!TBL_Deliverables</vt:lpstr>
      <vt:lpstr>'REQ-DESIGN'!TBL_Deliverables</vt:lpstr>
      <vt:lpstr>'REQ-DESIRE'!TBL_Deliverables</vt:lpstr>
      <vt:lpstr>'REQ-DIRECTION'!TBL_Deliverables</vt:lpstr>
      <vt:lpstr>'REQ-DISCOVERY'!TBL_Deliverables</vt:lpstr>
      <vt:lpstr>'REQ-GOVERNANCE'!TBL_Deliverables</vt:lpstr>
      <vt:lpstr>'REQ-PREREQUISITES'!TBL_Deliverables</vt:lpstr>
      <vt:lpstr>'REQ-TEMPLATE'!TBL_Deliverables</vt:lpstr>
      <vt:lpstr>TBL_Deliverables</vt:lpstr>
      <vt:lpstr>'REQ-BIZCASE'!TBL_Phase</vt:lpstr>
      <vt:lpstr>'REQ-DEFINITION-DELIVERY'!TBL_Phase</vt:lpstr>
      <vt:lpstr>'REQ-DEFINITION-DELIVERY-SYSTEM'!TBL_Phase</vt:lpstr>
      <vt:lpstr>'REQ-DEFINITION-INFOSVC-CLIENT'!TBL_Phase</vt:lpstr>
      <vt:lpstr>'REQ-DEFINITION-Q&amp;A-AUTOMATION'!TBL_Phase</vt:lpstr>
      <vt:lpstr>'REQ-DELIVERABLES'!TBL_Phase</vt:lpstr>
      <vt:lpstr>'REQ-DESIGN'!TBL_Phase</vt:lpstr>
      <vt:lpstr>'REQ-DESIRE'!TBL_Phase</vt:lpstr>
      <vt:lpstr>'REQ-DIRECTION'!TBL_Phase</vt:lpstr>
      <vt:lpstr>'REQ-DISCOVERY'!TBL_Phase</vt:lpstr>
      <vt:lpstr>'REQ-GOVERNANCE'!TBL_Phase</vt:lpstr>
      <vt:lpstr>'REQ-PREREQUISITES'!TBL_Phase</vt:lpstr>
      <vt:lpstr>'REQ-TEMPLATE'!TBL_Phase</vt:lpstr>
      <vt:lpstr>TBL_Phase</vt:lpstr>
      <vt:lpstr>'REQ-BIZCASE'!TBL_Qualities</vt:lpstr>
      <vt:lpstr>'REQ-DEFINITION-DELIVERY'!TBL_Qualities</vt:lpstr>
      <vt:lpstr>'REQ-DEFINITION-DELIVERY-SYSTEM'!TBL_Qualities</vt:lpstr>
      <vt:lpstr>'REQ-DEFINITION-INFOSVC-CLIENT'!TBL_Qualities</vt:lpstr>
      <vt:lpstr>'REQ-DEFINITION-Q&amp;A-AUTOMATION'!TBL_Qualities</vt:lpstr>
      <vt:lpstr>'REQ-DELIVERABLES'!TBL_Qualities</vt:lpstr>
      <vt:lpstr>'REQ-DESIGN'!TBL_Qualities</vt:lpstr>
      <vt:lpstr>'REQ-DESIRE'!TBL_Qualities</vt:lpstr>
      <vt:lpstr>'REQ-DIRECTION'!TBL_Qualities</vt:lpstr>
      <vt:lpstr>'REQ-DISCOVERY'!TBL_Qualities</vt:lpstr>
      <vt:lpstr>'REQ-GOVERNANCE'!TBL_Qualities</vt:lpstr>
      <vt:lpstr>'REQ-PREREQUISITES'!TBL_Qualities</vt:lpstr>
      <vt:lpstr>'REQ-TEMPLATE'!TBL_Qualities</vt:lpstr>
      <vt:lpstr>TBL_Qualities</vt:lpstr>
      <vt:lpstr>'REQ-BIZCASE'!TBL_Requirements</vt:lpstr>
      <vt:lpstr>'REQ-DEFINITION-DELIVERY'!TBL_Requirements</vt:lpstr>
      <vt:lpstr>'REQ-DEFINITION-DELIVERY-SYSTEM'!TBL_Requirements</vt:lpstr>
      <vt:lpstr>'REQ-DEFINITION-INFOSVC-CLIENT'!TBL_Requirements</vt:lpstr>
      <vt:lpstr>'REQ-DEFINITION-Q&amp;A-AUTOMATION'!TBL_Requirements</vt:lpstr>
      <vt:lpstr>'REQ-DELIVERABLES'!TBL_Requirements</vt:lpstr>
      <vt:lpstr>'REQ-DESIGN'!TBL_Requirements</vt:lpstr>
      <vt:lpstr>'REQ-DESIRE'!TBL_Requirements</vt:lpstr>
      <vt:lpstr>'REQ-DIRECTION'!TBL_Requirements</vt:lpstr>
      <vt:lpstr>'REQ-DISCOVERY'!TBL_Requirements</vt:lpstr>
      <vt:lpstr>'REQ-GOVERNANCE'!TBL_Requirements</vt:lpstr>
      <vt:lpstr>'REQ-PREREQUISITES'!TBL_Requirements</vt:lpstr>
      <vt:lpstr>'REQ-TEMPLATE'!TBL_Requirements</vt:lpstr>
      <vt:lpstr>TBL_Requirements</vt:lpstr>
      <vt:lpstr>'REQ-BIZCASE'!TBL_Stakeholders</vt:lpstr>
      <vt:lpstr>'REQ-DEFINITION-DELIVERY'!TBL_Stakeholders</vt:lpstr>
      <vt:lpstr>'REQ-DEFINITION-DELIVERY-SYSTEM'!TBL_Stakeholders</vt:lpstr>
      <vt:lpstr>'REQ-DEFINITION-INFOSVC-CLIENT'!TBL_Stakeholders</vt:lpstr>
      <vt:lpstr>'REQ-DEFINITION-Q&amp;A-AUTOMATION'!TBL_Stakeholders</vt:lpstr>
      <vt:lpstr>'REQ-DELIVERABLES'!TBL_Stakeholders</vt:lpstr>
      <vt:lpstr>'REQ-DESIGN'!TBL_Stakeholders</vt:lpstr>
      <vt:lpstr>'REQ-DESIRE'!TBL_Stakeholders</vt:lpstr>
      <vt:lpstr>'REQ-DIRECTION'!TBL_Stakeholders</vt:lpstr>
      <vt:lpstr>'REQ-DISCOVERY'!TBL_Stakeholders</vt:lpstr>
      <vt:lpstr>'REQ-GOVERNANCE'!TBL_Stakeholders</vt:lpstr>
      <vt:lpstr>'REQ-PREREQUISITES'!TBL_Stakeholders</vt:lpstr>
      <vt:lpstr>'REQ-TEMPLATE'!TBL_Stakeholders</vt:lpstr>
      <vt:lpstr>TBL_Stakeholders</vt:lpstr>
      <vt:lpstr>'REQ-BIZCASE'!TBL_Type</vt:lpstr>
      <vt:lpstr>'REQ-DEFINITION-DELIVERY'!TBL_Type</vt:lpstr>
      <vt:lpstr>'REQ-DEFINITION-DELIVERY-SYSTEM'!TBL_Type</vt:lpstr>
      <vt:lpstr>'REQ-DEFINITION-INFOSVC-CLIENT'!TBL_Type</vt:lpstr>
      <vt:lpstr>'REQ-DEFINITION-Q&amp;A-AUTOMATION'!TBL_Type</vt:lpstr>
      <vt:lpstr>'REQ-DELIVERABLES'!TBL_Type</vt:lpstr>
      <vt:lpstr>'REQ-DESIGN'!TBL_Type</vt:lpstr>
      <vt:lpstr>'REQ-DESIRE'!TBL_Type</vt:lpstr>
      <vt:lpstr>'REQ-DIRECTION'!TBL_Type</vt:lpstr>
      <vt:lpstr>'REQ-DISCOVERY'!TBL_Type</vt:lpstr>
      <vt:lpstr>'REQ-GOVERNANCE'!TBL_Type</vt:lpstr>
      <vt:lpstr>'REQ-PREREQUISITES'!TBL_Type</vt:lpstr>
      <vt:lpstr>'REQ-TEMPLATE'!TBL_Type</vt:lpstr>
      <vt:lpstr>TBL_Type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Sky Sigal</dc:creator>
  <cp:keywords/>
  <dc:description/>
  <cp:lastModifiedBy>Sky Sigal</cp:lastModifiedBy>
  <cp:revision/>
  <dcterms:created xsi:type="dcterms:W3CDTF">2021-07-21T06:48:02Z</dcterms:created>
  <dcterms:modified xsi:type="dcterms:W3CDTF">2025-10-30T20:29:43Z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5645803-7a80-4d54-bfa9-551a1ec8d4d5_Enabled">
    <vt:lpwstr>true</vt:lpwstr>
  </property>
  <property fmtid="{D5CDD505-2E9C-101B-9397-08002B2CF9AE}" pid="3" name="MSIP_Label_25645803-7a80-4d54-bfa9-551a1ec8d4d5_SetDate">
    <vt:lpwstr>2025-10-30T20:15:43Z</vt:lpwstr>
  </property>
  <property fmtid="{D5CDD505-2E9C-101B-9397-08002B2CF9AE}" pid="4" name="MSIP_Label_25645803-7a80-4d54-bfa9-551a1ec8d4d5_Method">
    <vt:lpwstr>Privileged</vt:lpwstr>
  </property>
  <property fmtid="{D5CDD505-2E9C-101B-9397-08002B2CF9AE}" pid="5" name="MSIP_Label_25645803-7a80-4d54-bfa9-551a1ec8d4d5_Name">
    <vt:lpwstr>PERSONAL</vt:lpwstr>
  </property>
  <property fmtid="{D5CDD505-2E9C-101B-9397-08002B2CF9AE}" pid="6" name="MSIP_Label_25645803-7a80-4d54-bfa9-551a1ec8d4d5_SiteId">
    <vt:lpwstr>e6d2d4cc-b762-486e-8894-4f5f440d5f31</vt:lpwstr>
  </property>
  <property fmtid="{D5CDD505-2E9C-101B-9397-08002B2CF9AE}" pid="7" name="MSIP_Label_25645803-7a80-4d54-bfa9-551a1ec8d4d5_ActionId">
    <vt:lpwstr>08b3603b-0370-42b8-8cd1-1d84ab4c4a0d</vt:lpwstr>
  </property>
  <property fmtid="{D5CDD505-2E9C-101B-9397-08002B2CF9AE}" pid="8" name="MSIP_Label_25645803-7a80-4d54-bfa9-551a1ec8d4d5_ContentBits">
    <vt:lpwstr>0</vt:lpwstr>
  </property>
  <property fmtid="{D5CDD505-2E9C-101B-9397-08002B2CF9AE}" pid="9" name="MSIP_Label_25645803-7a80-4d54-bfa9-551a1ec8d4d5_Tag">
    <vt:lpwstr>10, 0, 1, 1</vt:lpwstr>
  </property>
</Properties>
</file>